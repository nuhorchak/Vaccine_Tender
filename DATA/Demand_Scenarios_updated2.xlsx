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"/>
    </mc:Choice>
  </mc:AlternateContent>
  <xr:revisionPtr revIDLastSave="0" documentId="8_{42BD29AE-BD5E-4220-A375-F3477232199E}" xr6:coauthVersionLast="47" xr6:coauthVersionMax="47" xr10:uidLastSave="{00000000-0000-0000-0000-000000000000}"/>
  <bookViews>
    <workbookView xWindow="-120" yWindow="-120" windowWidth="20730" windowHeight="11040" firstSheet="14" activeTab="19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Demand_data_trend" sheetId="77" r:id="rId4"/>
    <sheet name="Demand_data_trend_v2" sheetId="78" r:id="rId5"/>
    <sheet name="Demand_data_trend_predictions" sheetId="79" r:id="rId6"/>
    <sheet name="Medium_Demand_calc" sheetId="73" r:id="rId7"/>
    <sheet name="Medium_Demand" sheetId="59" r:id="rId8"/>
    <sheet name="Pandemic_Effect" sheetId="74" r:id="rId9"/>
    <sheet name="Vaccine_Replacement_Effect" sheetId="75" r:id="rId10"/>
    <sheet name="Weighted_Avg_Demand_for_Scen." sheetId="76" r:id="rId11"/>
    <sheet name="M Pricing" sheetId="46" r:id="rId12"/>
    <sheet name="MR Pricing" sheetId="48" r:id="rId13"/>
    <sheet name="MMR Pricing" sheetId="47" r:id="rId14"/>
    <sheet name="HPV Pricing" sheetId="44" r:id="rId15"/>
    <sheet name="OPV Pricing" sheetId="49" r:id="rId16"/>
    <sheet name="IPV Pricing" sheetId="45" r:id="rId17"/>
    <sheet name="HepB Pricing" sheetId="43" r:id="rId18"/>
    <sheet name="Hexa Pricing" sheetId="42" r:id="rId19"/>
    <sheet name="Penta Pricing" sheetId="39" r:id="rId20"/>
    <sheet name="DTwP Pricing" sheetId="41" r:id="rId21"/>
    <sheet name="Td Pricing" sheetId="36" r:id="rId22"/>
    <sheet name="DT Pricing" sheetId="38" r:id="rId23"/>
    <sheet name="TT Pricing" sheetId="52" r:id="rId24"/>
    <sheet name="Hib Pricing" sheetId="60" r:id="rId25"/>
    <sheet name="DTwP-Hib Pricing" sheetId="61" r:id="rId26"/>
    <sheet name="Rotavirus Pricing" sheetId="68" r:id="rId27"/>
    <sheet name="PCV Pricing" sheetId="69" r:id="rId28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21" hidden="1">'Td Pricing'!$A$1:$H$20</definedName>
    <definedName name="GAVI_countries" localSheetId="27">#REF!</definedName>
    <definedName name="GAVI_countries" localSheetId="26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77" l="1"/>
  <c r="A56" i="77" s="1"/>
  <c r="A74" i="77" s="1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C36" i="79"/>
  <c r="B36" i="79"/>
  <c r="B54" i="79" s="1"/>
  <c r="A72" i="79" s="1"/>
  <c r="A90" i="79" s="1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B35" i="79"/>
  <c r="B53" i="79" s="1"/>
  <c r="A71" i="79" s="1"/>
  <c r="A89" i="79" s="1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C34" i="79"/>
  <c r="B34" i="79"/>
  <c r="B52" i="79" s="1"/>
  <c r="A70" i="79" s="1"/>
  <c r="A88" i="79" s="1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C33" i="79"/>
  <c r="B33" i="79"/>
  <c r="B51" i="79" s="1"/>
  <c r="A69" i="79" s="1"/>
  <c r="A87" i="79" s="1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2" i="79"/>
  <c r="C32" i="79"/>
  <c r="B32" i="79"/>
  <c r="B50" i="79" s="1"/>
  <c r="A68" i="79" s="1"/>
  <c r="A86" i="79" s="1"/>
  <c r="Y31" i="79"/>
  <c r="X31" i="79"/>
  <c r="W31" i="79"/>
  <c r="V31" i="79"/>
  <c r="U31" i="79"/>
  <c r="T31" i="79"/>
  <c r="S31" i="79"/>
  <c r="R31" i="79"/>
  <c r="Q31" i="79"/>
  <c r="P31" i="79"/>
  <c r="O31" i="79"/>
  <c r="N31" i="79"/>
  <c r="M31" i="79"/>
  <c r="L31" i="79"/>
  <c r="K31" i="79"/>
  <c r="J31" i="79"/>
  <c r="I31" i="79"/>
  <c r="H31" i="79"/>
  <c r="G31" i="79"/>
  <c r="F31" i="79"/>
  <c r="E31" i="79"/>
  <c r="D31" i="79"/>
  <c r="C31" i="79"/>
  <c r="B31" i="79"/>
  <c r="B49" i="79" s="1"/>
  <c r="A67" i="79" s="1"/>
  <c r="A85" i="79" s="1"/>
  <c r="Y30" i="79"/>
  <c r="X30" i="79"/>
  <c r="W30" i="79"/>
  <c r="V30" i="79"/>
  <c r="U30" i="79"/>
  <c r="T30" i="79"/>
  <c r="S30" i="79"/>
  <c r="R30" i="79"/>
  <c r="Q30" i="79"/>
  <c r="P30" i="79"/>
  <c r="O30" i="79"/>
  <c r="N30" i="79"/>
  <c r="M30" i="79"/>
  <c r="L30" i="79"/>
  <c r="K30" i="79"/>
  <c r="J30" i="79"/>
  <c r="I30" i="79"/>
  <c r="H30" i="79"/>
  <c r="G30" i="79"/>
  <c r="F30" i="79"/>
  <c r="E30" i="79"/>
  <c r="D30" i="79"/>
  <c r="C30" i="79"/>
  <c r="B30" i="79"/>
  <c r="B48" i="79" s="1"/>
  <c r="A66" i="79" s="1"/>
  <c r="A84" i="79" s="1"/>
  <c r="Y29" i="79"/>
  <c r="X29" i="79"/>
  <c r="W29" i="79"/>
  <c r="V29" i="79"/>
  <c r="U29" i="79"/>
  <c r="T29" i="79"/>
  <c r="S29" i="79"/>
  <c r="R29" i="79"/>
  <c r="Q29" i="79"/>
  <c r="P29" i="79"/>
  <c r="O29" i="79"/>
  <c r="N29" i="79"/>
  <c r="M29" i="79"/>
  <c r="L29" i="79"/>
  <c r="K29" i="79"/>
  <c r="J29" i="79"/>
  <c r="I29" i="79"/>
  <c r="H29" i="79"/>
  <c r="G29" i="79"/>
  <c r="F29" i="79"/>
  <c r="E29" i="79"/>
  <c r="D29" i="79"/>
  <c r="C29" i="79"/>
  <c r="B29" i="79"/>
  <c r="B47" i="79" s="1"/>
  <c r="A65" i="79" s="1"/>
  <c r="A83" i="79" s="1"/>
  <c r="Y28" i="79"/>
  <c r="X28" i="79"/>
  <c r="W28" i="79"/>
  <c r="V28" i="79"/>
  <c r="U28" i="79"/>
  <c r="T28" i="79"/>
  <c r="S28" i="79"/>
  <c r="R28" i="79"/>
  <c r="Q28" i="79"/>
  <c r="P28" i="79"/>
  <c r="O28" i="79"/>
  <c r="N28" i="79"/>
  <c r="M28" i="79"/>
  <c r="L28" i="79"/>
  <c r="K28" i="79"/>
  <c r="J28" i="79"/>
  <c r="I28" i="79"/>
  <c r="H28" i="79"/>
  <c r="G28" i="79"/>
  <c r="F28" i="79"/>
  <c r="E28" i="79"/>
  <c r="D28" i="79"/>
  <c r="C28" i="79"/>
  <c r="B28" i="79"/>
  <c r="B46" i="79" s="1"/>
  <c r="A64" i="79" s="1"/>
  <c r="A82" i="79" s="1"/>
  <c r="Y27" i="79"/>
  <c r="X27" i="79"/>
  <c r="W27" i="79"/>
  <c r="V27" i="79"/>
  <c r="U27" i="79"/>
  <c r="T27" i="79"/>
  <c r="S27" i="79"/>
  <c r="R27" i="79"/>
  <c r="Q27" i="79"/>
  <c r="P27" i="79"/>
  <c r="O27" i="79"/>
  <c r="N27" i="79"/>
  <c r="M27" i="79"/>
  <c r="L27" i="79"/>
  <c r="K27" i="79"/>
  <c r="J27" i="79"/>
  <c r="I27" i="79"/>
  <c r="H27" i="79"/>
  <c r="G27" i="79"/>
  <c r="F27" i="79"/>
  <c r="E27" i="79"/>
  <c r="D27" i="79"/>
  <c r="C27" i="79"/>
  <c r="B27" i="79"/>
  <c r="B45" i="79" s="1"/>
  <c r="A63" i="79" s="1"/>
  <c r="A81" i="79" s="1"/>
  <c r="Y26" i="79"/>
  <c r="X26" i="79"/>
  <c r="W26" i="79"/>
  <c r="V26" i="79"/>
  <c r="U26" i="79"/>
  <c r="T26" i="79"/>
  <c r="S26" i="79"/>
  <c r="R26" i="79"/>
  <c r="Q26" i="79"/>
  <c r="P26" i="79"/>
  <c r="O26" i="79"/>
  <c r="N26" i="79"/>
  <c r="M26" i="79"/>
  <c r="L26" i="79"/>
  <c r="K26" i="79"/>
  <c r="J26" i="79"/>
  <c r="I26" i="79"/>
  <c r="H26" i="79"/>
  <c r="G26" i="79"/>
  <c r="F26" i="79"/>
  <c r="E26" i="79"/>
  <c r="D26" i="79"/>
  <c r="C26" i="79"/>
  <c r="B26" i="79"/>
  <c r="B44" i="79" s="1"/>
  <c r="A62" i="79" s="1"/>
  <c r="A80" i="79" s="1"/>
  <c r="Y25" i="79"/>
  <c r="X25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J25" i="79"/>
  <c r="I25" i="79"/>
  <c r="H25" i="79"/>
  <c r="G25" i="79"/>
  <c r="F25" i="79"/>
  <c r="E25" i="79"/>
  <c r="D25" i="79"/>
  <c r="C25" i="79"/>
  <c r="B25" i="79"/>
  <c r="B43" i="79" s="1"/>
  <c r="A61" i="79" s="1"/>
  <c r="A79" i="79" s="1"/>
  <c r="Y24" i="79"/>
  <c r="X24" i="79"/>
  <c r="W24" i="79"/>
  <c r="V24" i="79"/>
  <c r="U24" i="79"/>
  <c r="T24" i="79"/>
  <c r="S24" i="79"/>
  <c r="R24" i="79"/>
  <c r="Q24" i="79"/>
  <c r="P24" i="79"/>
  <c r="O24" i="79"/>
  <c r="N24" i="79"/>
  <c r="M24" i="79"/>
  <c r="L24" i="79"/>
  <c r="K24" i="79"/>
  <c r="J24" i="79"/>
  <c r="I24" i="79"/>
  <c r="H24" i="79"/>
  <c r="G24" i="79"/>
  <c r="F24" i="79"/>
  <c r="E24" i="79"/>
  <c r="D24" i="79"/>
  <c r="C24" i="79"/>
  <c r="B24" i="79"/>
  <c r="B42" i="79" s="1"/>
  <c r="A60" i="79" s="1"/>
  <c r="A78" i="79" s="1"/>
  <c r="Y23" i="79"/>
  <c r="X23" i="79"/>
  <c r="W23" i="79"/>
  <c r="V23" i="79"/>
  <c r="U23" i="79"/>
  <c r="T23" i="79"/>
  <c r="S23" i="79"/>
  <c r="R23" i="79"/>
  <c r="Q23" i="79"/>
  <c r="P23" i="79"/>
  <c r="O23" i="79"/>
  <c r="N23" i="79"/>
  <c r="M23" i="79"/>
  <c r="L23" i="79"/>
  <c r="K23" i="79"/>
  <c r="J23" i="79"/>
  <c r="I23" i="79"/>
  <c r="H23" i="79"/>
  <c r="G23" i="79"/>
  <c r="F23" i="79"/>
  <c r="E23" i="79"/>
  <c r="D23" i="79"/>
  <c r="C23" i="79"/>
  <c r="B23" i="79"/>
  <c r="B41" i="79" s="1"/>
  <c r="A59" i="79" s="1"/>
  <c r="A77" i="79" s="1"/>
  <c r="Y22" i="79"/>
  <c r="X22" i="79"/>
  <c r="W22" i="79"/>
  <c r="V22" i="79"/>
  <c r="U22" i="79"/>
  <c r="T22" i="79"/>
  <c r="S22" i="79"/>
  <c r="R22" i="79"/>
  <c r="Q22" i="79"/>
  <c r="P22" i="79"/>
  <c r="O22" i="79"/>
  <c r="N22" i="79"/>
  <c r="M22" i="79"/>
  <c r="L22" i="79"/>
  <c r="K22" i="79"/>
  <c r="J22" i="79"/>
  <c r="I22" i="79"/>
  <c r="H22" i="79"/>
  <c r="G22" i="79"/>
  <c r="F22" i="79"/>
  <c r="E22" i="79"/>
  <c r="D22" i="79"/>
  <c r="C22" i="79"/>
  <c r="B22" i="79"/>
  <c r="B40" i="79" s="1"/>
  <c r="A58" i="79" s="1"/>
  <c r="A76" i="79" s="1"/>
  <c r="Y21" i="79"/>
  <c r="X21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H21" i="79"/>
  <c r="G21" i="79"/>
  <c r="F21" i="79"/>
  <c r="E21" i="79"/>
  <c r="D21" i="79"/>
  <c r="C21" i="79"/>
  <c r="B21" i="79"/>
  <c r="B39" i="79" s="1"/>
  <c r="A57" i="79" s="1"/>
  <c r="A75" i="79" s="1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C20" i="79"/>
  <c r="B20" i="79"/>
  <c r="B38" i="79" s="1"/>
  <c r="A56" i="79" s="1"/>
  <c r="A74" i="79" s="1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D36" i="78"/>
  <c r="C36" i="78"/>
  <c r="B36" i="78"/>
  <c r="B54" i="78" s="1"/>
  <c r="A72" i="78" s="1"/>
  <c r="A90" i="78" s="1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C35" i="78"/>
  <c r="B35" i="78"/>
  <c r="B53" i="78" s="1"/>
  <c r="A71" i="78" s="1"/>
  <c r="A89" i="78" s="1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G34" i="78"/>
  <c r="F34" i="78"/>
  <c r="E34" i="78"/>
  <c r="D34" i="78"/>
  <c r="C34" i="78"/>
  <c r="B34" i="78"/>
  <c r="B52" i="78" s="1"/>
  <c r="A70" i="78" s="1"/>
  <c r="A88" i="78" s="1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C33" i="78"/>
  <c r="B33" i="78"/>
  <c r="B51" i="78" s="1"/>
  <c r="A69" i="78" s="1"/>
  <c r="A87" i="78" s="1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G32" i="78"/>
  <c r="F32" i="78"/>
  <c r="E32" i="78"/>
  <c r="D32" i="78"/>
  <c r="C32" i="78"/>
  <c r="B32" i="78"/>
  <c r="B50" i="78" s="1"/>
  <c r="A68" i="78" s="1"/>
  <c r="A86" i="78" s="1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B31" i="78"/>
  <c r="B49" i="78" s="1"/>
  <c r="A67" i="78" s="1"/>
  <c r="A85" i="78" s="1"/>
  <c r="Y30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H30" i="78"/>
  <c r="G30" i="78"/>
  <c r="F30" i="78"/>
  <c r="E30" i="78"/>
  <c r="D30" i="78"/>
  <c r="C30" i="78"/>
  <c r="B30" i="78"/>
  <c r="B48" i="78" s="1"/>
  <c r="A66" i="78" s="1"/>
  <c r="A84" i="78" s="1"/>
  <c r="Y29" i="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C29" i="78"/>
  <c r="B29" i="78"/>
  <c r="B47" i="78" s="1"/>
  <c r="A65" i="78" s="1"/>
  <c r="A83" i="78" s="1"/>
  <c r="Y28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H28" i="78"/>
  <c r="G28" i="78"/>
  <c r="F28" i="78"/>
  <c r="E28" i="78"/>
  <c r="D28" i="78"/>
  <c r="C28" i="78"/>
  <c r="B28" i="78"/>
  <c r="B46" i="78" s="1"/>
  <c r="A64" i="78" s="1"/>
  <c r="A82" i="78" s="1"/>
  <c r="Y27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7" i="78"/>
  <c r="C27" i="78"/>
  <c r="B27" i="78"/>
  <c r="B45" i="78" s="1"/>
  <c r="A63" i="78" s="1"/>
  <c r="A81" i="78" s="1"/>
  <c r="Y26" i="78"/>
  <c r="X26" i="78"/>
  <c r="W26" i="78"/>
  <c r="V26" i="78"/>
  <c r="U26" i="78"/>
  <c r="T26" i="78"/>
  <c r="S26" i="78"/>
  <c r="R26" i="78"/>
  <c r="Q26" i="78"/>
  <c r="P26" i="78"/>
  <c r="O26" i="78"/>
  <c r="N26" i="78"/>
  <c r="M26" i="78"/>
  <c r="L26" i="78"/>
  <c r="K26" i="78"/>
  <c r="J26" i="78"/>
  <c r="I26" i="78"/>
  <c r="H26" i="78"/>
  <c r="G26" i="78"/>
  <c r="F26" i="78"/>
  <c r="E26" i="78"/>
  <c r="D26" i="78"/>
  <c r="C26" i="78"/>
  <c r="B26" i="78"/>
  <c r="B44" i="78" s="1"/>
  <c r="A62" i="78" s="1"/>
  <c r="A80" i="78" s="1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K25" i="78"/>
  <c r="J25" i="78"/>
  <c r="I25" i="78"/>
  <c r="H25" i="78"/>
  <c r="G25" i="78"/>
  <c r="F25" i="78"/>
  <c r="E25" i="78"/>
  <c r="D25" i="78"/>
  <c r="C25" i="78"/>
  <c r="B25" i="78"/>
  <c r="B43" i="78" s="1"/>
  <c r="A61" i="78" s="1"/>
  <c r="A79" i="78" s="1"/>
  <c r="Y24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4" i="78"/>
  <c r="C24" i="78"/>
  <c r="B24" i="78"/>
  <c r="B42" i="78" s="1"/>
  <c r="A60" i="78" s="1"/>
  <c r="A78" i="78" s="1"/>
  <c r="Y23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G23" i="78"/>
  <c r="F23" i="78"/>
  <c r="E23" i="78"/>
  <c r="D23" i="78"/>
  <c r="C23" i="78"/>
  <c r="B23" i="78"/>
  <c r="B41" i="78" s="1"/>
  <c r="A59" i="78" s="1"/>
  <c r="A77" i="78" s="1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K22" i="78"/>
  <c r="J22" i="78"/>
  <c r="I22" i="78"/>
  <c r="H22" i="78"/>
  <c r="G22" i="78"/>
  <c r="F22" i="78"/>
  <c r="E22" i="78"/>
  <c r="D22" i="78"/>
  <c r="C22" i="78"/>
  <c r="B22" i="78"/>
  <c r="B40" i="78" s="1"/>
  <c r="A58" i="78" s="1"/>
  <c r="A76" i="78" s="1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G21" i="78"/>
  <c r="F21" i="78"/>
  <c r="E21" i="78"/>
  <c r="D21" i="78"/>
  <c r="C21" i="78"/>
  <c r="B21" i="78"/>
  <c r="B39" i="78" s="1"/>
  <c r="A57" i="78" s="1"/>
  <c r="A75" i="78" s="1"/>
  <c r="Y20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C20" i="78"/>
  <c r="B20" i="78"/>
  <c r="B38" i="78" s="1"/>
  <c r="A56" i="78" s="1"/>
  <c r="A74" i="78" s="1"/>
  <c r="Y21" i="77"/>
  <c r="Y22" i="77"/>
  <c r="Y23" i="77"/>
  <c r="Y24" i="77"/>
  <c r="Y25" i="77"/>
  <c r="Y26" i="77"/>
  <c r="Y27" i="77"/>
  <c r="Y28" i="77"/>
  <c r="Y29" i="77"/>
  <c r="Y30" i="77"/>
  <c r="Y31" i="77"/>
  <c r="Y32" i="77"/>
  <c r="Y33" i="77"/>
  <c r="Y34" i="77"/>
  <c r="Y35" i="77"/>
  <c r="Y36" i="77"/>
  <c r="Y20" i="77"/>
  <c r="AC207" i="72"/>
  <c r="AC230" i="72" s="1"/>
  <c r="B21" i="77"/>
  <c r="B22" i="77"/>
  <c r="B40" i="77" s="1"/>
  <c r="A58" i="77" s="1"/>
  <c r="A76" i="77" s="1"/>
  <c r="B23" i="77"/>
  <c r="B41" i="77" s="1"/>
  <c r="A59" i="77" s="1"/>
  <c r="A77" i="77" s="1"/>
  <c r="B24" i="77"/>
  <c r="B42" i="77" s="1"/>
  <c r="A60" i="77" s="1"/>
  <c r="A78" i="77" s="1"/>
  <c r="B25" i="77"/>
  <c r="B43" i="77" s="1"/>
  <c r="A61" i="77" s="1"/>
  <c r="A79" i="77" s="1"/>
  <c r="B26" i="77"/>
  <c r="B44" i="77" s="1"/>
  <c r="A62" i="77" s="1"/>
  <c r="A80" i="77" s="1"/>
  <c r="B27" i="77"/>
  <c r="B45" i="77" s="1"/>
  <c r="A63" i="77" s="1"/>
  <c r="A81" i="77" s="1"/>
  <c r="B28" i="77"/>
  <c r="B46" i="77" s="1"/>
  <c r="A64" i="77" s="1"/>
  <c r="A82" i="77" s="1"/>
  <c r="B29" i="77"/>
  <c r="B30" i="77"/>
  <c r="B48" i="77" s="1"/>
  <c r="A66" i="77" s="1"/>
  <c r="A84" i="77" s="1"/>
  <c r="B31" i="77"/>
  <c r="B49" i="77" s="1"/>
  <c r="A67" i="77" s="1"/>
  <c r="A85" i="77" s="1"/>
  <c r="B32" i="77"/>
  <c r="B50" i="77" s="1"/>
  <c r="A68" i="77" s="1"/>
  <c r="A86" i="77" s="1"/>
  <c r="B33" i="77"/>
  <c r="B51" i="77" s="1"/>
  <c r="A69" i="77" s="1"/>
  <c r="A87" i="77" s="1"/>
  <c r="B34" i="77"/>
  <c r="B52" i="77" s="1"/>
  <c r="A70" i="77" s="1"/>
  <c r="A88" i="77" s="1"/>
  <c r="B35" i="77"/>
  <c r="B53" i="77" s="1"/>
  <c r="A71" i="77" s="1"/>
  <c r="A89" i="77" s="1"/>
  <c r="B36" i="77"/>
  <c r="B54" i="77" s="1"/>
  <c r="A72" i="77" s="1"/>
  <c r="A90" i="77" s="1"/>
  <c r="B20" i="77"/>
  <c r="C20" i="77"/>
  <c r="D20" i="77"/>
  <c r="E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T20" i="77"/>
  <c r="U20" i="77"/>
  <c r="V20" i="77"/>
  <c r="W20" i="77"/>
  <c r="X20" i="77"/>
  <c r="C21" i="77"/>
  <c r="D21" i="77"/>
  <c r="E21" i="77"/>
  <c r="F21" i="77"/>
  <c r="G21" i="77"/>
  <c r="H21" i="77"/>
  <c r="I21" i="77"/>
  <c r="B39" i="77" s="1"/>
  <c r="A57" i="77" s="1"/>
  <c r="A75" i="77" s="1"/>
  <c r="J21" i="77"/>
  <c r="K21" i="77"/>
  <c r="L21" i="77"/>
  <c r="M21" i="77"/>
  <c r="N21" i="77"/>
  <c r="O21" i="77"/>
  <c r="P21" i="77"/>
  <c r="Q21" i="77"/>
  <c r="R21" i="77"/>
  <c r="S21" i="77"/>
  <c r="T21" i="77"/>
  <c r="U21" i="77"/>
  <c r="V21" i="77"/>
  <c r="W21" i="77"/>
  <c r="X21" i="77"/>
  <c r="C22" i="77"/>
  <c r="D22" i="77"/>
  <c r="E22" i="77"/>
  <c r="F22" i="77"/>
  <c r="G22" i="77"/>
  <c r="H22" i="77"/>
  <c r="I22" i="77"/>
  <c r="J22" i="77"/>
  <c r="K22" i="77"/>
  <c r="L22" i="77"/>
  <c r="M22" i="77"/>
  <c r="N22" i="77"/>
  <c r="O22" i="77"/>
  <c r="P22" i="77"/>
  <c r="Q22" i="77"/>
  <c r="R22" i="77"/>
  <c r="S22" i="77"/>
  <c r="T22" i="77"/>
  <c r="U22" i="77"/>
  <c r="V22" i="77"/>
  <c r="W22" i="77"/>
  <c r="X22" i="77"/>
  <c r="C23" i="77"/>
  <c r="D23" i="77"/>
  <c r="E23" i="77"/>
  <c r="F23" i="77"/>
  <c r="G23" i="77"/>
  <c r="H23" i="77"/>
  <c r="I23" i="77"/>
  <c r="J23" i="77"/>
  <c r="K23" i="77"/>
  <c r="L23" i="77"/>
  <c r="M23" i="77"/>
  <c r="N23" i="77"/>
  <c r="O23" i="77"/>
  <c r="P23" i="77"/>
  <c r="Q23" i="77"/>
  <c r="R23" i="77"/>
  <c r="S23" i="77"/>
  <c r="T23" i="77"/>
  <c r="U23" i="77"/>
  <c r="V23" i="77"/>
  <c r="W23" i="77"/>
  <c r="X23" i="77"/>
  <c r="C24" i="77"/>
  <c r="D24" i="77"/>
  <c r="E24" i="77"/>
  <c r="F24" i="77"/>
  <c r="G24" i="77"/>
  <c r="H24" i="77"/>
  <c r="I24" i="77"/>
  <c r="J24" i="77"/>
  <c r="K24" i="77"/>
  <c r="L24" i="77"/>
  <c r="M24" i="77"/>
  <c r="N24" i="77"/>
  <c r="O24" i="77"/>
  <c r="P24" i="77"/>
  <c r="Q24" i="77"/>
  <c r="R24" i="77"/>
  <c r="S24" i="77"/>
  <c r="T24" i="77"/>
  <c r="U24" i="77"/>
  <c r="V24" i="77"/>
  <c r="W24" i="77"/>
  <c r="X24" i="77"/>
  <c r="C25" i="77"/>
  <c r="D25" i="77"/>
  <c r="E25" i="77"/>
  <c r="F25" i="77"/>
  <c r="G25" i="77"/>
  <c r="H25" i="77"/>
  <c r="I25" i="77"/>
  <c r="J25" i="77"/>
  <c r="K25" i="77"/>
  <c r="L25" i="77"/>
  <c r="M25" i="77"/>
  <c r="N25" i="77"/>
  <c r="O25" i="77"/>
  <c r="P25" i="77"/>
  <c r="Q25" i="77"/>
  <c r="R25" i="77"/>
  <c r="S25" i="77"/>
  <c r="T25" i="77"/>
  <c r="U25" i="77"/>
  <c r="V25" i="77"/>
  <c r="W25" i="77"/>
  <c r="X25" i="77"/>
  <c r="C26" i="77"/>
  <c r="D26" i="77"/>
  <c r="E26" i="77"/>
  <c r="F26" i="77"/>
  <c r="G26" i="77"/>
  <c r="H26" i="77"/>
  <c r="I26" i="77"/>
  <c r="J26" i="77"/>
  <c r="K26" i="77"/>
  <c r="L26" i="77"/>
  <c r="M26" i="77"/>
  <c r="N26" i="77"/>
  <c r="O26" i="77"/>
  <c r="P26" i="77"/>
  <c r="Q26" i="77"/>
  <c r="R26" i="77"/>
  <c r="S26" i="77"/>
  <c r="T26" i="77"/>
  <c r="U26" i="77"/>
  <c r="V26" i="77"/>
  <c r="W26" i="77"/>
  <c r="X26" i="77"/>
  <c r="C27" i="77"/>
  <c r="D27" i="77"/>
  <c r="E27" i="77"/>
  <c r="F27" i="77"/>
  <c r="G27" i="77"/>
  <c r="H27" i="77"/>
  <c r="I27" i="77"/>
  <c r="J27" i="77"/>
  <c r="K27" i="77"/>
  <c r="L27" i="77"/>
  <c r="M27" i="77"/>
  <c r="N27" i="77"/>
  <c r="O27" i="77"/>
  <c r="P27" i="77"/>
  <c r="Q27" i="77"/>
  <c r="R27" i="77"/>
  <c r="S27" i="77"/>
  <c r="T27" i="77"/>
  <c r="U27" i="77"/>
  <c r="V27" i="77"/>
  <c r="W27" i="77"/>
  <c r="X27" i="77"/>
  <c r="C28" i="77"/>
  <c r="D28" i="77"/>
  <c r="E28" i="77"/>
  <c r="F28" i="77"/>
  <c r="G28" i="77"/>
  <c r="H28" i="77"/>
  <c r="I28" i="77"/>
  <c r="J28" i="77"/>
  <c r="K28" i="77"/>
  <c r="L28" i="77"/>
  <c r="M28" i="77"/>
  <c r="N28" i="77"/>
  <c r="O28" i="77"/>
  <c r="P28" i="77"/>
  <c r="Q28" i="77"/>
  <c r="R28" i="77"/>
  <c r="S28" i="77"/>
  <c r="T28" i="77"/>
  <c r="U28" i="77"/>
  <c r="V28" i="77"/>
  <c r="W28" i="77"/>
  <c r="X28" i="77"/>
  <c r="C29" i="77"/>
  <c r="D29" i="77"/>
  <c r="E29" i="77"/>
  <c r="F29" i="77"/>
  <c r="G29" i="77"/>
  <c r="H29" i="77"/>
  <c r="I29" i="77"/>
  <c r="B47" i="77" s="1"/>
  <c r="A65" i="77" s="1"/>
  <c r="A83" i="77" s="1"/>
  <c r="J29" i="77"/>
  <c r="K29" i="77"/>
  <c r="L29" i="77"/>
  <c r="M29" i="77"/>
  <c r="N29" i="77"/>
  <c r="O29" i="77"/>
  <c r="P29" i="77"/>
  <c r="Q29" i="77"/>
  <c r="R29" i="77"/>
  <c r="S29" i="77"/>
  <c r="T29" i="77"/>
  <c r="U29" i="77"/>
  <c r="V29" i="77"/>
  <c r="W29" i="77"/>
  <c r="X29" i="77"/>
  <c r="C30" i="77"/>
  <c r="D30" i="77"/>
  <c r="E30" i="77"/>
  <c r="F30" i="77"/>
  <c r="G30" i="77"/>
  <c r="H30" i="77"/>
  <c r="I30" i="77"/>
  <c r="J30" i="77"/>
  <c r="K30" i="77"/>
  <c r="L30" i="77"/>
  <c r="M30" i="77"/>
  <c r="N30" i="77"/>
  <c r="O30" i="77"/>
  <c r="P30" i="77"/>
  <c r="Q30" i="77"/>
  <c r="R30" i="77"/>
  <c r="S30" i="77"/>
  <c r="T30" i="77"/>
  <c r="U30" i="77"/>
  <c r="V30" i="77"/>
  <c r="W30" i="77"/>
  <c r="X30" i="77"/>
  <c r="C31" i="77"/>
  <c r="D31" i="77"/>
  <c r="E31" i="77"/>
  <c r="F31" i="77"/>
  <c r="G31" i="77"/>
  <c r="H31" i="77"/>
  <c r="I31" i="77"/>
  <c r="J31" i="77"/>
  <c r="K31" i="77"/>
  <c r="L31" i="77"/>
  <c r="M31" i="77"/>
  <c r="N31" i="77"/>
  <c r="O31" i="77"/>
  <c r="P31" i="77"/>
  <c r="Q31" i="77"/>
  <c r="R31" i="77"/>
  <c r="S31" i="77"/>
  <c r="T31" i="77"/>
  <c r="U31" i="77"/>
  <c r="V31" i="77"/>
  <c r="W31" i="77"/>
  <c r="X31" i="77"/>
  <c r="C32" i="77"/>
  <c r="D32" i="77"/>
  <c r="E32" i="77"/>
  <c r="F32" i="77"/>
  <c r="G32" i="77"/>
  <c r="H32" i="77"/>
  <c r="I32" i="77"/>
  <c r="J32" i="77"/>
  <c r="K32" i="77"/>
  <c r="L32" i="77"/>
  <c r="M32" i="77"/>
  <c r="N32" i="77"/>
  <c r="O32" i="77"/>
  <c r="P32" i="77"/>
  <c r="Q32" i="77"/>
  <c r="R32" i="77"/>
  <c r="S32" i="77"/>
  <c r="T32" i="77"/>
  <c r="U32" i="77"/>
  <c r="V32" i="77"/>
  <c r="W32" i="77"/>
  <c r="X32" i="77"/>
  <c r="C33" i="77"/>
  <c r="D33" i="77"/>
  <c r="E33" i="77"/>
  <c r="F33" i="77"/>
  <c r="G33" i="77"/>
  <c r="H33" i="77"/>
  <c r="I33" i="77"/>
  <c r="J33" i="77"/>
  <c r="K33" i="77"/>
  <c r="L33" i="77"/>
  <c r="M33" i="77"/>
  <c r="N33" i="77"/>
  <c r="O33" i="77"/>
  <c r="P33" i="77"/>
  <c r="Q33" i="77"/>
  <c r="R33" i="77"/>
  <c r="S33" i="77"/>
  <c r="T33" i="77"/>
  <c r="U33" i="77"/>
  <c r="V33" i="77"/>
  <c r="W33" i="77"/>
  <c r="X33" i="77"/>
  <c r="C34" i="77"/>
  <c r="D34" i="77"/>
  <c r="E34" i="77"/>
  <c r="F34" i="77"/>
  <c r="G34" i="77"/>
  <c r="H34" i="77"/>
  <c r="I34" i="77"/>
  <c r="J34" i="77"/>
  <c r="K34" i="77"/>
  <c r="L34" i="77"/>
  <c r="M34" i="77"/>
  <c r="N34" i="77"/>
  <c r="O34" i="77"/>
  <c r="P34" i="77"/>
  <c r="Q34" i="77"/>
  <c r="R34" i="77"/>
  <c r="S34" i="77"/>
  <c r="T34" i="77"/>
  <c r="U34" i="77"/>
  <c r="V34" i="77"/>
  <c r="W34" i="77"/>
  <c r="X34" i="77"/>
  <c r="C35" i="77"/>
  <c r="D35" i="77"/>
  <c r="E35" i="77"/>
  <c r="F35" i="77"/>
  <c r="G35" i="77"/>
  <c r="H35" i="77"/>
  <c r="I35" i="77"/>
  <c r="J35" i="77"/>
  <c r="K35" i="77"/>
  <c r="L35" i="77"/>
  <c r="M35" i="77"/>
  <c r="N35" i="77"/>
  <c r="O35" i="77"/>
  <c r="P35" i="77"/>
  <c r="Q35" i="77"/>
  <c r="R35" i="77"/>
  <c r="S35" i="77"/>
  <c r="T35" i="77"/>
  <c r="U35" i="77"/>
  <c r="V35" i="77"/>
  <c r="W35" i="77"/>
  <c r="X35" i="77"/>
  <c r="C36" i="77"/>
  <c r="D36" i="77"/>
  <c r="E36" i="77"/>
  <c r="F36" i="77"/>
  <c r="G36" i="77"/>
  <c r="H36" i="77"/>
  <c r="I36" i="77"/>
  <c r="J36" i="77"/>
  <c r="K36" i="77"/>
  <c r="L36" i="77"/>
  <c r="M36" i="77"/>
  <c r="N36" i="77"/>
  <c r="O36" i="77"/>
  <c r="P36" i="77"/>
  <c r="Q36" i="77"/>
  <c r="R36" i="77"/>
  <c r="S36" i="77"/>
  <c r="T36" i="77"/>
  <c r="U36" i="77"/>
  <c r="V36" i="77"/>
  <c r="W36" i="77"/>
  <c r="X36" i="77"/>
  <c r="R4" i="76"/>
  <c r="R3" i="76"/>
  <c r="R2" i="76"/>
  <c r="M3" i="76"/>
  <c r="M4" i="76"/>
  <c r="M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 s="1"/>
  <c r="AH297" i="72"/>
  <c r="AG223" i="72"/>
  <c r="AG294" i="72" s="1"/>
  <c r="AF223" i="72"/>
  <c r="AF294" i="72" s="1"/>
  <c r="AE223" i="72"/>
  <c r="AE294" i="72"/>
  <c r="AE297" i="72"/>
  <c r="AD223" i="72"/>
  <c r="AD294" i="72"/>
  <c r="AD297" i="72" s="1"/>
  <c r="AC223" i="72"/>
  <c r="AC294" i="72" s="1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AG295" i="72" l="1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<sst xmlns="http://schemas.openxmlformats.org/spreadsheetml/2006/main" count="1071" uniqueCount="198">
  <si>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</si>
  <si>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</si>
  <si>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</si>
  <si>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</si>
  <si>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</si>
  <si>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</si>
  <si>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</si>
  <si>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</si>
  <si>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</si>
  <si>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</si>
  <si>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</si>
  <si>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</si>
  <si>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</si>
  <si>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</si>
  <si>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</si>
  <si>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</si>
  <si>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</si>
  <si>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</si>
  <si>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</si>
  <si>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</si>
  <si>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</si>
  <si>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</si>
  <si>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</si>
  <si>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</si>
  <si>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</si>
  <si>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</si>
  <si>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</si>
  <si>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</si>
  <si>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</si>
  <si>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</si>
  <si>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</si>
  <si>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</si>
  <si>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</si>
  <si>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</si>
  <si>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</si>
  <si>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</si>
  <si>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</si>
  <si>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</si>
  <si>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</si>
  <si>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</si>
  <si>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</si>
  <si>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</si>
  <si>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</si>
  <si>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</si>
  <si>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</si>
  <si>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</si>
  <si>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</si>
  <si>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</si>
  <si>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</si>
  <si>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</si>
  <si>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</si>
  <si>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</si>
  <si>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</si>
  <si>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</si>
  <si>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</si>
  <si>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</si>
  <si>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</si>
  <si>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</si>
  <si>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</si>
  <si>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</si>
  <si>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</si>
  <si>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</si>
  <si>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</si>
  <si>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</si>
  <si>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</si>
  <si>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</si>
  <si>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</si>
  <si>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</si>
  <si>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</si>
  <si>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</si>
  <si>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</si>
  <si>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</si>
  <si>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</si>
  <si>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</si>
  <si>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</si>
  <si>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</si>
  <si>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</si>
  <si>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</si>
  <si>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</si>
  <si>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</si>
  <si>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</si>
  <si>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</si>
  <si>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</si>
  <si>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</si>
  <si>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</si>
  <si>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</si>
  <si>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</si>
  <si>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</si>
  <si>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</si>
  <si>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</si>
  <si>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</si>
  <si>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</si>
  <si>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</si>
  <si>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</si>
  <si>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</si>
  <si>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</si>
  <si>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</si>
  <si>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</si>
  <si>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</si>
  <si>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</si>
  <si>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</si>
  <si>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</si>
  <si>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</si>
  <si>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</si>
  <si>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</si>
  <si>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</si>
  <si>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</si>
  <si>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</si>
  <si>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</si>
  <si>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</si>
  <si>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</si>
  <si>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</si>
  <si>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</si>
  <si>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</si>
  <si>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</si>
  <si>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</si>
  <si>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</si>
  <si>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</si>
  <si>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</si>
  <si>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</si>
  <si>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</si>
  <si>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</si>
  <si>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</si>
  <si>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</si>
  <si>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</si>
  <si>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</si>
  <si>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</si>
  <si>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</si>
  <si>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</si>
  <si>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</si>
  <si>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</si>
  <si>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</si>
  <si>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</si>
  <si>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</si>
  <si>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</si>
  <si>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</si>
  <si>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</si>
  <si>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</si>
  <si>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</si>
  <si>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</si>
  <si>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</si>
  <si>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</si>
  <si>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</si>
  <si>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</si>
  <si>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</si>
  <si>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</si>
  <si>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</si>
  <si>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</si>
  <si>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</si>
  <si>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</si>
  <si>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</si>
  <si>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</si>
  <si>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</si>
  <si>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</si>
  <si>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</si>
  <si>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</si>
  <si>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</si>
  <si>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</si>
  <si>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</si>
  <si>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</si>
  <si>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</si>
  <si>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</si>
  <si>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</si>
  <si>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</si>
  <si>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</si>
  <si>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</si>
  <si>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</si>
  <si>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</si>
  <si>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</si>
  <si>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</si>
  <si>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</si>
  <si>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</si>
  <si>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</si>
  <si>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</si>
  <si>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</si>
  <si>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</si>
  <si>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</si>
  <si>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</si>
  <si>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</si>
  <si>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</si>
  <si>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</si>
  <si>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R^2</t>
  </si>
  <si>
    <t>MMR-based</t>
  </si>
  <si>
    <t>Hexa-based</t>
  </si>
  <si>
    <t>Single Antigen</t>
  </si>
  <si>
    <t>if  R-squared value &lt; 0.3 this value is generally considered a None or Very weak effect size,
if R-squared value 0.3 &lt; r &lt; 0.5 this value is generally considered a weak or low effect size,
if R-squared value 0.5 &lt; r &lt; 0.7 this value is generally considered a Moderate effect size,
if R-squared value r &gt; 0.7 this value is generally considered strong effect size,</t>
  </si>
  <si>
    <t>Ref: Source: Moore, D. S., Notz, W. I, &amp; Flinger, M. A. (2013). The basic practice of statistics (6th ed.). New York, NY: W. H. Freeman and Company. Page (138).</t>
  </si>
  <si>
    <t>HPV - 2000-14</t>
  </si>
  <si>
    <t>HPV - 2015-23</t>
  </si>
  <si>
    <t>IPV - 2000-13</t>
  </si>
  <si>
    <t>IPV - 2014-23</t>
  </si>
  <si>
    <t>MR - 2000-13</t>
  </si>
  <si>
    <t>MR - 2014-23</t>
  </si>
  <si>
    <t>Very Weak</t>
  </si>
  <si>
    <t>Weak</t>
  </si>
  <si>
    <t>Moderate</t>
  </si>
  <si>
    <t>Strong</t>
  </si>
  <si>
    <t>Historical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</si>
</sst>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2" fontId="0" fillId="13" borderId="0" xfId="0" applyNumberFormat="1" applyFill="1"/>
    <xf numFmtId="2" fontId="0" fillId="2" borderId="0" xfId="0" applyNumberFormat="1" applyFill="1"/>
    <xf numFmtId="2" fontId="0" fillId="6" borderId="0" xfId="0" applyNumberFormat="1" applyFill="1"/>
    <xf numFmtId="1" fontId="0" fillId="0" borderId="0" xfId="0" applyNumberFormat="1" applyAlignment="1">
      <alignment wrapText="1"/>
    </xf>
    <xf numFmtId="2" fontId="0" fillId="14" borderId="0" xfId="0" applyNumberFormat="1" applyFill="1"/>
    <xf numFmtId="1" fontId="0" fillId="0" borderId="0" xfId="0" applyNumberFormat="1" applyAlignment="1">
      <alignment horizont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  <xf numFmtId="1" fontId="2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22" sqref="A22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158</v>
      </c>
      <c r="T1" s="33" t="s">
        <v>159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133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136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137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134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131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160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161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128</v>
      </c>
      <c r="G1" s="3" t="s">
        <v>9</v>
      </c>
      <c r="H1" s="3" t="s">
        <v>8</v>
      </c>
      <c r="I1" s="3" t="s">
        <v>129</v>
      </c>
      <c r="J1" s="3" t="s">
        <v>130</v>
      </c>
      <c r="K1" s="3" t="s">
        <v>78</v>
      </c>
      <c r="L1" s="3" t="s">
        <v>160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135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134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132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133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customWidth="1"/>
    <col min="24" max="24" width="16.85546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9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9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9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9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9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9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9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9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9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9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9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9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9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9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9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9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9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9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9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9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9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9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9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9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9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9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9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9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9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9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9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9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9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9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9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9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9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9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9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9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9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9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9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9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9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9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9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9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9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9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9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9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9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9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9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9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9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9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9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9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9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9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9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9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9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9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9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9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9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9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9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9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9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9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9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9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9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9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9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9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9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9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9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9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80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81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81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81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82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9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9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9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9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9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9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9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9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9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9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9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9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9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9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9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9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9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9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9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9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9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9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9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9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9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9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9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9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9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9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9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9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9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9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9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9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9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9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9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9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9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9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9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9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9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9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9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9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9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9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9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9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25">
      <c r="B149" s="79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9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9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9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9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9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9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9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9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9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9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9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9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9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9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9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9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9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9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9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9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9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9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9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9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9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9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9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9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9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9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9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9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9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9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9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9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9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9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9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9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9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9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9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9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9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9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9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9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9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9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9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9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9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9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138</v>
      </c>
      <c r="B207" s="7" t="s">
        <v>34</v>
      </c>
      <c r="C207" s="7" t="s">
        <v>162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162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162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163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163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164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165</v>
      </c>
      <c r="C213" s="7" t="s">
        <v>164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163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164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141</v>
      </c>
      <c r="B216" s="37" t="s">
        <v>18</v>
      </c>
      <c r="C216" s="36" t="s">
        <v>166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164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174</v>
      </c>
      <c r="B218" s="36" t="s">
        <v>23</v>
      </c>
      <c r="C218" s="7" t="s">
        <v>162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131</v>
      </c>
      <c r="C219" s="7" t="s">
        <v>162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133</v>
      </c>
      <c r="C220" s="7" t="s">
        <v>164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163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160</v>
      </c>
      <c r="B222" s="36" t="s">
        <v>4</v>
      </c>
      <c r="C222" s="7" t="s">
        <v>162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164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25">
      <c r="Y224" s="12"/>
    </row>
    <row r="225" spans="2:34" x14ac:dyDescent="0.25">
      <c r="B225" s="7" t="s">
        <v>167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168</v>
      </c>
      <c r="C226" s="7">
        <v>0.9</v>
      </c>
      <c r="U226" s="12"/>
      <c r="Y226" s="12"/>
    </row>
    <row r="227" spans="2:34" x14ac:dyDescent="0.25">
      <c r="B227" s="7" t="s">
        <v>169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170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171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172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145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173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171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171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171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165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172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171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172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131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159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133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161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243098535.28306666</v>
      </c>
      <c r="AD294" s="48">
        <f t="shared" si="81"/>
        <v>241017239.88728809</v>
      </c>
      <c r="AE294" s="48">
        <f t="shared" si="81"/>
        <v>244498228.04704562</v>
      </c>
      <c r="AF294" s="48">
        <f t="shared" si="81"/>
        <v>239069128.65535381</v>
      </c>
      <c r="AG294" s="48">
        <f t="shared" si="81"/>
        <v>240641027.85264659</v>
      </c>
      <c r="AH294" s="48">
        <f t="shared" si="81"/>
        <v>242257676.25056997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25">
      <c r="B296" s="7" t="s">
        <v>158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BE0A-0635-4203-802C-82AE212B2A62}">
  <dimension ref="A1:Y109"/>
  <sheetViews>
    <sheetView topLeftCell="A61" workbookViewId="0">
      <selection activeCell="A56" sqref="A56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138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141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174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160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138</v>
      </c>
      <c r="B20" s="71" t="str">
        <f>+"["&amp;ROUND(B2,0)&amp;","</f>
        <v>[78580259,</v>
      </c>
      <c r="C20" s="71" t="str">
        <f t="shared" ref="C20:X29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ref="C21:Q21" si="2">+ROUND(C3,0)&amp;","</f>
        <v>16708884,</v>
      </c>
      <c r="D21" s="71" t="str">
        <f t="shared" si="2"/>
        <v>16621239,</v>
      </c>
      <c r="E21" s="71" t="str">
        <f t="shared" si="2"/>
        <v>16912299,</v>
      </c>
      <c r="F21" s="71" t="str">
        <f t="shared" si="2"/>
        <v>17990793,</v>
      </c>
      <c r="G21" s="71" t="str">
        <f t="shared" si="2"/>
        <v>32224595,</v>
      </c>
      <c r="H21" s="71" t="str">
        <f t="shared" si="2"/>
        <v>36010296,</v>
      </c>
      <c r="I21" s="71" t="str">
        <f t="shared" si="2"/>
        <v>35638479,</v>
      </c>
      <c r="J21" s="71" t="str">
        <f t="shared" si="2"/>
        <v>21093263,</v>
      </c>
      <c r="K21" s="71" t="str">
        <f t="shared" si="2"/>
        <v>22353125,</v>
      </c>
      <c r="L21" s="71" t="str">
        <f t="shared" si="2"/>
        <v>22384691,</v>
      </c>
      <c r="M21" s="71" t="str">
        <f t="shared" si="2"/>
        <v>21083590,</v>
      </c>
      <c r="N21" s="71" t="str">
        <f t="shared" si="2"/>
        <v>4248061,</v>
      </c>
      <c r="O21" s="71" t="str">
        <f t="shared" si="2"/>
        <v>15084549,</v>
      </c>
      <c r="P21" s="71" t="str">
        <f t="shared" si="2"/>
        <v>24102254,</v>
      </c>
      <c r="Q21" s="71" t="str">
        <f t="shared" si="2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3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3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3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3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3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3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3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3"/>
        <v>280768151]</v>
      </c>
    </row>
    <row r="29" spans="1:25" x14ac:dyDescent="0.25">
      <c r="A29" s="7" t="s">
        <v>141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ref="C29:X36" si="4">+ROUND(L11,0)&amp;","</f>
        <v>0,</v>
      </c>
      <c r="M29" s="71" t="str">
        <f t="shared" si="4"/>
        <v>0,</v>
      </c>
      <c r="N29" s="71" t="str">
        <f t="shared" si="4"/>
        <v>0,</v>
      </c>
      <c r="O29" s="71" t="str">
        <f t="shared" si="4"/>
        <v>0,</v>
      </c>
      <c r="P29" s="71" t="str">
        <f t="shared" si="4"/>
        <v>0,</v>
      </c>
      <c r="Q29" s="71" t="str">
        <f t="shared" si="4"/>
        <v>14725,</v>
      </c>
      <c r="R29" s="71" t="str">
        <f t="shared" si="4"/>
        <v>213958,</v>
      </c>
      <c r="S29" s="71" t="str">
        <f t="shared" si="4"/>
        <v>0,</v>
      </c>
      <c r="T29" s="71" t="str">
        <f t="shared" si="4"/>
        <v>896286,</v>
      </c>
      <c r="U29" s="71" t="str">
        <f t="shared" si="4"/>
        <v>160010,</v>
      </c>
      <c r="V29" s="71" t="str">
        <f t="shared" si="4"/>
        <v>0,</v>
      </c>
      <c r="W29" s="71" t="str">
        <f t="shared" si="4"/>
        <v>0,</v>
      </c>
      <c r="X29" s="71" t="str">
        <f t="shared" si="4"/>
        <v>0,</v>
      </c>
      <c r="Y29" s="71" t="str">
        <f t="shared" si="3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4"/>
        <v>0,</v>
      </c>
      <c r="D30" s="71" t="str">
        <f t="shared" si="4"/>
        <v>0,</v>
      </c>
      <c r="E30" s="71" t="str">
        <f t="shared" si="4"/>
        <v>0,</v>
      </c>
      <c r="F30" s="71" t="str">
        <f t="shared" si="4"/>
        <v>0,</v>
      </c>
      <c r="G30" s="71" t="str">
        <f t="shared" si="4"/>
        <v>0,</v>
      </c>
      <c r="H30" s="71" t="str">
        <f t="shared" si="4"/>
        <v>538569,</v>
      </c>
      <c r="I30" s="71" t="str">
        <f t="shared" si="4"/>
        <v>572238,</v>
      </c>
      <c r="J30" s="71" t="str">
        <f t="shared" si="4"/>
        <v>1564054,</v>
      </c>
      <c r="K30" s="71" t="str">
        <f t="shared" si="4"/>
        <v>1802423,</v>
      </c>
      <c r="L30" s="71" t="str">
        <f t="shared" si="4"/>
        <v>1596326,</v>
      </c>
      <c r="M30" s="71" t="str">
        <f t="shared" si="4"/>
        <v>1432203,</v>
      </c>
      <c r="N30" s="71" t="str">
        <f t="shared" si="4"/>
        <v>1193206,</v>
      </c>
      <c r="O30" s="71" t="str">
        <f t="shared" si="4"/>
        <v>1051750,</v>
      </c>
      <c r="P30" s="71" t="str">
        <f t="shared" si="4"/>
        <v>838164,</v>
      </c>
      <c r="Q30" s="71" t="str">
        <f t="shared" si="4"/>
        <v>14134727,</v>
      </c>
      <c r="R30" s="71" t="str">
        <f t="shared" si="4"/>
        <v>45560280,</v>
      </c>
      <c r="S30" s="71" t="str">
        <f t="shared" si="4"/>
        <v>51668556,</v>
      </c>
      <c r="T30" s="71" t="str">
        <f t="shared" si="4"/>
        <v>65056521,</v>
      </c>
      <c r="U30" s="71" t="str">
        <f t="shared" si="4"/>
        <v>82074179,</v>
      </c>
      <c r="V30" s="71" t="str">
        <f t="shared" si="4"/>
        <v>79857578,</v>
      </c>
      <c r="W30" s="71" t="str">
        <f t="shared" si="4"/>
        <v>83779047,</v>
      </c>
      <c r="X30" s="71" t="str">
        <f t="shared" si="4"/>
        <v>111910967,</v>
      </c>
      <c r="Y30" s="71" t="str">
        <f t="shared" si="3"/>
        <v>130818258]</v>
      </c>
    </row>
    <row r="31" spans="1:25" x14ac:dyDescent="0.25">
      <c r="A31" s="7" t="s">
        <v>174</v>
      </c>
      <c r="B31" s="71" t="str">
        <f t="shared" si="1"/>
        <v>[0,</v>
      </c>
      <c r="C31" s="71" t="str">
        <f t="shared" si="4"/>
        <v>0,</v>
      </c>
      <c r="D31" s="71" t="str">
        <f t="shared" si="4"/>
        <v>0,</v>
      </c>
      <c r="E31" s="71" t="str">
        <f t="shared" si="4"/>
        <v>0,</v>
      </c>
      <c r="F31" s="71" t="str">
        <f t="shared" si="4"/>
        <v>0,</v>
      </c>
      <c r="G31" s="71" t="str">
        <f t="shared" si="4"/>
        <v>0,</v>
      </c>
      <c r="H31" s="71" t="str">
        <f t="shared" si="4"/>
        <v>0,</v>
      </c>
      <c r="I31" s="71" t="str">
        <f t="shared" si="4"/>
        <v>0,</v>
      </c>
      <c r="J31" s="71" t="str">
        <f t="shared" si="4"/>
        <v>0,</v>
      </c>
      <c r="K31" s="71" t="str">
        <f t="shared" si="4"/>
        <v>0,</v>
      </c>
      <c r="L31" s="71" t="str">
        <f t="shared" si="4"/>
        <v>0,</v>
      </c>
      <c r="M31" s="71" t="str">
        <f t="shared" si="4"/>
        <v>0,</v>
      </c>
      <c r="N31" s="71" t="str">
        <f t="shared" si="4"/>
        <v>0,</v>
      </c>
      <c r="O31" s="71" t="str">
        <f t="shared" si="4"/>
        <v>0,</v>
      </c>
      <c r="P31" s="71" t="str">
        <f t="shared" si="4"/>
        <v>0,</v>
      </c>
      <c r="Q31" s="71" t="str">
        <f t="shared" si="4"/>
        <v>0,</v>
      </c>
      <c r="R31" s="71" t="str">
        <f t="shared" si="4"/>
        <v>320876850,</v>
      </c>
      <c r="S31" s="71" t="str">
        <f t="shared" si="4"/>
        <v>459080986,</v>
      </c>
      <c r="T31" s="71" t="str">
        <f t="shared" si="4"/>
        <v>455559619,</v>
      </c>
      <c r="U31" s="71" t="str">
        <f t="shared" si="4"/>
        <v>463818185,</v>
      </c>
      <c r="V31" s="71" t="str">
        <f t="shared" si="4"/>
        <v>445823504,</v>
      </c>
      <c r="W31" s="71" t="str">
        <f t="shared" si="4"/>
        <v>438402962,</v>
      </c>
      <c r="X31" s="71" t="str">
        <f t="shared" si="4"/>
        <v>470271315,</v>
      </c>
      <c r="Y31" s="71" t="str">
        <f t="shared" si="3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4"/>
        <v>0,</v>
      </c>
      <c r="D32" s="71" t="str">
        <f t="shared" si="4"/>
        <v>0,</v>
      </c>
      <c r="E32" s="71" t="str">
        <f t="shared" si="4"/>
        <v>0,</v>
      </c>
      <c r="F32" s="71" t="str">
        <f t="shared" si="4"/>
        <v>0,</v>
      </c>
      <c r="G32" s="71" t="str">
        <f t="shared" si="4"/>
        <v>0,</v>
      </c>
      <c r="H32" s="71" t="str">
        <f t="shared" si="4"/>
        <v>0,</v>
      </c>
      <c r="I32" s="71" t="str">
        <f t="shared" si="4"/>
        <v>0,</v>
      </c>
      <c r="J32" s="71" t="str">
        <f t="shared" si="4"/>
        <v>9437,</v>
      </c>
      <c r="K32" s="71" t="str">
        <f t="shared" si="4"/>
        <v>15033,</v>
      </c>
      <c r="L32" s="71" t="str">
        <f t="shared" si="4"/>
        <v>7008,</v>
      </c>
      <c r="M32" s="71" t="str">
        <f t="shared" si="4"/>
        <v>15318,</v>
      </c>
      <c r="N32" s="71" t="str">
        <f t="shared" si="4"/>
        <v>60837,</v>
      </c>
      <c r="O32" s="71" t="str">
        <f t="shared" si="4"/>
        <v>181341,</v>
      </c>
      <c r="P32" s="71" t="str">
        <f t="shared" si="4"/>
        <v>349925,</v>
      </c>
      <c r="Q32" s="71" t="str">
        <f t="shared" si="4"/>
        <v>514654,</v>
      </c>
      <c r="R32" s="71" t="str">
        <f t="shared" si="4"/>
        <v>1545657,</v>
      </c>
      <c r="S32" s="71" t="str">
        <f t="shared" si="4"/>
        <v>2487801,</v>
      </c>
      <c r="T32" s="71" t="str">
        <f t="shared" si="4"/>
        <v>6959717,</v>
      </c>
      <c r="U32" s="71" t="str">
        <f t="shared" si="4"/>
        <v>10275961,</v>
      </c>
      <c r="V32" s="71" t="str">
        <f t="shared" si="4"/>
        <v>12011982,</v>
      </c>
      <c r="W32" s="71" t="str">
        <f t="shared" si="4"/>
        <v>18988210,</v>
      </c>
      <c r="X32" s="71" t="str">
        <f t="shared" si="4"/>
        <v>18779835,</v>
      </c>
      <c r="Y32" s="71" t="str">
        <f t="shared" si="3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4"/>
        <v>23446088,</v>
      </c>
      <c r="D33" s="71" t="str">
        <f t="shared" si="4"/>
        <v>67753163,</v>
      </c>
      <c r="E33" s="71" t="str">
        <f t="shared" si="4"/>
        <v>74823327,</v>
      </c>
      <c r="F33" s="71" t="str">
        <f t="shared" si="4"/>
        <v>82156425,</v>
      </c>
      <c r="G33" s="71" t="str">
        <f t="shared" si="4"/>
        <v>85718420,</v>
      </c>
      <c r="H33" s="71" t="str">
        <f t="shared" si="4"/>
        <v>83892403,</v>
      </c>
      <c r="I33" s="71" t="str">
        <f t="shared" si="4"/>
        <v>85888544,</v>
      </c>
      <c r="J33" s="71" t="str">
        <f t="shared" si="4"/>
        <v>102825622,</v>
      </c>
      <c r="K33" s="71" t="str">
        <f t="shared" si="4"/>
        <v>115113934,</v>
      </c>
      <c r="L33" s="71" t="str">
        <f t="shared" si="4"/>
        <v>110872800,</v>
      </c>
      <c r="M33" s="71" t="str">
        <f t="shared" si="4"/>
        <v>157250571,</v>
      </c>
      <c r="N33" s="71" t="str">
        <f t="shared" si="4"/>
        <v>123609468,</v>
      </c>
      <c r="O33" s="71" t="str">
        <f t="shared" si="4"/>
        <v>123120222,</v>
      </c>
      <c r="P33" s="71" t="str">
        <f t="shared" si="4"/>
        <v>119703177,</v>
      </c>
      <c r="Q33" s="71" t="str">
        <f t="shared" si="4"/>
        <v>72453270,</v>
      </c>
      <c r="R33" s="71" t="str">
        <f t="shared" si="4"/>
        <v>49638967,</v>
      </c>
      <c r="S33" s="71" t="str">
        <f t="shared" si="4"/>
        <v>52064037,</v>
      </c>
      <c r="T33" s="71" t="str">
        <f t="shared" si="4"/>
        <v>56898910,</v>
      </c>
      <c r="U33" s="71" t="str">
        <f t="shared" si="4"/>
        <v>59897866,</v>
      </c>
      <c r="V33" s="71" t="str">
        <f t="shared" si="4"/>
        <v>60273717,</v>
      </c>
      <c r="W33" s="71" t="str">
        <f t="shared" si="4"/>
        <v>59502552,</v>
      </c>
      <c r="X33" s="71" t="str">
        <f t="shared" si="4"/>
        <v>66824756,</v>
      </c>
      <c r="Y33" s="71" t="str">
        <f t="shared" si="3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4"/>
        <v>814410,</v>
      </c>
      <c r="D34" s="71" t="str">
        <f t="shared" si="4"/>
        <v>791282,</v>
      </c>
      <c r="E34" s="71" t="str">
        <f t="shared" si="4"/>
        <v>745680,</v>
      </c>
      <c r="F34" s="71" t="str">
        <f t="shared" si="4"/>
        <v>797608,</v>
      </c>
      <c r="G34" s="71" t="str">
        <f t="shared" si="4"/>
        <v>793505,</v>
      </c>
      <c r="H34" s="71" t="str">
        <f t="shared" si="4"/>
        <v>807322,</v>
      </c>
      <c r="I34" s="71" t="str">
        <f t="shared" si="4"/>
        <v>15497985,</v>
      </c>
      <c r="J34" s="71" t="str">
        <f t="shared" si="4"/>
        <v>23015254,</v>
      </c>
      <c r="K34" s="71" t="str">
        <f t="shared" si="4"/>
        <v>29554013,</v>
      </c>
      <c r="L34" s="71" t="str">
        <f t="shared" si="4"/>
        <v>28143333,</v>
      </c>
      <c r="M34" s="71" t="str">
        <f t="shared" si="4"/>
        <v>27963364,</v>
      </c>
      <c r="N34" s="71" t="str">
        <f t="shared" si="4"/>
        <v>287271,</v>
      </c>
      <c r="O34" s="71" t="str">
        <f t="shared" si="4"/>
        <v>295912,</v>
      </c>
      <c r="P34" s="71" t="str">
        <f t="shared" si="4"/>
        <v>313517,</v>
      </c>
      <c r="Q34" s="71" t="str">
        <f t="shared" si="4"/>
        <v>300998,</v>
      </c>
      <c r="R34" s="71" t="str">
        <f t="shared" si="4"/>
        <v>430152,</v>
      </c>
      <c r="S34" s="71" t="str">
        <f t="shared" si="4"/>
        <v>1240330,</v>
      </c>
      <c r="T34" s="71" t="str">
        <f t="shared" si="4"/>
        <v>1797782,</v>
      </c>
      <c r="U34" s="71" t="str">
        <f t="shared" si="4"/>
        <v>1041960,</v>
      </c>
      <c r="V34" s="71" t="str">
        <f t="shared" si="4"/>
        <v>903156,</v>
      </c>
      <c r="W34" s="71" t="str">
        <f t="shared" si="4"/>
        <v>927638,</v>
      </c>
      <c r="X34" s="71" t="str">
        <f t="shared" si="4"/>
        <v>777067,</v>
      </c>
      <c r="Y34" s="71" t="str">
        <f t="shared" si="3"/>
        <v>630153]</v>
      </c>
    </row>
    <row r="35" spans="1:25" x14ac:dyDescent="0.25">
      <c r="A35" s="7" t="s">
        <v>160</v>
      </c>
      <c r="B35" s="71" t="str">
        <f t="shared" si="1"/>
        <v>[0,</v>
      </c>
      <c r="C35" s="71" t="str">
        <f t="shared" si="4"/>
        <v>0,</v>
      </c>
      <c r="D35" s="71" t="str">
        <f t="shared" si="4"/>
        <v>0,</v>
      </c>
      <c r="E35" s="71" t="str">
        <f t="shared" si="4"/>
        <v>0,</v>
      </c>
      <c r="F35" s="71" t="str">
        <f t="shared" si="4"/>
        <v>0,</v>
      </c>
      <c r="G35" s="71" t="str">
        <f t="shared" si="4"/>
        <v>0,</v>
      </c>
      <c r="H35" s="71" t="str">
        <f t="shared" si="4"/>
        <v>3029896,</v>
      </c>
      <c r="I35" s="71" t="str">
        <f t="shared" si="4"/>
        <v>7758596,</v>
      </c>
      <c r="J35" s="71" t="str">
        <f t="shared" si="4"/>
        <v>1545856,</v>
      </c>
      <c r="K35" s="71" t="str">
        <f t="shared" si="4"/>
        <v>4340800,</v>
      </c>
      <c r="L35" s="71" t="str">
        <f t="shared" si="4"/>
        <v>3509131,</v>
      </c>
      <c r="M35" s="71" t="str">
        <f t="shared" si="4"/>
        <v>5934021,</v>
      </c>
      <c r="N35" s="71" t="str">
        <f t="shared" si="4"/>
        <v>11771289,</v>
      </c>
      <c r="O35" s="71" t="str">
        <f t="shared" si="4"/>
        <v>21235066,</v>
      </c>
      <c r="P35" s="71" t="str">
        <f t="shared" si="4"/>
        <v>35141119,</v>
      </c>
      <c r="Q35" s="71" t="str">
        <f t="shared" si="4"/>
        <v>44497769,</v>
      </c>
      <c r="R35" s="71" t="str">
        <f t="shared" si="4"/>
        <v>55341924,</v>
      </c>
      <c r="S35" s="71" t="str">
        <f t="shared" si="4"/>
        <v>66664537,</v>
      </c>
      <c r="T35" s="71" t="str">
        <f t="shared" si="4"/>
        <v>93092909,</v>
      </c>
      <c r="U35" s="71" t="str">
        <f t="shared" si="4"/>
        <v>126525666,</v>
      </c>
      <c r="V35" s="71" t="str">
        <f t="shared" si="4"/>
        <v>142261312,</v>
      </c>
      <c r="W35" s="71" t="str">
        <f t="shared" si="4"/>
        <v>142479003,</v>
      </c>
      <c r="X35" s="71" t="str">
        <f t="shared" si="4"/>
        <v>166422083,</v>
      </c>
      <c r="Y35" s="71" t="str">
        <f t="shared" si="3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4"/>
        <v>0,</v>
      </c>
      <c r="D36" s="71" t="str">
        <f t="shared" si="4"/>
        <v>0,</v>
      </c>
      <c r="E36" s="71" t="str">
        <f t="shared" si="4"/>
        <v>0,</v>
      </c>
      <c r="F36" s="71" t="str">
        <f t="shared" si="4"/>
        <v>0,</v>
      </c>
      <c r="G36" s="71" t="str">
        <f t="shared" si="4"/>
        <v>0,</v>
      </c>
      <c r="H36" s="71" t="str">
        <f t="shared" si="4"/>
        <v>0,</v>
      </c>
      <c r="I36" s="71" t="str">
        <f t="shared" si="4"/>
        <v>6301,</v>
      </c>
      <c r="J36" s="71" t="str">
        <f t="shared" si="4"/>
        <v>1716888,</v>
      </c>
      <c r="K36" s="71" t="str">
        <f t="shared" si="4"/>
        <v>1579536,</v>
      </c>
      <c r="L36" s="71" t="str">
        <f t="shared" si="4"/>
        <v>9327524,</v>
      </c>
      <c r="M36" s="71" t="str">
        <f t="shared" si="4"/>
        <v>23147609,</v>
      </c>
      <c r="N36" s="71" t="str">
        <f t="shared" si="4"/>
        <v>41170015,</v>
      </c>
      <c r="O36" s="71" t="str">
        <f t="shared" si="4"/>
        <v>66222136,</v>
      </c>
      <c r="P36" s="71" t="str">
        <f t="shared" si="4"/>
        <v>89756384,</v>
      </c>
      <c r="Q36" s="71" t="str">
        <f t="shared" si="4"/>
        <v>107603981,</v>
      </c>
      <c r="R36" s="71" t="str">
        <f t="shared" si="4"/>
        <v>127327221,</v>
      </c>
      <c r="S36" s="71" t="str">
        <f t="shared" si="4"/>
        <v>136528866,</v>
      </c>
      <c r="T36" s="71" t="str">
        <f t="shared" si="4"/>
        <v>145562505,</v>
      </c>
      <c r="U36" s="71" t="str">
        <f t="shared" si="4"/>
        <v>141811833,</v>
      </c>
      <c r="V36" s="71" t="str">
        <f t="shared" si="4"/>
        <v>160800233,</v>
      </c>
      <c r="W36" s="71" t="str">
        <f t="shared" si="4"/>
        <v>186996097,</v>
      </c>
      <c r="X36" s="71" t="str">
        <f t="shared" si="4"/>
        <v>209165466,</v>
      </c>
      <c r="Y36" s="71" t="str">
        <f t="shared" si="3"/>
        <v>205938451]</v>
      </c>
    </row>
    <row r="38" spans="1:25" x14ac:dyDescent="0.25">
      <c r="A38" s="7" t="s">
        <v>138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5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5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5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5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5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5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5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5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141</v>
      </c>
      <c r="B47" s="71" t="str">
        <f t="shared" si="5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5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174</v>
      </c>
      <c r="B49" s="71" t="str">
        <f t="shared" si="5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5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5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5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160</v>
      </c>
      <c r="B53" s="71" t="str">
        <f t="shared" si="5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5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6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6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6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6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6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6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6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6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6"/>
        <v>"Hexa": [77148,78898,77949,0,0,0,0,0,0,0,0,0,0,0,0,14725,213958,0,896286,160010,0,0,0,0],</v>
      </c>
    </row>
    <row r="66" spans="1:1" x14ac:dyDescent="0.25">
      <c r="A66" s="71" t="str">
        <f t="shared" si="6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6"/>
        <v>"OPV": [0,0,0,0,0,0,0,0,0,0,0,0,0,0,0,0,320876850,459080986,455559619,463818185,445823504,438402962,470271315,477813507],</v>
      </c>
    </row>
    <row r="68" spans="1:1" x14ac:dyDescent="0.25">
      <c r="A68" s="71" t="str">
        <f t="shared" si="6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6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6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6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6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7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7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7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7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7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7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7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7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7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7"/>
        <v xml:space="preserve">"Hexa": [77148,78898,77949,0,0,0,0,0,0,0,0,0,0,0,0,14725,213958,0,896286,160010,0,0,0,0],: </v>
      </c>
    </row>
    <row r="84" spans="1:10" x14ac:dyDescent="0.25">
      <c r="A84" s="71" t="str">
        <f t="shared" si="7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7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7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7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7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7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7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181</v>
      </c>
      <c r="D92" s="71" t="s">
        <v>182</v>
      </c>
      <c r="F92" s="71" t="s">
        <v>183</v>
      </c>
      <c r="H92" s="71" t="s">
        <v>184</v>
      </c>
    </row>
    <row r="93" spans="1:10" ht="105" x14ac:dyDescent="0.25">
      <c r="A93" s="7" t="s">
        <v>138</v>
      </c>
      <c r="B93" s="73">
        <v>4.4603111896922398E-2</v>
      </c>
      <c r="C93" s="7" t="s">
        <v>138</v>
      </c>
      <c r="D93" s="73">
        <v>4.4603111896922398E-2</v>
      </c>
      <c r="E93" s="7" t="s">
        <v>86</v>
      </c>
      <c r="F93" s="73">
        <v>2.8222915579930501E-2</v>
      </c>
      <c r="G93" s="7" t="s">
        <v>5</v>
      </c>
      <c r="H93" s="74">
        <v>0.566218725991401</v>
      </c>
      <c r="J93" s="76" t="s">
        <v>185</v>
      </c>
    </row>
    <row r="94" spans="1:10" x14ac:dyDescent="0.25">
      <c r="A94" s="7" t="s">
        <v>82</v>
      </c>
      <c r="B94" s="74">
        <v>0.60176670378566299</v>
      </c>
      <c r="C94" s="7" t="s">
        <v>82</v>
      </c>
      <c r="D94" s="74">
        <v>0.60176670378566299</v>
      </c>
      <c r="E94" s="7" t="s">
        <v>84</v>
      </c>
      <c r="F94" s="74">
        <v>0.52495778815762095</v>
      </c>
      <c r="G94" s="7" t="s">
        <v>160</v>
      </c>
      <c r="H94" s="75">
        <v>0.78385614450002705</v>
      </c>
    </row>
    <row r="95" spans="1:10" x14ac:dyDescent="0.25">
      <c r="A95" s="7" t="s">
        <v>7</v>
      </c>
      <c r="B95" s="73">
        <v>3.5671476343220798E-3</v>
      </c>
      <c r="C95" s="7" t="s">
        <v>7</v>
      </c>
      <c r="D95" s="73">
        <v>3.5671476343220798E-3</v>
      </c>
      <c r="E95" s="7" t="s">
        <v>73</v>
      </c>
      <c r="F95" s="74">
        <v>0.658732446387158</v>
      </c>
      <c r="G95" s="7" t="s">
        <v>6</v>
      </c>
      <c r="H95" s="75">
        <v>0.88316128259450699</v>
      </c>
      <c r="J95" s="71" t="s">
        <v>186</v>
      </c>
    </row>
    <row r="96" spans="1:10" x14ac:dyDescent="0.25">
      <c r="A96" s="7" t="s">
        <v>86</v>
      </c>
      <c r="B96" s="73">
        <v>2.8222915579930501E-2</v>
      </c>
      <c r="E96" s="7" t="s">
        <v>74</v>
      </c>
      <c r="F96" s="75">
        <v>0.92235049618967202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141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79</v>
      </c>
      <c r="F100" s="75">
        <v>0.71135552976522598</v>
      </c>
    </row>
    <row r="101" spans="1:6" x14ac:dyDescent="0.25">
      <c r="A101" s="7" t="s">
        <v>1</v>
      </c>
      <c r="B101" s="75">
        <v>0.94736317707128803</v>
      </c>
      <c r="E101" s="7" t="s">
        <v>174</v>
      </c>
      <c r="F101" s="74">
        <v>0.68208483127570896</v>
      </c>
    </row>
    <row r="102" spans="1:6" x14ac:dyDescent="0.25">
      <c r="A102" s="7" t="s">
        <v>141</v>
      </c>
      <c r="B102" s="73">
        <v>3.40198639357304E-2</v>
      </c>
      <c r="E102" s="7" t="s">
        <v>78</v>
      </c>
      <c r="F102" s="73">
        <v>6.62294170170607E-5</v>
      </c>
    </row>
    <row r="103" spans="1:6" x14ac:dyDescent="0.25">
      <c r="A103" s="7" t="s">
        <v>79</v>
      </c>
      <c r="B103" s="75">
        <v>0.71135552976522598</v>
      </c>
      <c r="E103" s="7" t="s">
        <v>105</v>
      </c>
      <c r="F103" s="73">
        <v>2.51408842676289E-2</v>
      </c>
    </row>
    <row r="104" spans="1:6" x14ac:dyDescent="0.25">
      <c r="A104" s="7" t="s">
        <v>174</v>
      </c>
      <c r="B104" s="74">
        <v>0.68208483127570896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</row>
    <row r="107" spans="1:6" x14ac:dyDescent="0.25">
      <c r="A107" s="7" t="s">
        <v>5</v>
      </c>
      <c r="B107" s="74">
        <v>0.566218725991401</v>
      </c>
    </row>
    <row r="108" spans="1:6" x14ac:dyDescent="0.25">
      <c r="A108" s="7" t="s">
        <v>160</v>
      </c>
      <c r="B108" s="75">
        <v>0.78385614450002705</v>
      </c>
    </row>
    <row r="109" spans="1:6" x14ac:dyDescent="0.25">
      <c r="A109" s="7" t="s">
        <v>6</v>
      </c>
      <c r="B109" s="75">
        <v>0.88316128259450699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FA8E-06C2-4975-AAF4-172A7FB3A152}">
  <dimension ref="A1:Y110"/>
  <sheetViews>
    <sheetView topLeftCell="A93" workbookViewId="0">
      <selection activeCell="J102" sqref="J102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138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141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174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160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138</v>
      </c>
      <c r="B20" s="71" t="str">
        <f>+"["&amp;ROUND(B2,0)&amp;","</f>
        <v>[78580259,</v>
      </c>
      <c r="C20" s="71" t="str">
        <f t="shared" ref="C20:X31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si="0"/>
        <v>16708884,</v>
      </c>
      <c r="D21" s="71" t="str">
        <f t="shared" si="0"/>
        <v>16621239,</v>
      </c>
      <c r="E21" s="71" t="str">
        <f t="shared" si="0"/>
        <v>16912299,</v>
      </c>
      <c r="F21" s="71" t="str">
        <f t="shared" si="0"/>
        <v>17990793,</v>
      </c>
      <c r="G21" s="71" t="str">
        <f t="shared" si="0"/>
        <v>32224595,</v>
      </c>
      <c r="H21" s="71" t="str">
        <f t="shared" si="0"/>
        <v>36010296,</v>
      </c>
      <c r="I21" s="71" t="str">
        <f t="shared" si="0"/>
        <v>35638479,</v>
      </c>
      <c r="J21" s="71" t="str">
        <f t="shared" si="0"/>
        <v>21093263,</v>
      </c>
      <c r="K21" s="71" t="str">
        <f t="shared" si="0"/>
        <v>22353125,</v>
      </c>
      <c r="L21" s="71" t="str">
        <f t="shared" si="0"/>
        <v>22384691,</v>
      </c>
      <c r="M21" s="71" t="str">
        <f t="shared" si="0"/>
        <v>21083590,</v>
      </c>
      <c r="N21" s="71" t="str">
        <f t="shared" si="0"/>
        <v>4248061,</v>
      </c>
      <c r="O21" s="71" t="str">
        <f t="shared" si="0"/>
        <v>15084549,</v>
      </c>
      <c r="P21" s="71" t="str">
        <f t="shared" si="0"/>
        <v>24102254,</v>
      </c>
      <c r="Q21" s="71" t="str">
        <f t="shared" si="0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2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2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2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2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2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2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2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2"/>
        <v>280768151]</v>
      </c>
    </row>
    <row r="29" spans="1:25" x14ac:dyDescent="0.25">
      <c r="A29" s="7" t="s">
        <v>141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si="0"/>
        <v>0,</v>
      </c>
      <c r="M29" s="71" t="str">
        <f t="shared" si="0"/>
        <v>0,</v>
      </c>
      <c r="N29" s="71" t="str">
        <f t="shared" si="0"/>
        <v>0,</v>
      </c>
      <c r="O29" s="71" t="str">
        <f t="shared" si="0"/>
        <v>0,</v>
      </c>
      <c r="P29" s="71" t="str">
        <f t="shared" si="0"/>
        <v>0,</v>
      </c>
      <c r="Q29" s="71" t="str">
        <f t="shared" si="0"/>
        <v>14725,</v>
      </c>
      <c r="R29" s="71" t="str">
        <f t="shared" si="0"/>
        <v>213958,</v>
      </c>
      <c r="S29" s="71" t="str">
        <f t="shared" si="0"/>
        <v>0,</v>
      </c>
      <c r="T29" s="71" t="str">
        <f t="shared" si="0"/>
        <v>896286,</v>
      </c>
      <c r="U29" s="71" t="str">
        <f t="shared" si="0"/>
        <v>160010,</v>
      </c>
      <c r="V29" s="71" t="str">
        <f t="shared" si="0"/>
        <v>0,</v>
      </c>
      <c r="W29" s="71" t="str">
        <f t="shared" si="0"/>
        <v>0,</v>
      </c>
      <c r="X29" s="71" t="str">
        <f t="shared" si="0"/>
        <v>0,</v>
      </c>
      <c r="Y29" s="71" t="str">
        <f t="shared" si="2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0"/>
        <v>0,</v>
      </c>
      <c r="D30" s="71" t="str">
        <f t="shared" si="0"/>
        <v>0,</v>
      </c>
      <c r="E30" s="71" t="str">
        <f t="shared" si="0"/>
        <v>0,</v>
      </c>
      <c r="F30" s="71" t="str">
        <f t="shared" si="0"/>
        <v>0,</v>
      </c>
      <c r="G30" s="71" t="str">
        <f t="shared" si="0"/>
        <v>0,</v>
      </c>
      <c r="H30" s="71" t="str">
        <f t="shared" si="0"/>
        <v>538569,</v>
      </c>
      <c r="I30" s="71" t="str">
        <f t="shared" si="0"/>
        <v>572238,</v>
      </c>
      <c r="J30" s="71" t="str">
        <f t="shared" si="0"/>
        <v>1564054,</v>
      </c>
      <c r="K30" s="71" t="str">
        <f t="shared" si="0"/>
        <v>1802423,</v>
      </c>
      <c r="L30" s="71" t="str">
        <f t="shared" si="0"/>
        <v>1596326,</v>
      </c>
      <c r="M30" s="71" t="str">
        <f t="shared" si="0"/>
        <v>1432203,</v>
      </c>
      <c r="N30" s="71" t="str">
        <f t="shared" si="0"/>
        <v>1193206,</v>
      </c>
      <c r="O30" s="71" t="str">
        <f t="shared" si="0"/>
        <v>1051750,</v>
      </c>
      <c r="P30" s="71" t="str">
        <f t="shared" si="0"/>
        <v>838164,</v>
      </c>
      <c r="Q30" s="71" t="str">
        <f t="shared" si="0"/>
        <v>14134727,</v>
      </c>
      <c r="R30" s="71" t="str">
        <f t="shared" si="0"/>
        <v>45560280,</v>
      </c>
      <c r="S30" s="71" t="str">
        <f t="shared" si="0"/>
        <v>51668556,</v>
      </c>
      <c r="T30" s="71" t="str">
        <f t="shared" si="0"/>
        <v>65056521,</v>
      </c>
      <c r="U30" s="71" t="str">
        <f t="shared" si="0"/>
        <v>82074179,</v>
      </c>
      <c r="V30" s="71" t="str">
        <f t="shared" si="0"/>
        <v>79857578,</v>
      </c>
      <c r="W30" s="71" t="str">
        <f t="shared" si="0"/>
        <v>83779047,</v>
      </c>
      <c r="X30" s="71" t="str">
        <f t="shared" si="0"/>
        <v>111910967,</v>
      </c>
      <c r="Y30" s="71" t="str">
        <f t="shared" si="2"/>
        <v>130818258]</v>
      </c>
    </row>
    <row r="31" spans="1:25" x14ac:dyDescent="0.25">
      <c r="A31" s="7" t="s">
        <v>174</v>
      </c>
      <c r="B31" s="71" t="str">
        <f t="shared" si="1"/>
        <v>[0,</v>
      </c>
      <c r="C31" s="71" t="str">
        <f t="shared" si="0"/>
        <v>0,</v>
      </c>
      <c r="D31" s="71" t="str">
        <f t="shared" si="0"/>
        <v>0,</v>
      </c>
      <c r="E31" s="71" t="str">
        <f t="shared" si="0"/>
        <v>0,</v>
      </c>
      <c r="F31" s="71" t="str">
        <f t="shared" si="0"/>
        <v>0,</v>
      </c>
      <c r="G31" s="71" t="str">
        <f t="shared" si="0"/>
        <v>0,</v>
      </c>
      <c r="H31" s="71" t="str">
        <f t="shared" si="0"/>
        <v>0,</v>
      </c>
      <c r="I31" s="71" t="str">
        <f t="shared" si="0"/>
        <v>0,</v>
      </c>
      <c r="J31" s="71" t="str">
        <f t="shared" si="0"/>
        <v>0,</v>
      </c>
      <c r="K31" s="71" t="str">
        <f t="shared" si="0"/>
        <v>0,</v>
      </c>
      <c r="L31" s="71" t="str">
        <f t="shared" si="0"/>
        <v>0,</v>
      </c>
      <c r="M31" s="71" t="str">
        <f t="shared" si="0"/>
        <v>0,</v>
      </c>
      <c r="N31" s="71" t="str">
        <f t="shared" si="0"/>
        <v>0,</v>
      </c>
      <c r="O31" s="71" t="str">
        <f t="shared" si="0"/>
        <v>0,</v>
      </c>
      <c r="P31" s="71" t="str">
        <f t="shared" ref="C31:X36" si="3">+ROUND(P13,0)&amp;","</f>
        <v>0,</v>
      </c>
      <c r="Q31" s="71" t="str">
        <f t="shared" si="3"/>
        <v>0,</v>
      </c>
      <c r="R31" s="71" t="str">
        <f t="shared" si="3"/>
        <v>320876850,</v>
      </c>
      <c r="S31" s="71" t="str">
        <f t="shared" si="3"/>
        <v>459080986,</v>
      </c>
      <c r="T31" s="71" t="str">
        <f t="shared" si="3"/>
        <v>455559619,</v>
      </c>
      <c r="U31" s="71" t="str">
        <f t="shared" si="3"/>
        <v>463818185,</v>
      </c>
      <c r="V31" s="71" t="str">
        <f t="shared" si="3"/>
        <v>445823504,</v>
      </c>
      <c r="W31" s="71" t="str">
        <f t="shared" si="3"/>
        <v>438402962,</v>
      </c>
      <c r="X31" s="71" t="str">
        <f t="shared" si="3"/>
        <v>470271315,</v>
      </c>
      <c r="Y31" s="71" t="str">
        <f t="shared" si="2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3"/>
        <v>0,</v>
      </c>
      <c r="D32" s="71" t="str">
        <f t="shared" si="3"/>
        <v>0,</v>
      </c>
      <c r="E32" s="71" t="str">
        <f t="shared" si="3"/>
        <v>0,</v>
      </c>
      <c r="F32" s="71" t="str">
        <f t="shared" si="3"/>
        <v>0,</v>
      </c>
      <c r="G32" s="71" t="str">
        <f t="shared" si="3"/>
        <v>0,</v>
      </c>
      <c r="H32" s="71" t="str">
        <f t="shared" si="3"/>
        <v>0,</v>
      </c>
      <c r="I32" s="71" t="str">
        <f t="shared" si="3"/>
        <v>0,</v>
      </c>
      <c r="J32" s="71" t="str">
        <f t="shared" si="3"/>
        <v>9437,</v>
      </c>
      <c r="K32" s="71" t="str">
        <f t="shared" si="3"/>
        <v>15033,</v>
      </c>
      <c r="L32" s="71" t="str">
        <f t="shared" si="3"/>
        <v>7008,</v>
      </c>
      <c r="M32" s="71" t="str">
        <f t="shared" si="3"/>
        <v>15318,</v>
      </c>
      <c r="N32" s="71" t="str">
        <f t="shared" si="3"/>
        <v>60837,</v>
      </c>
      <c r="O32" s="71" t="str">
        <f t="shared" si="3"/>
        <v>181341,</v>
      </c>
      <c r="P32" s="71" t="str">
        <f t="shared" si="3"/>
        <v>349925,</v>
      </c>
      <c r="Q32" s="71" t="str">
        <f t="shared" si="3"/>
        <v>514654,</v>
      </c>
      <c r="R32" s="71" t="str">
        <f t="shared" si="3"/>
        <v>1545657,</v>
      </c>
      <c r="S32" s="71" t="str">
        <f t="shared" si="3"/>
        <v>2487801,</v>
      </c>
      <c r="T32" s="71" t="str">
        <f t="shared" si="3"/>
        <v>6959717,</v>
      </c>
      <c r="U32" s="71" t="str">
        <f t="shared" si="3"/>
        <v>10275961,</v>
      </c>
      <c r="V32" s="71" t="str">
        <f t="shared" si="3"/>
        <v>12011982,</v>
      </c>
      <c r="W32" s="71" t="str">
        <f t="shared" si="3"/>
        <v>18988210,</v>
      </c>
      <c r="X32" s="71" t="str">
        <f t="shared" si="3"/>
        <v>18779835,</v>
      </c>
      <c r="Y32" s="71" t="str">
        <f t="shared" si="2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3"/>
        <v>23446088,</v>
      </c>
      <c r="D33" s="71" t="str">
        <f t="shared" si="3"/>
        <v>67753163,</v>
      </c>
      <c r="E33" s="71" t="str">
        <f t="shared" si="3"/>
        <v>74823327,</v>
      </c>
      <c r="F33" s="71" t="str">
        <f t="shared" si="3"/>
        <v>82156425,</v>
      </c>
      <c r="G33" s="71" t="str">
        <f t="shared" si="3"/>
        <v>85718420,</v>
      </c>
      <c r="H33" s="71" t="str">
        <f t="shared" si="3"/>
        <v>83892403,</v>
      </c>
      <c r="I33" s="71" t="str">
        <f t="shared" si="3"/>
        <v>85888544,</v>
      </c>
      <c r="J33" s="71" t="str">
        <f t="shared" si="3"/>
        <v>102825622,</v>
      </c>
      <c r="K33" s="71" t="str">
        <f t="shared" si="3"/>
        <v>115113934,</v>
      </c>
      <c r="L33" s="71" t="str">
        <f t="shared" si="3"/>
        <v>110872800,</v>
      </c>
      <c r="M33" s="71" t="str">
        <f t="shared" si="3"/>
        <v>157250571,</v>
      </c>
      <c r="N33" s="71" t="str">
        <f t="shared" si="3"/>
        <v>123609468,</v>
      </c>
      <c r="O33" s="71" t="str">
        <f t="shared" si="3"/>
        <v>123120222,</v>
      </c>
      <c r="P33" s="71" t="str">
        <f t="shared" si="3"/>
        <v>119703177,</v>
      </c>
      <c r="Q33" s="71" t="str">
        <f t="shared" si="3"/>
        <v>72453270,</v>
      </c>
      <c r="R33" s="71" t="str">
        <f t="shared" si="3"/>
        <v>49638967,</v>
      </c>
      <c r="S33" s="71" t="str">
        <f t="shared" si="3"/>
        <v>52064037,</v>
      </c>
      <c r="T33" s="71" t="str">
        <f t="shared" si="3"/>
        <v>56898910,</v>
      </c>
      <c r="U33" s="71" t="str">
        <f t="shared" si="3"/>
        <v>59897866,</v>
      </c>
      <c r="V33" s="71" t="str">
        <f t="shared" si="3"/>
        <v>60273717,</v>
      </c>
      <c r="W33" s="71" t="str">
        <f t="shared" si="3"/>
        <v>59502552,</v>
      </c>
      <c r="X33" s="71" t="str">
        <f t="shared" si="3"/>
        <v>66824756,</v>
      </c>
      <c r="Y33" s="71" t="str">
        <f t="shared" si="2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3"/>
        <v>814410,</v>
      </c>
      <c r="D34" s="71" t="str">
        <f t="shared" si="3"/>
        <v>791282,</v>
      </c>
      <c r="E34" s="71" t="str">
        <f t="shared" si="3"/>
        <v>745680,</v>
      </c>
      <c r="F34" s="71" t="str">
        <f t="shared" si="3"/>
        <v>797608,</v>
      </c>
      <c r="G34" s="71" t="str">
        <f t="shared" si="3"/>
        <v>793505,</v>
      </c>
      <c r="H34" s="71" t="str">
        <f t="shared" si="3"/>
        <v>807322,</v>
      </c>
      <c r="I34" s="71" t="str">
        <f t="shared" si="3"/>
        <v>15497985,</v>
      </c>
      <c r="J34" s="71" t="str">
        <f t="shared" si="3"/>
        <v>23015254,</v>
      </c>
      <c r="K34" s="71" t="str">
        <f t="shared" si="3"/>
        <v>29554013,</v>
      </c>
      <c r="L34" s="71" t="str">
        <f t="shared" si="3"/>
        <v>28143333,</v>
      </c>
      <c r="M34" s="71" t="str">
        <f t="shared" si="3"/>
        <v>27963364,</v>
      </c>
      <c r="N34" s="71" t="str">
        <f t="shared" si="3"/>
        <v>287271,</v>
      </c>
      <c r="O34" s="71" t="str">
        <f t="shared" si="3"/>
        <v>295912,</v>
      </c>
      <c r="P34" s="71" t="str">
        <f t="shared" si="3"/>
        <v>313517,</v>
      </c>
      <c r="Q34" s="71" t="str">
        <f t="shared" si="3"/>
        <v>300998,</v>
      </c>
      <c r="R34" s="71" t="str">
        <f t="shared" si="3"/>
        <v>430152,</v>
      </c>
      <c r="S34" s="71" t="str">
        <f t="shared" si="3"/>
        <v>1240330,</v>
      </c>
      <c r="T34" s="71" t="str">
        <f t="shared" si="3"/>
        <v>1797782,</v>
      </c>
      <c r="U34" s="71" t="str">
        <f t="shared" si="3"/>
        <v>1041960,</v>
      </c>
      <c r="V34" s="71" t="str">
        <f t="shared" si="3"/>
        <v>903156,</v>
      </c>
      <c r="W34" s="71" t="str">
        <f t="shared" si="3"/>
        <v>927638,</v>
      </c>
      <c r="X34" s="71" t="str">
        <f t="shared" si="3"/>
        <v>777067,</v>
      </c>
      <c r="Y34" s="71" t="str">
        <f t="shared" si="2"/>
        <v>630153]</v>
      </c>
    </row>
    <row r="35" spans="1:25" x14ac:dyDescent="0.25">
      <c r="A35" s="7" t="s">
        <v>160</v>
      </c>
      <c r="B35" s="71" t="str">
        <f t="shared" si="1"/>
        <v>[0,</v>
      </c>
      <c r="C35" s="71" t="str">
        <f t="shared" si="3"/>
        <v>0,</v>
      </c>
      <c r="D35" s="71" t="str">
        <f t="shared" si="3"/>
        <v>0,</v>
      </c>
      <c r="E35" s="71" t="str">
        <f t="shared" si="3"/>
        <v>0,</v>
      </c>
      <c r="F35" s="71" t="str">
        <f t="shared" si="3"/>
        <v>0,</v>
      </c>
      <c r="G35" s="71" t="str">
        <f t="shared" si="3"/>
        <v>0,</v>
      </c>
      <c r="H35" s="71" t="str">
        <f t="shared" si="3"/>
        <v>3029896,</v>
      </c>
      <c r="I35" s="71" t="str">
        <f t="shared" si="3"/>
        <v>7758596,</v>
      </c>
      <c r="J35" s="71" t="str">
        <f t="shared" si="3"/>
        <v>1545856,</v>
      </c>
      <c r="K35" s="71" t="str">
        <f t="shared" si="3"/>
        <v>4340800,</v>
      </c>
      <c r="L35" s="71" t="str">
        <f t="shared" si="3"/>
        <v>3509131,</v>
      </c>
      <c r="M35" s="71" t="str">
        <f t="shared" si="3"/>
        <v>5934021,</v>
      </c>
      <c r="N35" s="71" t="str">
        <f t="shared" si="3"/>
        <v>11771289,</v>
      </c>
      <c r="O35" s="71" t="str">
        <f t="shared" si="3"/>
        <v>21235066,</v>
      </c>
      <c r="P35" s="71" t="str">
        <f t="shared" si="3"/>
        <v>35141119,</v>
      </c>
      <c r="Q35" s="71" t="str">
        <f t="shared" si="3"/>
        <v>44497769,</v>
      </c>
      <c r="R35" s="71" t="str">
        <f t="shared" si="3"/>
        <v>55341924,</v>
      </c>
      <c r="S35" s="71" t="str">
        <f t="shared" si="3"/>
        <v>66664537,</v>
      </c>
      <c r="T35" s="71" t="str">
        <f t="shared" si="3"/>
        <v>93092909,</v>
      </c>
      <c r="U35" s="71" t="str">
        <f t="shared" si="3"/>
        <v>126525666,</v>
      </c>
      <c r="V35" s="71" t="str">
        <f t="shared" si="3"/>
        <v>142261312,</v>
      </c>
      <c r="W35" s="71" t="str">
        <f t="shared" si="3"/>
        <v>142479003,</v>
      </c>
      <c r="X35" s="71" t="str">
        <f t="shared" si="3"/>
        <v>166422083,</v>
      </c>
      <c r="Y35" s="71" t="str">
        <f t="shared" si="2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3"/>
        <v>0,</v>
      </c>
      <c r="D36" s="71" t="str">
        <f t="shared" si="3"/>
        <v>0,</v>
      </c>
      <c r="E36" s="71" t="str">
        <f t="shared" si="3"/>
        <v>0,</v>
      </c>
      <c r="F36" s="71" t="str">
        <f t="shared" si="3"/>
        <v>0,</v>
      </c>
      <c r="G36" s="71" t="str">
        <f t="shared" si="3"/>
        <v>0,</v>
      </c>
      <c r="H36" s="71" t="str">
        <f t="shared" si="3"/>
        <v>0,</v>
      </c>
      <c r="I36" s="71" t="str">
        <f t="shared" si="3"/>
        <v>6301,</v>
      </c>
      <c r="J36" s="71" t="str">
        <f t="shared" si="3"/>
        <v>1716888,</v>
      </c>
      <c r="K36" s="71" t="str">
        <f t="shared" si="3"/>
        <v>1579536,</v>
      </c>
      <c r="L36" s="71" t="str">
        <f t="shared" si="3"/>
        <v>9327524,</v>
      </c>
      <c r="M36" s="71" t="str">
        <f t="shared" si="3"/>
        <v>23147609,</v>
      </c>
      <c r="N36" s="71" t="str">
        <f t="shared" si="3"/>
        <v>41170015,</v>
      </c>
      <c r="O36" s="71" t="str">
        <f t="shared" si="3"/>
        <v>66222136,</v>
      </c>
      <c r="P36" s="71" t="str">
        <f t="shared" si="3"/>
        <v>89756384,</v>
      </c>
      <c r="Q36" s="71" t="str">
        <f t="shared" si="3"/>
        <v>107603981,</v>
      </c>
      <c r="R36" s="71" t="str">
        <f t="shared" si="3"/>
        <v>127327221,</v>
      </c>
      <c r="S36" s="71" t="str">
        <f t="shared" si="3"/>
        <v>136528866,</v>
      </c>
      <c r="T36" s="71" t="str">
        <f t="shared" si="3"/>
        <v>145562505,</v>
      </c>
      <c r="U36" s="71" t="str">
        <f t="shared" si="3"/>
        <v>141811833,</v>
      </c>
      <c r="V36" s="71" t="str">
        <f t="shared" si="3"/>
        <v>160800233,</v>
      </c>
      <c r="W36" s="71" t="str">
        <f t="shared" si="3"/>
        <v>186996097,</v>
      </c>
      <c r="X36" s="71" t="str">
        <f t="shared" si="3"/>
        <v>209165466,</v>
      </c>
      <c r="Y36" s="71" t="str">
        <f t="shared" si="2"/>
        <v>205938451]</v>
      </c>
    </row>
    <row r="38" spans="1:25" x14ac:dyDescent="0.25">
      <c r="A38" s="7" t="s">
        <v>138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141</v>
      </c>
      <c r="B47" s="71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174</v>
      </c>
      <c r="B49" s="71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160</v>
      </c>
      <c r="B53" s="71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5"/>
        <v>"Hexa": [77148,78898,77949,0,0,0,0,0,0,0,0,0,0,0,0,14725,213958,0,896286,160010,0,0,0,0],</v>
      </c>
    </row>
    <row r="66" spans="1:1" x14ac:dyDescent="0.25">
      <c r="A66" s="71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5"/>
        <v>"OPV": [0,0,0,0,0,0,0,0,0,0,0,0,0,0,0,0,320876850,459080986,455559619,463818185,445823504,438402962,470271315,477813507],</v>
      </c>
    </row>
    <row r="68" spans="1:1" x14ac:dyDescent="0.25">
      <c r="A68" s="71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6"/>
        <v xml:space="preserve">"Hexa": [77148,78898,77949,0,0,0,0,0,0,0,0,0,0,0,0,14725,213958,0,896286,160010,0,0,0,0],: </v>
      </c>
    </row>
    <row r="84" spans="1:10" x14ac:dyDescent="0.25">
      <c r="A84" s="71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181</v>
      </c>
      <c r="D92" s="71" t="s">
        <v>182</v>
      </c>
      <c r="F92" s="71" t="s">
        <v>183</v>
      </c>
      <c r="H92" s="71" t="s">
        <v>184</v>
      </c>
    </row>
    <row r="93" spans="1:10" ht="105" x14ac:dyDescent="0.25">
      <c r="A93" s="7" t="s">
        <v>138</v>
      </c>
      <c r="B93" s="73">
        <v>4.4603111896922398E-2</v>
      </c>
      <c r="C93" s="7" t="s">
        <v>138</v>
      </c>
      <c r="D93" s="73">
        <v>4.4603111896922398E-2</v>
      </c>
      <c r="E93" s="7" t="s">
        <v>86</v>
      </c>
      <c r="F93" s="73">
        <v>2.8222915579930501E-2</v>
      </c>
      <c r="G93" s="7" t="s">
        <v>187</v>
      </c>
      <c r="H93" s="75">
        <v>0.7</v>
      </c>
      <c r="J93" s="76" t="s">
        <v>185</v>
      </c>
    </row>
    <row r="94" spans="1:10" x14ac:dyDescent="0.25">
      <c r="A94" s="7" t="s">
        <v>82</v>
      </c>
      <c r="B94" s="74">
        <v>0.60176670378566299</v>
      </c>
      <c r="C94" s="7" t="s">
        <v>191</v>
      </c>
      <c r="D94" s="73">
        <v>0.01</v>
      </c>
      <c r="E94" s="7" t="s">
        <v>84</v>
      </c>
      <c r="F94" s="74">
        <v>0.52495778815762095</v>
      </c>
      <c r="G94" s="7" t="s">
        <v>188</v>
      </c>
      <c r="H94" s="75">
        <v>0.95</v>
      </c>
    </row>
    <row r="95" spans="1:10" x14ac:dyDescent="0.25">
      <c r="A95" s="7" t="s">
        <v>7</v>
      </c>
      <c r="B95" s="73">
        <v>3.5671476343220798E-3</v>
      </c>
      <c r="C95" s="7" t="s">
        <v>192</v>
      </c>
      <c r="D95" s="77">
        <v>0.42</v>
      </c>
      <c r="E95" s="7" t="s">
        <v>73</v>
      </c>
      <c r="F95" s="74">
        <v>0.658732446387158</v>
      </c>
      <c r="G95" s="7" t="s">
        <v>160</v>
      </c>
      <c r="H95" s="75">
        <v>0.89</v>
      </c>
      <c r="J95" s="71" t="s">
        <v>186</v>
      </c>
    </row>
    <row r="96" spans="1:10" x14ac:dyDescent="0.25">
      <c r="A96" s="7" t="s">
        <v>86</v>
      </c>
      <c r="B96" s="73">
        <v>2.8222915579930501E-2</v>
      </c>
      <c r="C96" s="7" t="s">
        <v>7</v>
      </c>
      <c r="D96" s="73">
        <v>3.5671476343220798E-3</v>
      </c>
      <c r="E96" s="7" t="s">
        <v>74</v>
      </c>
      <c r="F96" s="75">
        <v>0.92235049618967202</v>
      </c>
      <c r="G96" s="7" t="s">
        <v>6</v>
      </c>
      <c r="H96" s="75">
        <v>0.98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141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189</v>
      </c>
      <c r="F100" s="73">
        <v>0.14000000000000001</v>
      </c>
    </row>
    <row r="101" spans="1:6" x14ac:dyDescent="0.25">
      <c r="A101" s="7" t="s">
        <v>1</v>
      </c>
      <c r="B101" s="75">
        <v>0.94736317707128803</v>
      </c>
      <c r="E101" s="7" t="s">
        <v>190</v>
      </c>
      <c r="F101" s="75">
        <v>0.95</v>
      </c>
    </row>
    <row r="102" spans="1:6" x14ac:dyDescent="0.25">
      <c r="A102" s="7" t="s">
        <v>141</v>
      </c>
      <c r="B102" s="73">
        <v>3.40198639357304E-2</v>
      </c>
      <c r="E102" s="7" t="s">
        <v>174</v>
      </c>
      <c r="F102" s="77">
        <v>0.4</v>
      </c>
    </row>
    <row r="103" spans="1:6" x14ac:dyDescent="0.25">
      <c r="A103" s="7" t="s">
        <v>79</v>
      </c>
      <c r="B103" s="75">
        <v>0.71135552976522598</v>
      </c>
      <c r="E103" s="7" t="s">
        <v>78</v>
      </c>
      <c r="F103" s="73">
        <v>6.62294170170607E-5</v>
      </c>
    </row>
    <row r="104" spans="1:6" x14ac:dyDescent="0.25">
      <c r="A104" s="7" t="s">
        <v>174</v>
      </c>
      <c r="B104" s="74">
        <v>0.68208483127570896</v>
      </c>
      <c r="E104" s="7" t="s">
        <v>105</v>
      </c>
      <c r="F104" s="73">
        <v>2.51408842676289E-2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  <c r="D106" s="83" t="s">
        <v>197</v>
      </c>
      <c r="E106" s="83"/>
    </row>
    <row r="107" spans="1:6" x14ac:dyDescent="0.25">
      <c r="A107" s="7" t="s">
        <v>5</v>
      </c>
      <c r="B107" s="74">
        <v>0.566218725991401</v>
      </c>
      <c r="D107" s="73" t="s">
        <v>193</v>
      </c>
      <c r="E107" s="78">
        <v>9</v>
      </c>
    </row>
    <row r="108" spans="1:6" x14ac:dyDescent="0.25">
      <c r="A108" s="7" t="s">
        <v>160</v>
      </c>
      <c r="B108" s="75">
        <v>0.78385614450002705</v>
      </c>
      <c r="D108" s="77" t="s">
        <v>194</v>
      </c>
      <c r="E108" s="78">
        <v>2</v>
      </c>
    </row>
    <row r="109" spans="1:6" x14ac:dyDescent="0.25">
      <c r="A109" s="7" t="s">
        <v>6</v>
      </c>
      <c r="B109" s="75">
        <v>0.88316128259450699</v>
      </c>
      <c r="D109" s="74" t="s">
        <v>195</v>
      </c>
      <c r="E109" s="78">
        <v>2</v>
      </c>
    </row>
    <row r="110" spans="1:6" x14ac:dyDescent="0.25">
      <c r="D110" s="75" t="s">
        <v>196</v>
      </c>
      <c r="E110" s="78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298B-9C5F-4C14-9368-8CF2CEDAFF01}">
  <dimension ref="A1:Y110"/>
  <sheetViews>
    <sheetView topLeftCell="A90" workbookViewId="0">
      <selection activeCell="I101" sqref="I101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138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141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174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160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138</v>
      </c>
      <c r="B20" s="71" t="str">
        <f>+"["&amp;ROUND(B2,0)&amp;","</f>
        <v>[78580259,</v>
      </c>
      <c r="C20" s="71" t="str">
        <f t="shared" ref="C20:X31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si="0"/>
        <v>16708884,</v>
      </c>
      <c r="D21" s="71" t="str">
        <f t="shared" si="0"/>
        <v>16621239,</v>
      </c>
      <c r="E21" s="71" t="str">
        <f t="shared" si="0"/>
        <v>16912299,</v>
      </c>
      <c r="F21" s="71" t="str">
        <f t="shared" si="0"/>
        <v>17990793,</v>
      </c>
      <c r="G21" s="71" t="str">
        <f t="shared" si="0"/>
        <v>32224595,</v>
      </c>
      <c r="H21" s="71" t="str">
        <f t="shared" si="0"/>
        <v>36010296,</v>
      </c>
      <c r="I21" s="71" t="str">
        <f t="shared" si="0"/>
        <v>35638479,</v>
      </c>
      <c r="J21" s="71" t="str">
        <f t="shared" si="0"/>
        <v>21093263,</v>
      </c>
      <c r="K21" s="71" t="str">
        <f t="shared" si="0"/>
        <v>22353125,</v>
      </c>
      <c r="L21" s="71" t="str">
        <f t="shared" si="0"/>
        <v>22384691,</v>
      </c>
      <c r="M21" s="71" t="str">
        <f t="shared" si="0"/>
        <v>21083590,</v>
      </c>
      <c r="N21" s="71" t="str">
        <f t="shared" si="0"/>
        <v>4248061,</v>
      </c>
      <c r="O21" s="71" t="str">
        <f t="shared" si="0"/>
        <v>15084549,</v>
      </c>
      <c r="P21" s="71" t="str">
        <f t="shared" si="0"/>
        <v>24102254,</v>
      </c>
      <c r="Q21" s="71" t="str">
        <f t="shared" si="0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2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2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2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2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2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2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2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2"/>
        <v>280768151]</v>
      </c>
    </row>
    <row r="29" spans="1:25" x14ac:dyDescent="0.25">
      <c r="A29" s="7" t="s">
        <v>141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si="0"/>
        <v>0,</v>
      </c>
      <c r="M29" s="71" t="str">
        <f t="shared" si="0"/>
        <v>0,</v>
      </c>
      <c r="N29" s="71" t="str">
        <f t="shared" si="0"/>
        <v>0,</v>
      </c>
      <c r="O29" s="71" t="str">
        <f t="shared" si="0"/>
        <v>0,</v>
      </c>
      <c r="P29" s="71" t="str">
        <f t="shared" si="0"/>
        <v>0,</v>
      </c>
      <c r="Q29" s="71" t="str">
        <f t="shared" si="0"/>
        <v>14725,</v>
      </c>
      <c r="R29" s="71" t="str">
        <f t="shared" si="0"/>
        <v>213958,</v>
      </c>
      <c r="S29" s="71" t="str">
        <f t="shared" si="0"/>
        <v>0,</v>
      </c>
      <c r="T29" s="71" t="str">
        <f t="shared" si="0"/>
        <v>896286,</v>
      </c>
      <c r="U29" s="71" t="str">
        <f t="shared" si="0"/>
        <v>160010,</v>
      </c>
      <c r="V29" s="71" t="str">
        <f t="shared" si="0"/>
        <v>0,</v>
      </c>
      <c r="W29" s="71" t="str">
        <f t="shared" si="0"/>
        <v>0,</v>
      </c>
      <c r="X29" s="71" t="str">
        <f t="shared" si="0"/>
        <v>0,</v>
      </c>
      <c r="Y29" s="71" t="str">
        <f t="shared" si="2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0"/>
        <v>0,</v>
      </c>
      <c r="D30" s="71" t="str">
        <f t="shared" si="0"/>
        <v>0,</v>
      </c>
      <c r="E30" s="71" t="str">
        <f t="shared" si="0"/>
        <v>0,</v>
      </c>
      <c r="F30" s="71" t="str">
        <f t="shared" si="0"/>
        <v>0,</v>
      </c>
      <c r="G30" s="71" t="str">
        <f t="shared" si="0"/>
        <v>0,</v>
      </c>
      <c r="H30" s="71" t="str">
        <f t="shared" si="0"/>
        <v>538569,</v>
      </c>
      <c r="I30" s="71" t="str">
        <f t="shared" si="0"/>
        <v>572238,</v>
      </c>
      <c r="J30" s="71" t="str">
        <f t="shared" si="0"/>
        <v>1564054,</v>
      </c>
      <c r="K30" s="71" t="str">
        <f t="shared" si="0"/>
        <v>1802423,</v>
      </c>
      <c r="L30" s="71" t="str">
        <f t="shared" si="0"/>
        <v>1596326,</v>
      </c>
      <c r="M30" s="71" t="str">
        <f t="shared" si="0"/>
        <v>1432203,</v>
      </c>
      <c r="N30" s="71" t="str">
        <f t="shared" si="0"/>
        <v>1193206,</v>
      </c>
      <c r="O30" s="71" t="str">
        <f t="shared" si="0"/>
        <v>1051750,</v>
      </c>
      <c r="P30" s="71" t="str">
        <f t="shared" si="0"/>
        <v>838164,</v>
      </c>
      <c r="Q30" s="71" t="str">
        <f t="shared" si="0"/>
        <v>14134727,</v>
      </c>
      <c r="R30" s="71" t="str">
        <f t="shared" si="0"/>
        <v>45560280,</v>
      </c>
      <c r="S30" s="71" t="str">
        <f t="shared" si="0"/>
        <v>51668556,</v>
      </c>
      <c r="T30" s="71" t="str">
        <f t="shared" si="0"/>
        <v>65056521,</v>
      </c>
      <c r="U30" s="71" t="str">
        <f t="shared" si="0"/>
        <v>82074179,</v>
      </c>
      <c r="V30" s="71" t="str">
        <f t="shared" si="0"/>
        <v>79857578,</v>
      </c>
      <c r="W30" s="71" t="str">
        <f t="shared" si="0"/>
        <v>83779047,</v>
      </c>
      <c r="X30" s="71" t="str">
        <f t="shared" si="0"/>
        <v>111910967,</v>
      </c>
      <c r="Y30" s="71" t="str">
        <f t="shared" si="2"/>
        <v>130818258]</v>
      </c>
    </row>
    <row r="31" spans="1:25" x14ac:dyDescent="0.25">
      <c r="A31" s="7" t="s">
        <v>174</v>
      </c>
      <c r="B31" s="71" t="str">
        <f t="shared" si="1"/>
        <v>[0,</v>
      </c>
      <c r="C31" s="71" t="str">
        <f t="shared" si="0"/>
        <v>0,</v>
      </c>
      <c r="D31" s="71" t="str">
        <f t="shared" si="0"/>
        <v>0,</v>
      </c>
      <c r="E31" s="71" t="str">
        <f t="shared" si="0"/>
        <v>0,</v>
      </c>
      <c r="F31" s="71" t="str">
        <f t="shared" si="0"/>
        <v>0,</v>
      </c>
      <c r="G31" s="71" t="str">
        <f t="shared" si="0"/>
        <v>0,</v>
      </c>
      <c r="H31" s="71" t="str">
        <f t="shared" si="0"/>
        <v>0,</v>
      </c>
      <c r="I31" s="71" t="str">
        <f t="shared" si="0"/>
        <v>0,</v>
      </c>
      <c r="J31" s="71" t="str">
        <f t="shared" si="0"/>
        <v>0,</v>
      </c>
      <c r="K31" s="71" t="str">
        <f t="shared" si="0"/>
        <v>0,</v>
      </c>
      <c r="L31" s="71" t="str">
        <f t="shared" si="0"/>
        <v>0,</v>
      </c>
      <c r="M31" s="71" t="str">
        <f t="shared" si="0"/>
        <v>0,</v>
      </c>
      <c r="N31" s="71" t="str">
        <f t="shared" si="0"/>
        <v>0,</v>
      </c>
      <c r="O31" s="71" t="str">
        <f t="shared" si="0"/>
        <v>0,</v>
      </c>
      <c r="P31" s="71" t="str">
        <f t="shared" ref="C31:X36" si="3">+ROUND(P13,0)&amp;","</f>
        <v>0,</v>
      </c>
      <c r="Q31" s="71" t="str">
        <f t="shared" si="3"/>
        <v>0,</v>
      </c>
      <c r="R31" s="71" t="str">
        <f t="shared" si="3"/>
        <v>320876850,</v>
      </c>
      <c r="S31" s="71" t="str">
        <f t="shared" si="3"/>
        <v>459080986,</v>
      </c>
      <c r="T31" s="71" t="str">
        <f t="shared" si="3"/>
        <v>455559619,</v>
      </c>
      <c r="U31" s="71" t="str">
        <f t="shared" si="3"/>
        <v>463818185,</v>
      </c>
      <c r="V31" s="71" t="str">
        <f t="shared" si="3"/>
        <v>445823504,</v>
      </c>
      <c r="W31" s="71" t="str">
        <f t="shared" si="3"/>
        <v>438402962,</v>
      </c>
      <c r="X31" s="71" t="str">
        <f t="shared" si="3"/>
        <v>470271315,</v>
      </c>
      <c r="Y31" s="71" t="str">
        <f t="shared" si="2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3"/>
        <v>0,</v>
      </c>
      <c r="D32" s="71" t="str">
        <f t="shared" si="3"/>
        <v>0,</v>
      </c>
      <c r="E32" s="71" t="str">
        <f t="shared" si="3"/>
        <v>0,</v>
      </c>
      <c r="F32" s="71" t="str">
        <f t="shared" si="3"/>
        <v>0,</v>
      </c>
      <c r="G32" s="71" t="str">
        <f t="shared" si="3"/>
        <v>0,</v>
      </c>
      <c r="H32" s="71" t="str">
        <f t="shared" si="3"/>
        <v>0,</v>
      </c>
      <c r="I32" s="71" t="str">
        <f t="shared" si="3"/>
        <v>0,</v>
      </c>
      <c r="J32" s="71" t="str">
        <f t="shared" si="3"/>
        <v>9437,</v>
      </c>
      <c r="K32" s="71" t="str">
        <f t="shared" si="3"/>
        <v>15033,</v>
      </c>
      <c r="L32" s="71" t="str">
        <f t="shared" si="3"/>
        <v>7008,</v>
      </c>
      <c r="M32" s="71" t="str">
        <f t="shared" si="3"/>
        <v>15318,</v>
      </c>
      <c r="N32" s="71" t="str">
        <f t="shared" si="3"/>
        <v>60837,</v>
      </c>
      <c r="O32" s="71" t="str">
        <f t="shared" si="3"/>
        <v>181341,</v>
      </c>
      <c r="P32" s="71" t="str">
        <f t="shared" si="3"/>
        <v>349925,</v>
      </c>
      <c r="Q32" s="71" t="str">
        <f t="shared" si="3"/>
        <v>514654,</v>
      </c>
      <c r="R32" s="71" t="str">
        <f t="shared" si="3"/>
        <v>1545657,</v>
      </c>
      <c r="S32" s="71" t="str">
        <f t="shared" si="3"/>
        <v>2487801,</v>
      </c>
      <c r="T32" s="71" t="str">
        <f t="shared" si="3"/>
        <v>6959717,</v>
      </c>
      <c r="U32" s="71" t="str">
        <f t="shared" si="3"/>
        <v>10275961,</v>
      </c>
      <c r="V32" s="71" t="str">
        <f t="shared" si="3"/>
        <v>12011982,</v>
      </c>
      <c r="W32" s="71" t="str">
        <f t="shared" si="3"/>
        <v>18988210,</v>
      </c>
      <c r="X32" s="71" t="str">
        <f t="shared" si="3"/>
        <v>18779835,</v>
      </c>
      <c r="Y32" s="71" t="str">
        <f t="shared" si="2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3"/>
        <v>23446088,</v>
      </c>
      <c r="D33" s="71" t="str">
        <f t="shared" si="3"/>
        <v>67753163,</v>
      </c>
      <c r="E33" s="71" t="str">
        <f t="shared" si="3"/>
        <v>74823327,</v>
      </c>
      <c r="F33" s="71" t="str">
        <f t="shared" si="3"/>
        <v>82156425,</v>
      </c>
      <c r="G33" s="71" t="str">
        <f t="shared" si="3"/>
        <v>85718420,</v>
      </c>
      <c r="H33" s="71" t="str">
        <f t="shared" si="3"/>
        <v>83892403,</v>
      </c>
      <c r="I33" s="71" t="str">
        <f t="shared" si="3"/>
        <v>85888544,</v>
      </c>
      <c r="J33" s="71" t="str">
        <f t="shared" si="3"/>
        <v>102825622,</v>
      </c>
      <c r="K33" s="71" t="str">
        <f t="shared" si="3"/>
        <v>115113934,</v>
      </c>
      <c r="L33" s="71" t="str">
        <f t="shared" si="3"/>
        <v>110872800,</v>
      </c>
      <c r="M33" s="71" t="str">
        <f t="shared" si="3"/>
        <v>157250571,</v>
      </c>
      <c r="N33" s="71" t="str">
        <f t="shared" si="3"/>
        <v>123609468,</v>
      </c>
      <c r="O33" s="71" t="str">
        <f t="shared" si="3"/>
        <v>123120222,</v>
      </c>
      <c r="P33" s="71" t="str">
        <f t="shared" si="3"/>
        <v>119703177,</v>
      </c>
      <c r="Q33" s="71" t="str">
        <f t="shared" si="3"/>
        <v>72453270,</v>
      </c>
      <c r="R33" s="71" t="str">
        <f t="shared" si="3"/>
        <v>49638967,</v>
      </c>
      <c r="S33" s="71" t="str">
        <f t="shared" si="3"/>
        <v>52064037,</v>
      </c>
      <c r="T33" s="71" t="str">
        <f t="shared" si="3"/>
        <v>56898910,</v>
      </c>
      <c r="U33" s="71" t="str">
        <f t="shared" si="3"/>
        <v>59897866,</v>
      </c>
      <c r="V33" s="71" t="str">
        <f t="shared" si="3"/>
        <v>60273717,</v>
      </c>
      <c r="W33" s="71" t="str">
        <f t="shared" si="3"/>
        <v>59502552,</v>
      </c>
      <c r="X33" s="71" t="str">
        <f t="shared" si="3"/>
        <v>66824756,</v>
      </c>
      <c r="Y33" s="71" t="str">
        <f t="shared" si="2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3"/>
        <v>814410,</v>
      </c>
      <c r="D34" s="71" t="str">
        <f t="shared" si="3"/>
        <v>791282,</v>
      </c>
      <c r="E34" s="71" t="str">
        <f t="shared" si="3"/>
        <v>745680,</v>
      </c>
      <c r="F34" s="71" t="str">
        <f t="shared" si="3"/>
        <v>797608,</v>
      </c>
      <c r="G34" s="71" t="str">
        <f t="shared" si="3"/>
        <v>793505,</v>
      </c>
      <c r="H34" s="71" t="str">
        <f t="shared" si="3"/>
        <v>807322,</v>
      </c>
      <c r="I34" s="71" t="str">
        <f t="shared" si="3"/>
        <v>15497985,</v>
      </c>
      <c r="J34" s="71" t="str">
        <f t="shared" si="3"/>
        <v>23015254,</v>
      </c>
      <c r="K34" s="71" t="str">
        <f t="shared" si="3"/>
        <v>29554013,</v>
      </c>
      <c r="L34" s="71" t="str">
        <f t="shared" si="3"/>
        <v>28143333,</v>
      </c>
      <c r="M34" s="71" t="str">
        <f t="shared" si="3"/>
        <v>27963364,</v>
      </c>
      <c r="N34" s="71" t="str">
        <f t="shared" si="3"/>
        <v>287271,</v>
      </c>
      <c r="O34" s="71" t="str">
        <f t="shared" si="3"/>
        <v>295912,</v>
      </c>
      <c r="P34" s="71" t="str">
        <f t="shared" si="3"/>
        <v>313517,</v>
      </c>
      <c r="Q34" s="71" t="str">
        <f t="shared" si="3"/>
        <v>300998,</v>
      </c>
      <c r="R34" s="71" t="str">
        <f t="shared" si="3"/>
        <v>430152,</v>
      </c>
      <c r="S34" s="71" t="str">
        <f t="shared" si="3"/>
        <v>1240330,</v>
      </c>
      <c r="T34" s="71" t="str">
        <f t="shared" si="3"/>
        <v>1797782,</v>
      </c>
      <c r="U34" s="71" t="str">
        <f t="shared" si="3"/>
        <v>1041960,</v>
      </c>
      <c r="V34" s="71" t="str">
        <f t="shared" si="3"/>
        <v>903156,</v>
      </c>
      <c r="W34" s="71" t="str">
        <f t="shared" si="3"/>
        <v>927638,</v>
      </c>
      <c r="X34" s="71" t="str">
        <f t="shared" si="3"/>
        <v>777067,</v>
      </c>
      <c r="Y34" s="71" t="str">
        <f t="shared" si="2"/>
        <v>630153]</v>
      </c>
    </row>
    <row r="35" spans="1:25" x14ac:dyDescent="0.25">
      <c r="A35" s="7" t="s">
        <v>160</v>
      </c>
      <c r="B35" s="71" t="str">
        <f t="shared" si="1"/>
        <v>[0,</v>
      </c>
      <c r="C35" s="71" t="str">
        <f t="shared" si="3"/>
        <v>0,</v>
      </c>
      <c r="D35" s="71" t="str">
        <f t="shared" si="3"/>
        <v>0,</v>
      </c>
      <c r="E35" s="71" t="str">
        <f t="shared" si="3"/>
        <v>0,</v>
      </c>
      <c r="F35" s="71" t="str">
        <f t="shared" si="3"/>
        <v>0,</v>
      </c>
      <c r="G35" s="71" t="str">
        <f t="shared" si="3"/>
        <v>0,</v>
      </c>
      <c r="H35" s="71" t="str">
        <f t="shared" si="3"/>
        <v>3029896,</v>
      </c>
      <c r="I35" s="71" t="str">
        <f t="shared" si="3"/>
        <v>7758596,</v>
      </c>
      <c r="J35" s="71" t="str">
        <f t="shared" si="3"/>
        <v>1545856,</v>
      </c>
      <c r="K35" s="71" t="str">
        <f t="shared" si="3"/>
        <v>4340800,</v>
      </c>
      <c r="L35" s="71" t="str">
        <f t="shared" si="3"/>
        <v>3509131,</v>
      </c>
      <c r="M35" s="71" t="str">
        <f t="shared" si="3"/>
        <v>5934021,</v>
      </c>
      <c r="N35" s="71" t="str">
        <f t="shared" si="3"/>
        <v>11771289,</v>
      </c>
      <c r="O35" s="71" t="str">
        <f t="shared" si="3"/>
        <v>21235066,</v>
      </c>
      <c r="P35" s="71" t="str">
        <f t="shared" si="3"/>
        <v>35141119,</v>
      </c>
      <c r="Q35" s="71" t="str">
        <f t="shared" si="3"/>
        <v>44497769,</v>
      </c>
      <c r="R35" s="71" t="str">
        <f t="shared" si="3"/>
        <v>55341924,</v>
      </c>
      <c r="S35" s="71" t="str">
        <f t="shared" si="3"/>
        <v>66664537,</v>
      </c>
      <c r="T35" s="71" t="str">
        <f t="shared" si="3"/>
        <v>93092909,</v>
      </c>
      <c r="U35" s="71" t="str">
        <f t="shared" si="3"/>
        <v>126525666,</v>
      </c>
      <c r="V35" s="71" t="str">
        <f t="shared" si="3"/>
        <v>142261312,</v>
      </c>
      <c r="W35" s="71" t="str">
        <f t="shared" si="3"/>
        <v>142479003,</v>
      </c>
      <c r="X35" s="71" t="str">
        <f t="shared" si="3"/>
        <v>166422083,</v>
      </c>
      <c r="Y35" s="71" t="str">
        <f t="shared" si="2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3"/>
        <v>0,</v>
      </c>
      <c r="D36" s="71" t="str">
        <f t="shared" si="3"/>
        <v>0,</v>
      </c>
      <c r="E36" s="71" t="str">
        <f t="shared" si="3"/>
        <v>0,</v>
      </c>
      <c r="F36" s="71" t="str">
        <f t="shared" si="3"/>
        <v>0,</v>
      </c>
      <c r="G36" s="71" t="str">
        <f t="shared" si="3"/>
        <v>0,</v>
      </c>
      <c r="H36" s="71" t="str">
        <f t="shared" si="3"/>
        <v>0,</v>
      </c>
      <c r="I36" s="71" t="str">
        <f t="shared" si="3"/>
        <v>6301,</v>
      </c>
      <c r="J36" s="71" t="str">
        <f t="shared" si="3"/>
        <v>1716888,</v>
      </c>
      <c r="K36" s="71" t="str">
        <f t="shared" si="3"/>
        <v>1579536,</v>
      </c>
      <c r="L36" s="71" t="str">
        <f t="shared" si="3"/>
        <v>9327524,</v>
      </c>
      <c r="M36" s="71" t="str">
        <f t="shared" si="3"/>
        <v>23147609,</v>
      </c>
      <c r="N36" s="71" t="str">
        <f t="shared" si="3"/>
        <v>41170015,</v>
      </c>
      <c r="O36" s="71" t="str">
        <f t="shared" si="3"/>
        <v>66222136,</v>
      </c>
      <c r="P36" s="71" t="str">
        <f t="shared" si="3"/>
        <v>89756384,</v>
      </c>
      <c r="Q36" s="71" t="str">
        <f t="shared" si="3"/>
        <v>107603981,</v>
      </c>
      <c r="R36" s="71" t="str">
        <f t="shared" si="3"/>
        <v>127327221,</v>
      </c>
      <c r="S36" s="71" t="str">
        <f t="shared" si="3"/>
        <v>136528866,</v>
      </c>
      <c r="T36" s="71" t="str">
        <f t="shared" si="3"/>
        <v>145562505,</v>
      </c>
      <c r="U36" s="71" t="str">
        <f t="shared" si="3"/>
        <v>141811833,</v>
      </c>
      <c r="V36" s="71" t="str">
        <f t="shared" si="3"/>
        <v>160800233,</v>
      </c>
      <c r="W36" s="71" t="str">
        <f t="shared" si="3"/>
        <v>186996097,</v>
      </c>
      <c r="X36" s="71" t="str">
        <f t="shared" si="3"/>
        <v>209165466,</v>
      </c>
      <c r="Y36" s="71" t="str">
        <f t="shared" si="2"/>
        <v>205938451]</v>
      </c>
    </row>
    <row r="38" spans="1:25" x14ac:dyDescent="0.25">
      <c r="A38" s="7" t="s">
        <v>138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141</v>
      </c>
      <c r="B47" s="71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174</v>
      </c>
      <c r="B49" s="71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160</v>
      </c>
      <c r="B53" s="71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5"/>
        <v>"Hexa": [77148,78898,77949,0,0,0,0,0,0,0,0,0,0,0,0,14725,213958,0,896286,160010,0,0,0,0],</v>
      </c>
    </row>
    <row r="66" spans="1:1" x14ac:dyDescent="0.25">
      <c r="A66" s="71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5"/>
        <v>"OPV": [0,0,0,0,0,0,0,0,0,0,0,0,0,0,0,0,320876850,459080986,455559619,463818185,445823504,438402962,470271315,477813507],</v>
      </c>
    </row>
    <row r="68" spans="1:1" x14ac:dyDescent="0.25">
      <c r="A68" s="71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6"/>
        <v xml:space="preserve">"Hexa": [77148,78898,77949,0,0,0,0,0,0,0,0,0,0,0,0,14725,213958,0,896286,160010,0,0,0,0],: </v>
      </c>
    </row>
    <row r="84" spans="1:10" x14ac:dyDescent="0.25">
      <c r="A84" s="71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181</v>
      </c>
      <c r="D92" s="71" t="s">
        <v>182</v>
      </c>
      <c r="F92" s="71" t="s">
        <v>183</v>
      </c>
      <c r="H92" s="71" t="s">
        <v>184</v>
      </c>
    </row>
    <row r="93" spans="1:10" ht="105" x14ac:dyDescent="0.25">
      <c r="A93" s="7" t="s">
        <v>138</v>
      </c>
      <c r="B93" s="73">
        <v>4.4603111896922398E-2</v>
      </c>
      <c r="C93" s="7" t="s">
        <v>138</v>
      </c>
      <c r="D93" s="73">
        <v>4.4603111896922398E-2</v>
      </c>
      <c r="E93" s="7" t="s">
        <v>86</v>
      </c>
      <c r="F93" s="73">
        <v>2.8222915579930501E-2</v>
      </c>
      <c r="G93" s="7" t="s">
        <v>187</v>
      </c>
      <c r="H93" s="75">
        <v>0.7</v>
      </c>
      <c r="J93" s="76" t="s">
        <v>185</v>
      </c>
    </row>
    <row r="94" spans="1:10" x14ac:dyDescent="0.25">
      <c r="A94" s="7" t="s">
        <v>82</v>
      </c>
      <c r="B94" s="74">
        <v>0.60176670378566299</v>
      </c>
      <c r="C94" s="7" t="s">
        <v>191</v>
      </c>
      <c r="D94" s="73">
        <v>0.01</v>
      </c>
      <c r="E94" s="7" t="s">
        <v>84</v>
      </c>
      <c r="F94" s="74">
        <v>0.52495778815762095</v>
      </c>
      <c r="G94" s="7" t="s">
        <v>188</v>
      </c>
      <c r="H94" s="75">
        <v>0.95</v>
      </c>
    </row>
    <row r="95" spans="1:10" x14ac:dyDescent="0.25">
      <c r="A95" s="7" t="s">
        <v>7</v>
      </c>
      <c r="B95" s="73">
        <v>3.5671476343220798E-3</v>
      </c>
      <c r="C95" s="7" t="s">
        <v>192</v>
      </c>
      <c r="D95" s="77">
        <v>0.42</v>
      </c>
      <c r="E95" s="7" t="s">
        <v>73</v>
      </c>
      <c r="F95" s="74">
        <v>0.658732446387158</v>
      </c>
      <c r="G95" s="7" t="s">
        <v>160</v>
      </c>
      <c r="H95" s="75">
        <v>0.89</v>
      </c>
      <c r="J95" s="71" t="s">
        <v>186</v>
      </c>
    </row>
    <row r="96" spans="1:10" x14ac:dyDescent="0.25">
      <c r="A96" s="7" t="s">
        <v>86</v>
      </c>
      <c r="B96" s="73">
        <v>2.8222915579930501E-2</v>
      </c>
      <c r="C96" s="7" t="s">
        <v>7</v>
      </c>
      <c r="D96" s="73">
        <v>3.5671476343220798E-3</v>
      </c>
      <c r="E96" s="7" t="s">
        <v>74</v>
      </c>
      <c r="F96" s="75">
        <v>0.92235049618967202</v>
      </c>
      <c r="G96" s="7" t="s">
        <v>6</v>
      </c>
      <c r="H96" s="75">
        <v>0.98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141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189</v>
      </c>
      <c r="F100" s="73">
        <v>0.14000000000000001</v>
      </c>
    </row>
    <row r="101" spans="1:6" x14ac:dyDescent="0.25">
      <c r="A101" s="7" t="s">
        <v>1</v>
      </c>
      <c r="B101" s="75">
        <v>0.94736317707128803</v>
      </c>
      <c r="E101" s="7" t="s">
        <v>190</v>
      </c>
      <c r="F101" s="75">
        <v>0.95</v>
      </c>
    </row>
    <row r="102" spans="1:6" x14ac:dyDescent="0.25">
      <c r="A102" s="7" t="s">
        <v>141</v>
      </c>
      <c r="B102" s="73">
        <v>3.40198639357304E-2</v>
      </c>
      <c r="E102" s="7" t="s">
        <v>174</v>
      </c>
      <c r="F102" s="77">
        <v>0.4</v>
      </c>
    </row>
    <row r="103" spans="1:6" x14ac:dyDescent="0.25">
      <c r="A103" s="7" t="s">
        <v>79</v>
      </c>
      <c r="B103" s="75">
        <v>0.71135552976522598</v>
      </c>
      <c r="E103" s="7" t="s">
        <v>78</v>
      </c>
      <c r="F103" s="73">
        <v>6.62294170170607E-5</v>
      </c>
    </row>
    <row r="104" spans="1:6" x14ac:dyDescent="0.25">
      <c r="A104" s="7" t="s">
        <v>174</v>
      </c>
      <c r="B104" s="74">
        <v>0.68208483127570896</v>
      </c>
      <c r="E104" s="7" t="s">
        <v>105</v>
      </c>
      <c r="F104" s="73">
        <v>2.51408842676289E-2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  <c r="D106" s="83" t="s">
        <v>197</v>
      </c>
      <c r="E106" s="83"/>
    </row>
    <row r="107" spans="1:6" x14ac:dyDescent="0.25">
      <c r="A107" s="7" t="s">
        <v>5</v>
      </c>
      <c r="B107" s="74">
        <v>0.566218725991401</v>
      </c>
      <c r="D107" s="73" t="s">
        <v>193</v>
      </c>
      <c r="E107" s="78">
        <v>9</v>
      </c>
    </row>
    <row r="108" spans="1:6" x14ac:dyDescent="0.25">
      <c r="A108" s="7" t="s">
        <v>160</v>
      </c>
      <c r="B108" s="75">
        <v>0.78385614450002705</v>
      </c>
      <c r="D108" s="77" t="s">
        <v>194</v>
      </c>
      <c r="E108" s="78">
        <v>2</v>
      </c>
    </row>
    <row r="109" spans="1:6" x14ac:dyDescent="0.25">
      <c r="A109" s="7" t="s">
        <v>6</v>
      </c>
      <c r="B109" s="75">
        <v>0.88316128259450699</v>
      </c>
      <c r="D109" s="74" t="s">
        <v>195</v>
      </c>
      <c r="E109" s="78">
        <v>2</v>
      </c>
    </row>
    <row r="110" spans="1:6" x14ac:dyDescent="0.25">
      <c r="D110" s="75" t="s">
        <v>196</v>
      </c>
      <c r="E110" s="78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M7" sqref="M7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138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141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174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160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140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139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160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140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139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160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K13"/>
  <sheetViews>
    <sheetView workbookViewId="0">
      <selection activeCell="G2" sqref="G2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1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1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</row>
    <row r="3" spans="1:11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</row>
    <row r="4" spans="1:11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1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</row>
    <row r="6" spans="1:11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</row>
    <row r="7" spans="1:11" x14ac:dyDescent="0.25">
      <c r="A7" s="50" t="s">
        <v>140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1" x14ac:dyDescent="0.25">
      <c r="A8" s="50" t="s">
        <v>139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1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1" x14ac:dyDescent="0.25">
      <c r="A10" s="50" t="s">
        <v>128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</row>
    <row r="11" spans="1:11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1" x14ac:dyDescent="0.25">
      <c r="A12" t="s">
        <v>160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1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A10" sqref="A10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175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176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140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139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128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160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M11" sqref="M11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178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177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180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179</v>
      </c>
    </row>
    <row r="7" spans="1:14" x14ac:dyDescent="0.25">
      <c r="A7" s="50" t="s">
        <v>140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139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128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160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138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25">
      <c r="A7" s="50" t="s">
        <v>140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25">
      <c r="A8" s="50" t="s">
        <v>139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160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142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25">
      <c r="A3" s="25" t="s">
        <v>143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25">
      <c r="B6" s="15"/>
      <c r="C6" s="15"/>
    </row>
    <row r="7" spans="1:11" x14ac:dyDescent="0.25">
      <c r="B7" s="15"/>
      <c r="C7" s="15"/>
    </row>
    <row r="8" spans="1:11" x14ac:dyDescent="0.25">
      <c r="B8" s="14"/>
      <c r="C8" s="14"/>
    </row>
    <row r="9" spans="1:11" x14ac:dyDescent="0.25">
      <c r="C9" s="13"/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143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25">
      <c r="A3" s="25" t="s">
        <v>144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topLeftCell="A10" workbookViewId="0">
      <selection activeCell="H7" sqref="H7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25">
      <c r="A3" t="s">
        <v>145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25">
      <c r="A4" t="s">
        <v>147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146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25">
      <c r="A3" t="s">
        <v>145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25">
      <c r="A4" t="s">
        <v>147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5" x14ac:dyDescent="0.25"/>
  <cols>
    <col min="1" max="1" width="38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148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25">
      <c r="A3" t="s">
        <v>142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25">
      <c r="A4" t="s">
        <v>145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25">
      <c r="A5" t="s">
        <v>149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25">
      <c r="A6" t="s">
        <v>150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25">
      <c r="A7" t="s">
        <v>151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25">
      <c r="A8" t="s">
        <v>143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25">
      <c r="A9" t="s">
        <v>152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153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25">
      <c r="A3" t="s">
        <v>154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25">
      <c r="A4" t="s">
        <v>155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25">
      <c r="A5" t="s">
        <v>151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155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143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9"/>
      <c r="C4" s="19"/>
    </row>
    <row r="5" spans="1:11" x14ac:dyDescent="0.25">
      <c r="B5" s="19"/>
      <c r="C5" s="19"/>
    </row>
    <row r="6" spans="1:11" x14ac:dyDescent="0.25">
      <c r="B6" s="19"/>
      <c r="C6" s="19"/>
    </row>
    <row r="7" spans="1:11" x14ac:dyDescent="0.25">
      <c r="B7" s="19"/>
      <c r="C7" s="19"/>
    </row>
    <row r="10" spans="1:1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151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tabSelected="1" workbookViewId="0">
      <selection activeCell="I15" sqref="I14:I15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25">
      <c r="A3" t="s">
        <v>144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25">
      <c r="A4" t="s">
        <v>152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25">
      <c r="A5" t="s">
        <v>155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25">
      <c r="A6" s="64" t="s">
        <v>142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27"/>
    </row>
    <row r="33" spans="1:1" x14ac:dyDescent="0.25">
      <c r="A33" s="22"/>
    </row>
    <row r="34" spans="1:1" x14ac:dyDescent="0.25">
      <c r="A34" s="22"/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143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142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25">
      <c r="A3" t="s">
        <v>156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25">
      <c r="A4" t="s">
        <v>143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142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143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25">
      <c r="A4" t="s">
        <v>156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142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25">
      <c r="A3" t="s">
        <v>143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t="s">
        <v>156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64" t="s">
        <v>151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25">
      <c r="A3" s="64" t="s">
        <v>143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s="64" t="s">
        <v>157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A3" sqref="A3:A4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148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25">
      <c r="A3" s="30" t="s">
        <v>145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25">
      <c r="A4" t="s">
        <v>143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158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25">
      <c r="A3" s="30" t="s">
        <v>145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25">
      <c r="A4" t="s">
        <v>143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56C703-5F4E-4800-89E6-83BC004745A2}">
  <ds:schemaRefs>
    <ds:schemaRef ds:uri="http://purl.org/dc/elements/1.1/"/>
    <ds:schemaRef ds:uri="fd2476d4-97b1-4075-989e-a063b18cae98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92d565b8-ba3a-4233-a05b-a1ab60ca7cf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vaccine-producer list</vt:lpstr>
      <vt:lpstr>vaccine-antigen list</vt:lpstr>
      <vt:lpstr>total_capacity_calcs</vt:lpstr>
      <vt:lpstr>Demand_data_trend</vt:lpstr>
      <vt:lpstr>Demand_data_trend_v2</vt:lpstr>
      <vt:lpstr>Demand_data_trend_predictions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2024-05-14T15:52:20Z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