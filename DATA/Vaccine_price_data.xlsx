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DATA/"/>
    </mc:Choice>
  </mc:AlternateContent>
  <xr:revisionPtr revIDLastSave="160" documentId="13_ncr:1_{5713AA50-68F1-4433-87EB-33DE309D44C0}" xr6:coauthVersionLast="47" xr6:coauthVersionMax="47" xr10:uidLastSave="{8BF2EB50-A8D9-42C0-B3A5-F976C216AF50}"/>
  <bookViews>
    <workbookView xWindow="-120" yWindow="-120" windowWidth="20730" windowHeight="11040" xr2:uid="{4E5F4A35-5A78-441E-8AE9-B1CCE3EF1506}"/>
  </bookViews>
  <sheets>
    <sheet name="vaccine-producer list" sheetId="70" r:id="rId1"/>
    <sheet name="vaccine-antigen list" sheetId="71" r:id="rId2"/>
    <sheet name="M Pricing" sheetId="46" r:id="rId3"/>
    <sheet name="MR Pricing" sheetId="48" r:id="rId4"/>
    <sheet name="MMR Pricing" sheetId="47" r:id="rId5"/>
    <sheet name="HPV Pricing" sheetId="44" r:id="rId6"/>
    <sheet name="OPV Pricing" sheetId="49" r:id="rId7"/>
    <sheet name="IPV Pricing" sheetId="45" r:id="rId8"/>
    <sheet name="HepB Pricing" sheetId="43" r:id="rId9"/>
    <sheet name="Hexa Pricing" sheetId="42" r:id="rId10"/>
    <sheet name="Penta Pricing" sheetId="39" r:id="rId11"/>
    <sheet name="DTwP Pricing" sheetId="41" r:id="rId12"/>
    <sheet name="Td Pricing" sheetId="36" r:id="rId13"/>
    <sheet name="DT Pricing" sheetId="38" r:id="rId14"/>
    <sheet name="TT Pricing" sheetId="52" r:id="rId15"/>
    <sheet name="Hib Pricing" sheetId="60" r:id="rId16"/>
    <sheet name="DTwP-Hib Pricing" sheetId="61" r:id="rId17"/>
    <sheet name="Rotavirus Pricing" sheetId="68" r:id="rId18"/>
    <sheet name="PCV Pricing" sheetId="69" r:id="rId19"/>
  </sheets>
  <definedNames>
    <definedName name="_xlnm._FilterDatabase" localSheetId="1" hidden="1">'vaccine-antigen list'!$A$1:$K$54</definedName>
    <definedName name="_xlnm._FilterDatabase" localSheetId="0" hidden="1">'vaccine-producer list'!$A$1:$O$52</definedName>
    <definedName name="ExternalData_2" localSheetId="12" hidden="1">'Td Pricing'!$A$1:$H$20</definedName>
    <definedName name="GAVI_countries" localSheetId="18">#REF!</definedName>
    <definedName name="GAVI_countries" localSheetId="17">#REF!</definedName>
    <definedName name="GAVI_countries" localSheetId="1">#REF!</definedName>
    <definedName name="GAVI_countries" localSheetId="0">#REF!</definedName>
    <definedName name="GAVI_countri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70" l="1"/>
  <c r="Q4" i="70"/>
  <c r="Q5" i="70"/>
  <c r="Q6" i="70"/>
  <c r="Q7" i="70"/>
  <c r="Q8" i="70"/>
  <c r="Q9" i="70"/>
  <c r="Q10" i="70"/>
  <c r="Q11" i="70"/>
  <c r="Q12" i="70"/>
  <c r="Q13" i="70"/>
  <c r="Q14" i="70"/>
  <c r="Q15" i="70"/>
  <c r="Q16" i="70"/>
  <c r="Q17" i="70"/>
  <c r="Q18" i="70"/>
  <c r="Q2" i="70"/>
  <c r="C19" i="70"/>
  <c r="D19" i="70"/>
  <c r="E19" i="70"/>
  <c r="F19" i="70"/>
  <c r="G19" i="70"/>
  <c r="H19" i="70"/>
  <c r="I19" i="70"/>
  <c r="J19" i="70"/>
  <c r="K19" i="70"/>
  <c r="L19" i="70"/>
  <c r="M19" i="70"/>
  <c r="N19" i="70"/>
  <c r="O19" i="70"/>
  <c r="P19" i="70"/>
  <c r="B19" i="70"/>
  <c r="E3" i="69"/>
  <c r="E4" i="69"/>
  <c r="F4" i="69"/>
  <c r="G4" i="69"/>
  <c r="H4" i="69"/>
  <c r="I4" i="69"/>
  <c r="J4" i="69"/>
  <c r="K4" i="69"/>
  <c r="F3" i="69"/>
  <c r="G3" i="69"/>
  <c r="H3" i="69"/>
  <c r="I3" i="69"/>
  <c r="J3" i="69"/>
  <c r="K3" i="69"/>
  <c r="J4" i="68"/>
  <c r="K4" i="68"/>
  <c r="J3" i="68"/>
  <c r="K3" i="68"/>
  <c r="J2" i="68"/>
  <c r="K2" i="68"/>
  <c r="E3" i="46"/>
  <c r="F3" i="46"/>
  <c r="G3" i="46"/>
  <c r="H3" i="46"/>
  <c r="I3" i="46"/>
  <c r="J3" i="46"/>
  <c r="K3" i="46"/>
  <c r="E2" i="46"/>
  <c r="F2" i="46"/>
  <c r="G2" i="46"/>
  <c r="H2" i="46"/>
  <c r="I2" i="46"/>
  <c r="J2" i="46"/>
  <c r="K2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tc={42F1F0AF-51BC-4248-BD94-A4859EB45C6A}</author>
    <author>tc={BEFD4719-6C2E-4FF9-83A9-8F984DFF9AF2}</author>
  </authors>
  <commentList>
    <comment ref="F4" authorId="0" shapeId="0" xr:uid="{42F1F0AF-51BC-4248-BD94-A4859EB45C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Pricing data not available</t>
      </text>
    </comment>
    <comment ref="A15" authorId="1" shapeId="0" xr:uid="{BEFD4719-6C2E-4FF9-83A9-8F984DFF9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DATA NOT AVAILABLE YET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tc={3EB22D4D-0DBE-4D28-8F28-BDF0D13B7519}</author>
    <author>tc={A25A49F2-D89C-44C4-A1C5-86768B72DB1B}</author>
  </authors>
  <commentList>
    <comment ref="A11" authorId="0" shapeId="0" xr:uid="{3EB22D4D-0DBE-4D28-8F28-BDF0D13B7519}">
      <text>
        <t>[Threaded comment]
Your version of Excel allows you to read this threaded comment; however, any edits to it will get removed if the file is opened in a newer version of Excel. Learn more: https://go.microsoft.com/fwlink/?linkid=870924
Comment:
    PENTA</t>
      </text>
    </comment>
    <comment ref="A12" authorId="1" shapeId="0" xr:uid="{A25A49F2-D89C-44C4-A1C5-86768B72DB1B}">
      <text>
        <t>[Threaded comment]
Your version of Excel allows you to read this threaded comment; however, any edits to it will get removed if the file is opened in a newer version of Excel. Learn more: https://go.microsoft.com/fwlink/?linkid=870924
Comment:
    HEXA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tc={9821E87E-47D3-4F3B-B9B8-9EBFC8599CC8}</author>
  </authors>
  <commentList>
    <comment ref="D2" authorId="0" shapeId="0" xr:uid="{9821E87E-47D3-4F3B-B9B8-9EBFC8599CC8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 to 2040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tc={C287664E-6DA0-4C5E-AAFB-2019F5DFD48D}</author>
  </authors>
  <commentList>
    <comment ref="C3" authorId="0" shapeId="0" xr:uid="{C287664E-6DA0-4C5E-AAFB-2019F5DFD48D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average, offset by 0.1 to inflate future numbers beyond current single year value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tc={C91F6597-3F8D-4173-9AB8-04EAA855EFB2}</author>
  </authors>
  <commentList>
    <comment ref="E2" authorId="0" shapeId="0" xr:uid="{C91F6597-3F8D-4173-9AB8-04EAA855EFB2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tc={E18646DB-F81F-47C7-9F4D-399D3749904E}</author>
  </authors>
  <commentList>
    <comment ref="G1" authorId="0" shapeId="0" xr:uid="{E18646DB-F81F-47C7-9F4D-399D3749904E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tc={F85C4F29-DEB7-4CF8-AFB5-CCCC0E213394}</author>
  </authors>
  <commentList>
    <comment ref="E2" authorId="0" shapeId="0" xr:uid="{F85C4F29-DEB7-4CF8-AFB5-CCCC0E213394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tc={1AB05F83-F275-465A-A090-3EBAF0D55FDA}</author>
  </authors>
  <commentList>
    <comment ref="G2" authorId="0" shapeId="0" xr:uid="{1AB05F83-F275-465A-A090-3EBAF0D55FDA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tc={342F7C4E-F7FD-4710-8B17-AE3902E1F4E3}</author>
  </authors>
  <commentList>
    <comment ref="D2" authorId="0" shapeId="0" xr:uid="{342F7C4E-F7FD-4710-8B17-AE3902E1F4E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tc={744267BF-CBDF-4800-B159-389CF18D9103}</author>
  </authors>
  <commentList>
    <comment ref="D3" authorId="0" shapeId="0" xr:uid="{744267BF-CBDF-4800-B159-389CF18D910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MA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tc={D10573D1-DDBD-4801-81DE-8DAC858EB928}</author>
  </authors>
  <commentList>
    <comment ref="D4" authorId="0" shapeId="0" xr:uid="{D10573D1-DDBD-4801-81DE-8DAC858EB928}">
      <text>
        <t>[Threaded comment]
Your version of Excel allows you to read this threaded comment; however, any edits to it will get removed if the file is opened in a newer version of Excel. Learn more: https://go.microsoft.com/fwlink/?linkid=870924
Comment:
    MA2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tc={5A787AE6-FCBA-43A6-9D29-B4D7CDCB1CDF}</author>
  </authors>
  <commentList>
    <comment ref="D2" authorId="0" shapeId="0" xr:uid="{5A787AE6-FCBA-43A6-9D29-B4D7CDCB1CDF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MA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tc={D2D02722-2577-461C-ADF2-9C7EE23A29AD}</author>
  </authors>
  <commentList>
    <comment ref="I1" authorId="0" shapeId="0" xr:uid="{D2D02722-2577-461C-ADF2-9C7EE23A29AD}">
      <text>
        <t>[Threaded comment]
Your version of Excel allows you to read this threaded comment; however, any edits to it will get removed if the file is opened in a newer version of Excel. Learn more: https://go.microsoft.com/fwlink/?linkid=870924
Comment:
    2p MA start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tc={B3E92547-D8D6-41F9-B31D-64FCE23FA7A7}</author>
  </authors>
  <commentList>
    <comment ref="E1" authorId="0" shapeId="0" xr:uid="{B3E92547-D8D6-41F9-B31D-64FCE23FA7A7}">
      <text>
        <t>[Threaded comment]
Your version of Excel allows you to read this threaded comment; however, any edits to it will get removed if the file is opened in a newer version of Excel. Learn more: https://go.microsoft.com/fwlink/?linkid=870924
Comment:
    2p MA</t>
      </text>
    </comment>
  </commentList>
</comments>
</file>

<file path=xl/sharedStrings.xml><?xml version="1.0" encoding="utf-8"?>
<sst xmlns="http://schemas.openxmlformats.org/spreadsheetml/2006/main" count="121" uniqueCount="62">
  <si>
    <t>Vaccine</t>
  </si>
  <si>
    <t>HPV</t>
  </si>
  <si>
    <t>PCV</t>
  </si>
  <si>
    <t>Tetanus</t>
  </si>
  <si>
    <t>Diptheria</t>
  </si>
  <si>
    <t>Diphtheria-Tetanus</t>
  </si>
  <si>
    <t>Tetanus Toxoid</t>
  </si>
  <si>
    <t>PT Bio Farma (Persero)</t>
  </si>
  <si>
    <t>Diphtheria-Tetanus (reduced antigen content)</t>
  </si>
  <si>
    <t>Serum Institute of India Pvt. Ltd.</t>
  </si>
  <si>
    <t>Diphtheria-Tetanus-Pertussis (whole cell)-Hepatitis B-Haemophilus influenzae type b</t>
  </si>
  <si>
    <t>Biological E. Limited</t>
  </si>
  <si>
    <t>Diphtheria-Tetanus-Pertussis (acellular)-Hepatitis B-Haemophilus influenzae type b-Polio (Inactivated)</t>
  </si>
  <si>
    <t>LG Chem Ltd</t>
  </si>
  <si>
    <t>Panacea Biotec Ltd.</t>
  </si>
  <si>
    <t>Diphtheria-Tetanus-Pertussis (whole cell)-Haemophilus influenzae type b</t>
  </si>
  <si>
    <t>GlaxoSmithKline Biologicals SA</t>
  </si>
  <si>
    <t>Polio Vaccine - Oral (OPV) Bivalent Types 1 and 3</t>
  </si>
  <si>
    <t>Polio Vaccine - Inactivated (IPV)</t>
  </si>
  <si>
    <t>Haffkine Bio Pharmaceutical Corporation Ltd</t>
  </si>
  <si>
    <t>Bilthoven Biologicals B.V.</t>
  </si>
  <si>
    <t>AJ Vaccines A/S</t>
  </si>
  <si>
    <t>Bharat Biotech International Limited</t>
  </si>
  <si>
    <t>Merck Sharp &amp; Dohme LLC</t>
  </si>
  <si>
    <t>Measles, Mumps and Rubella</t>
  </si>
  <si>
    <t>Measles</t>
  </si>
  <si>
    <t>Measles and Rubella</t>
  </si>
  <si>
    <t>Haemophilus influenzae type b</t>
  </si>
  <si>
    <t>BB- NCIPD Ltd. (Bulgaria)</t>
  </si>
  <si>
    <t>HepB</t>
  </si>
  <si>
    <t>Mumps</t>
  </si>
  <si>
    <t>Rubella</t>
  </si>
  <si>
    <t/>
  </si>
  <si>
    <t>SERUM LIFE SCIENCES (United Kingdom)</t>
  </si>
  <si>
    <t>Polio</t>
  </si>
  <si>
    <t>Pertussus</t>
  </si>
  <si>
    <t xml:space="preserve">Hib </t>
  </si>
  <si>
    <t>Human Papillomavirus (Bivalent) + (Quadrivalent)</t>
  </si>
  <si>
    <t>Human Papillomavirus (Bivalent) (Quadrivalent)</t>
  </si>
  <si>
    <t>Hepatitis B (Pediatric or non-adult specific)</t>
  </si>
  <si>
    <t>Diphtheria-Tetanus-Pertussis (acellular) + (whole cell)</t>
  </si>
  <si>
    <t>Tetanus-Diphtheria</t>
  </si>
  <si>
    <t>Tetanus-Diphtheria (Td)</t>
  </si>
  <si>
    <t>Diphtheria-Tetanus (DT)</t>
  </si>
  <si>
    <t>PT_Bio</t>
  </si>
  <si>
    <t>Serum_Institute</t>
  </si>
  <si>
    <t>Biological_E</t>
  </si>
  <si>
    <t>GSK</t>
  </si>
  <si>
    <t>Merck_Sharp</t>
  </si>
  <si>
    <t>Bharat_Biotech</t>
  </si>
  <si>
    <t>Haffkine_Bio</t>
  </si>
  <si>
    <t>Sanofi_Pasteur</t>
  </si>
  <si>
    <t>Panacea_Biotec</t>
  </si>
  <si>
    <t>Bilthoven</t>
  </si>
  <si>
    <t>AJ_Vaccines</t>
  </si>
  <si>
    <t>LG_Chem</t>
  </si>
  <si>
    <t>BB_NCIPD</t>
  </si>
  <si>
    <t>Pfizer</t>
  </si>
  <si>
    <t>Rotavirus</t>
  </si>
  <si>
    <t>Pneumococcal Conjugate vaccine</t>
  </si>
  <si>
    <t>China_National</t>
  </si>
  <si>
    <t>Sanofi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</si>
</sst>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8" formatCode="&quot;$&quot;#,##0.00_);[Red]\(&quot;$&quot;#,##0.00\)"/>
    <numFmt numFmtId="164" formatCode="&quot;$&quot;#,##0.00"/>
    <numFmt numFmtId="165" formatCode="0.00;[Red]0.00"/>
    <numFmt numFmtId="166" formatCode="#,##0.000"/>
    <numFmt numFmtId="167" formatCode="&quot;$&quot;#,##0.000"/>
    <numFmt numFmtId="168" formatCode="&quot;$&quot;#,##0.00000"/>
  </numFmts>
  <fonts count="8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30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/>
    <xf numFmtId="0" fontId="2" fillId="0" borderId="0" xfId="0" applyFont="1"/>
    <xf numFmtId="4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right"/>
    </xf>
    <xf numFmtId="165" fontId="0" fillId="0" borderId="0" xfId="0" applyNumberFormat="1"/>
    <xf numFmtId="0" fontId="0" fillId="0" borderId="0" xfId="0" applyAlignment="1">
      <alignment horizontal="left"/>
    </xf>
    <xf numFmtId="166" fontId="0" fillId="0" borderId="0" xfId="0" applyNumberFormat="1"/>
    <xf numFmtId="167" fontId="0" fillId="0" borderId="0" xfId="0" applyNumberFormat="1"/>
    <xf numFmtId="15" fontId="0" fillId="0" borderId="0" xfId="0" applyNumberFormat="1"/>
    <xf numFmtId="167" fontId="0" fillId="0" borderId="0" xfId="0" applyNumberFormat="1" applyAlignment="1">
      <alignment wrapText="1"/>
    </xf>
    <xf numFmtId="0" fontId="5" fillId="0" borderId="0" xfId="0" applyFont="1"/>
    <xf numFmtId="0" fontId="2" fillId="2" borderId="1" xfId="0" applyFont="1" applyFill="1" applyBorder="1"/>
    <xf numFmtId="0" fontId="0" fillId="3" borderId="0" xfId="0" applyFill="1"/>
    <xf numFmtId="8" fontId="0" fillId="0" borderId="0" xfId="0" applyNumberFormat="1"/>
    <xf numFmtId="168" fontId="0" fillId="0" borderId="0" xfId="0" applyNumberFormat="1"/>
    <xf numFmtId="167" fontId="0" fillId="3" borderId="0" xfId="0" applyNumberFormat="1" applyFill="1"/>
    <xf numFmtId="166" fontId="0" fillId="3" borderId="0" xfId="0" applyNumberFormat="1" applyFill="1"/>
    <xf numFmtId="0" fontId="6" fillId="0" borderId="0" xfId="0" applyFont="1"/>
    <xf numFmtId="166" fontId="6" fillId="0" borderId="0" xfId="0" applyNumberFormat="1" applyFont="1"/>
    <xf numFmtId="0" fontId="0" fillId="0" borderId="2" xfId="0" applyBorder="1" applyAlignment="1">
      <alignment wrapText="1"/>
    </xf>
    <xf numFmtId="0" fontId="0" fillId="2" borderId="0" xfId="0" applyFill="1"/>
    <xf numFmtId="0" fontId="7" fillId="0" borderId="0" xfId="0" applyFont="1"/>
    <xf numFmtId="0" fontId="0" fillId="4" borderId="1" xfId="0" applyFill="1" applyBorder="1" applyAlignment="1">
      <alignment wrapText="1"/>
    </xf>
    <xf numFmtId="0" fontId="0" fillId="4" borderId="0" xfId="0" applyFill="1"/>
    <xf numFmtId="0" fontId="0" fillId="4" borderId="1" xfId="0" applyFill="1" applyBorder="1"/>
  </cellXfs>
  <cellStyles count="2">
    <cellStyle name="Normal" xfId="0" builtinId="0"/>
    <cellStyle name="Normal 2" xfId="1" xr:uid="{8726AA13-3083-44E3-BAEC-ADF7809F381D}"/>
  </cellStyles>
  <dxfs count="7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</dxfs>
  <tableStyles count="1" defaultTableStyle="TableStyleMedium2" defaultPivotStyle="PivotStyleLight16">
    <tableStyle name="Table Style 1" pivot="0" count="3" xr9:uid="{9C228659-65D1-4DB0-898A-040A0FD5742E}">
      <tableStyleElement type="firstRowStripe" dxfId="6"/>
      <tableStyleElement type="firstColumnStripe" dxfId="5"/>
      <tableStyleElement type="secondColumnStripe" dxfId="4"/>
    </tableStyle>
  </tableStyles>
  <colors>
    <mruColors>
      <color rgb="FF3F8FE7"/>
      <color rgb="FFFB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28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cholas uhorchak" id="{2C6F9B4D-C5F2-4CB3-94F2-9BC9C4677273}" userId="5e6b18ad1acc1266" providerId="Windows Live"/>
  <person displayName="Nicholas Uhorchak" id="{FC54B23A-371F-45A9-9A78-F8D0211A63D9}" userId="S::uhorchak@uark.edu::6ec7273a-4865-4ca4-ae01-0407dd375372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4" dT="2023-09-28T18:44:41.91" personId="{2C6F9B4D-C5F2-4CB3-94F2-9BC9C4677273}" id="{42F1F0AF-51BC-4248-BD94-A4859EB45C6A}">
    <text>Pricing data not available</text>
  </threadedComment>
  <threadedComment ref="A15" dT="2023-10-05T18:23:31.22" personId="{2C6F9B4D-C5F2-4CB3-94F2-9BC9C4677273}" id="{BEFD4719-6C2E-4FF9-83A9-8F984DFF9AF2}">
    <text>PRICE DATA NOT AVAILABLE YET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1" dT="2023-09-12T14:40:51.59" personId="{FC54B23A-371F-45A9-9A78-F8D0211A63D9}" id="{3EB22D4D-0DBE-4D28-8F28-BDF0D13B7519}">
    <text>PENTA</text>
  </threadedComment>
  <threadedComment ref="A12" dT="2023-09-12T14:45:09.22" personId="{FC54B23A-371F-45A9-9A78-F8D0211A63D9}" id="{A25A49F2-D89C-44C4-A1C5-86768B72DB1B}">
    <text>HEXA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2" dT="2023-10-05T16:16:04.93" personId="{2C6F9B4D-C5F2-4CB3-94F2-9BC9C4677273}" id="{9821E87E-47D3-4F3B-B9B8-9EBFC8599CC8}">
    <text>Two period moving average to 2040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3" dT="2023-10-05T16:29:19.68" personId="{2C6F9B4D-C5F2-4CB3-94F2-9BC9C4677273}" id="{C287664E-6DA0-4C5E-AAFB-2019F5DFD48D}">
    <text>Two period moving average, offset by 0.1 to inflate future numbers beyond current single year value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E2" dT="2023-10-05T18:19:57.29" personId="{2C6F9B4D-C5F2-4CB3-94F2-9BC9C4677273}" id="{C91F6597-3F8D-4173-9AB8-04EAA855EFB2}">
    <text>TWO PERIOD MOVING AVERAGE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E18646DB-F81F-47C7-9F4D-399D3749904E}">
    <text>TWO PERIOD MOVING AVERAGE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E2" dT="2023-10-05T18:19:42.91" personId="{2C6F9B4D-C5F2-4CB3-94F2-9BC9C4677273}" id="{F85C4F29-DEB7-4CF8-AFB5-CCCC0E213394}">
    <text>TWO PERIOD MOVING AVERAGE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G2" dT="2023-10-05T18:19:29.20" personId="{2C6F9B4D-C5F2-4CB3-94F2-9BC9C4677273}" id="{1AB05F83-F275-465A-A090-3EBAF0D55FDA}">
    <text>TWO PERIOD MOVING AVERAGE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D2" dT="2023-10-05T18:19:02.87" personId="{2C6F9B4D-C5F2-4CB3-94F2-9BC9C4677273}" id="{342F7C4E-F7FD-4710-8B17-AE3902E1F4E3}">
    <text>TWO PERIOD MOVING AVERAGE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D3" dT="2023-10-05T19:29:31.27" personId="{2C6F9B4D-C5F2-4CB3-94F2-9BC9C4677273}" id="{744267BF-CBDF-4800-B159-389CF18D9103}">
    <text>Two period MA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D4" dT="2023-10-05T19:36:52.91" personId="{2C6F9B4D-C5F2-4CB3-94F2-9BC9C4677273}" id="{D10573D1-DDBD-4801-81DE-8DAC858EB928}">
    <text>MA2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D2" dT="2023-10-05T19:29:31.27" personId="{2C6F9B4D-C5F2-4CB3-94F2-9BC9C4677273}" id="{5A787AE6-FCBA-43A6-9D29-B4D7CDCB1CDF}">
    <text>Two period MA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I1" dT="2023-10-30T13:58:52.61" personId="{2C6F9B4D-C5F2-4CB3-94F2-9BC9C4677273}" id="{D2D02722-2577-461C-ADF2-9C7EE23A29AD}">
    <text>2p MA start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E1" dT="2023-10-30T13:59:45.56" personId="{2C6F9B4D-C5F2-4CB3-94F2-9BC9C4677273}" id="{B3E92547-D8D6-41F9-B31D-64FCE23FA7A7}">
    <text>2p MA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1.x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3.xml"/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4.xml"/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B8644-2261-4877-80BE-CC4AF11FA5EA}">
  <dimension ref="A1:Q52"/>
  <sheetViews>
    <sheetView tabSelected="1" zoomScale="79" zoomScaleNormal="100" workbookViewId="0">
      <selection activeCell="A13" sqref="A13"/>
    </sheetView>
  </sheetViews>
  <sheetFormatPr defaultRowHeight="15" x14ac:dyDescent="0.25"/>
  <cols>
    <col min="1" max="1" width="96.140625" bestFit="1" customWidth="1"/>
    <col min="2" max="15" width="15.7109375" customWidth="1"/>
    <col min="26" max="26" width="15.28515625" customWidth="1"/>
    <col min="27" max="27" width="10.5703125" bestFit="1" customWidth="1"/>
    <col min="28" max="28" width="16.7109375" bestFit="1" customWidth="1"/>
    <col min="29" max="29" width="16.42578125" bestFit="1" customWidth="1"/>
    <col min="30" max="30" width="10.5703125" bestFit="1" customWidth="1"/>
    <col min="31" max="31" width="13.28515625" bestFit="1" customWidth="1"/>
    <col min="32" max="32" width="4.85546875" bestFit="1" customWidth="1"/>
    <col min="33" max="33" width="14" bestFit="1" customWidth="1"/>
    <col min="34" max="34" width="10.140625" bestFit="1" customWidth="1"/>
    <col min="35" max="35" width="13.7109375" bestFit="1" customWidth="1"/>
    <col min="36" max="36" width="17" bestFit="1" customWidth="1"/>
    <col min="37" max="37" width="7.7109375" bestFit="1" customWidth="1"/>
    <col min="38" max="38" width="7.5703125" bestFit="1" customWidth="1"/>
    <col min="39" max="39" width="17.140625" bestFit="1" customWidth="1"/>
  </cols>
  <sheetData>
    <row r="1" spans="1:17" ht="45" x14ac:dyDescent="0.25">
      <c r="A1" s="1" t="s">
        <v>0</v>
      </c>
      <c r="B1" s="3" t="s">
        <v>9</v>
      </c>
      <c r="C1" s="3" t="s">
        <v>7</v>
      </c>
      <c r="D1" s="3" t="s">
        <v>16</v>
      </c>
      <c r="E1" s="3" t="s">
        <v>11</v>
      </c>
      <c r="F1" s="3" t="s">
        <v>23</v>
      </c>
      <c r="G1" s="3" t="s">
        <v>61</v>
      </c>
      <c r="H1" s="3" t="s">
        <v>28</v>
      </c>
      <c r="I1" s="3" t="s">
        <v>13</v>
      </c>
      <c r="J1" s="3" t="s">
        <v>14</v>
      </c>
      <c r="K1" s="27" t="s">
        <v>21</v>
      </c>
      <c r="L1" s="3" t="s">
        <v>20</v>
      </c>
      <c r="M1" s="26" t="s">
        <v>60</v>
      </c>
      <c r="N1" s="3" t="s">
        <v>22</v>
      </c>
      <c r="O1" s="3" t="s">
        <v>19</v>
      </c>
      <c r="P1" s="24" t="s">
        <v>57</v>
      </c>
    </row>
    <row r="2" spans="1:17" x14ac:dyDescent="0.25">
      <c r="A2" s="16" t="s">
        <v>25</v>
      </c>
      <c r="B2" s="27">
        <v>1</v>
      </c>
      <c r="C2" s="27">
        <v>1</v>
      </c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9"/>
      <c r="Q2">
        <f t="shared" ref="Q2:Q18" si="0">SUM(B2:P2)</f>
        <v>2</v>
      </c>
    </row>
    <row r="3" spans="1:17" x14ac:dyDescent="0.25">
      <c r="A3" s="16" t="s">
        <v>26</v>
      </c>
      <c r="B3" s="27">
        <v>1</v>
      </c>
      <c r="C3" s="27"/>
      <c r="D3" s="27"/>
      <c r="E3" s="27">
        <v>1</v>
      </c>
      <c r="F3" s="27"/>
      <c r="G3" s="27"/>
      <c r="H3" s="27"/>
      <c r="I3" s="27"/>
      <c r="J3" s="27"/>
      <c r="K3" s="27"/>
      <c r="L3" s="27"/>
      <c r="M3" s="27"/>
      <c r="N3" s="27"/>
      <c r="O3" s="27"/>
      <c r="P3" s="29"/>
      <c r="Q3">
        <f t="shared" si="0"/>
        <v>2</v>
      </c>
    </row>
    <row r="4" spans="1:17" x14ac:dyDescent="0.25">
      <c r="A4" s="16" t="s">
        <v>24</v>
      </c>
      <c r="B4" s="27">
        <v>1</v>
      </c>
      <c r="C4" s="27"/>
      <c r="D4" s="27">
        <v>1</v>
      </c>
      <c r="E4" s="27"/>
      <c r="F4" s="27">
        <v>1</v>
      </c>
      <c r="G4" s="27"/>
      <c r="H4" s="27"/>
      <c r="I4" s="27"/>
      <c r="J4" s="27"/>
      <c r="K4" s="27"/>
      <c r="L4" s="27"/>
      <c r="M4" s="27"/>
      <c r="N4" s="27"/>
      <c r="O4" s="27"/>
      <c r="P4" s="29"/>
      <c r="Q4">
        <f t="shared" si="0"/>
        <v>3</v>
      </c>
    </row>
    <row r="5" spans="1:17" x14ac:dyDescent="0.25">
      <c r="A5" s="16" t="s">
        <v>6</v>
      </c>
      <c r="B5" s="27">
        <v>1</v>
      </c>
      <c r="C5" s="27">
        <v>1</v>
      </c>
      <c r="D5" s="27"/>
      <c r="E5" s="27"/>
      <c r="F5" s="27"/>
      <c r="G5" s="27"/>
      <c r="H5" s="27">
        <v>1</v>
      </c>
      <c r="I5" s="27"/>
      <c r="J5" s="27"/>
      <c r="K5" s="27"/>
      <c r="L5" s="27"/>
      <c r="M5" s="27"/>
      <c r="N5" s="27"/>
      <c r="O5" s="27"/>
      <c r="P5" s="29"/>
      <c r="Q5">
        <f t="shared" si="0"/>
        <v>3</v>
      </c>
    </row>
    <row r="6" spans="1:17" x14ac:dyDescent="0.25">
      <c r="A6" s="16" t="s">
        <v>27</v>
      </c>
      <c r="B6" s="27">
        <v>1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9"/>
      <c r="Q6">
        <f t="shared" si="0"/>
        <v>1</v>
      </c>
    </row>
    <row r="7" spans="1:17" x14ac:dyDescent="0.25">
      <c r="A7" s="16" t="s">
        <v>18</v>
      </c>
      <c r="B7" s="27"/>
      <c r="C7" s="27"/>
      <c r="D7" s="27"/>
      <c r="E7" s="27"/>
      <c r="F7" s="27"/>
      <c r="G7" s="27">
        <v>1</v>
      </c>
      <c r="H7" s="27"/>
      <c r="I7" s="27">
        <v>1</v>
      </c>
      <c r="J7" s="27"/>
      <c r="K7" s="27">
        <v>1</v>
      </c>
      <c r="L7" s="27">
        <v>1</v>
      </c>
      <c r="M7" s="27"/>
      <c r="N7" s="27"/>
      <c r="O7" s="27"/>
      <c r="P7" s="29"/>
      <c r="Q7">
        <f t="shared" si="0"/>
        <v>4</v>
      </c>
    </row>
    <row r="8" spans="1:17" x14ac:dyDescent="0.25">
      <c r="A8" s="16" t="s">
        <v>17</v>
      </c>
      <c r="B8" s="27">
        <v>1</v>
      </c>
      <c r="C8" s="27">
        <v>1</v>
      </c>
      <c r="D8" s="27">
        <v>1</v>
      </c>
      <c r="E8" s="27"/>
      <c r="F8" s="27"/>
      <c r="G8" s="27">
        <v>1</v>
      </c>
      <c r="H8" s="27"/>
      <c r="I8" s="27"/>
      <c r="J8" s="27">
        <v>1</v>
      </c>
      <c r="K8" s="27"/>
      <c r="L8" s="27"/>
      <c r="M8" s="27">
        <v>1</v>
      </c>
      <c r="N8" s="27">
        <v>1</v>
      </c>
      <c r="O8" s="27">
        <v>1</v>
      </c>
      <c r="P8" s="29"/>
      <c r="Q8" s="25">
        <f t="shared" si="0"/>
        <v>8</v>
      </c>
    </row>
    <row r="9" spans="1:17" x14ac:dyDescent="0.25">
      <c r="A9" s="16" t="s">
        <v>39</v>
      </c>
      <c r="B9" s="27">
        <v>1</v>
      </c>
      <c r="C9" s="27"/>
      <c r="D9" s="27"/>
      <c r="E9" s="27"/>
      <c r="F9" s="27"/>
      <c r="G9" s="27"/>
      <c r="H9" s="27"/>
      <c r="I9" s="27">
        <v>1</v>
      </c>
      <c r="J9" s="27"/>
      <c r="K9" s="27"/>
      <c r="L9" s="27"/>
      <c r="M9" s="27"/>
      <c r="N9" s="27"/>
      <c r="O9" s="27"/>
      <c r="P9" s="29"/>
      <c r="Q9">
        <f t="shared" si="0"/>
        <v>2</v>
      </c>
    </row>
    <row r="10" spans="1:17" x14ac:dyDescent="0.25">
      <c r="A10" s="16" t="s">
        <v>42</v>
      </c>
      <c r="B10" s="27">
        <v>1</v>
      </c>
      <c r="C10" s="27">
        <v>1</v>
      </c>
      <c r="D10" s="27"/>
      <c r="E10" s="27"/>
      <c r="F10" s="27"/>
      <c r="G10" s="27"/>
      <c r="H10" s="27">
        <v>1</v>
      </c>
      <c r="I10" s="27"/>
      <c r="J10" s="27"/>
      <c r="K10" s="27"/>
      <c r="L10" s="27"/>
      <c r="M10" s="27"/>
      <c r="N10" s="27"/>
      <c r="O10" s="27"/>
      <c r="P10" s="29"/>
      <c r="Q10">
        <f t="shared" si="0"/>
        <v>3</v>
      </c>
    </row>
    <row r="11" spans="1:17" x14ac:dyDescent="0.25">
      <c r="A11" s="16" t="s">
        <v>43</v>
      </c>
      <c r="B11" s="27"/>
      <c r="C11" s="27">
        <v>1</v>
      </c>
      <c r="D11" s="27"/>
      <c r="E11" s="27"/>
      <c r="F11" s="27"/>
      <c r="G11" s="27"/>
      <c r="H11" s="27">
        <v>1</v>
      </c>
      <c r="I11" s="27"/>
      <c r="J11" s="27"/>
      <c r="K11" s="27"/>
      <c r="L11" s="27"/>
      <c r="M11" s="27"/>
      <c r="N11" s="27"/>
      <c r="O11" s="27"/>
      <c r="P11" s="29"/>
      <c r="Q11">
        <f t="shared" si="0"/>
        <v>2</v>
      </c>
    </row>
    <row r="12" spans="1:17" x14ac:dyDescent="0.25">
      <c r="A12" s="16" t="s">
        <v>40</v>
      </c>
      <c r="B12" s="27">
        <v>1</v>
      </c>
      <c r="C12" s="27"/>
      <c r="D12" s="27"/>
      <c r="E12" s="27">
        <v>1</v>
      </c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9"/>
      <c r="Q12">
        <f t="shared" si="0"/>
        <v>2</v>
      </c>
    </row>
    <row r="13" spans="1:17" x14ac:dyDescent="0.25">
      <c r="A13" s="16" t="s">
        <v>15</v>
      </c>
      <c r="B13" s="27">
        <v>1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9"/>
      <c r="Q13">
        <f t="shared" si="0"/>
        <v>1</v>
      </c>
    </row>
    <row r="14" spans="1:17" x14ac:dyDescent="0.25">
      <c r="A14" s="16" t="s">
        <v>10</v>
      </c>
      <c r="B14" s="27">
        <v>1</v>
      </c>
      <c r="C14" s="27">
        <v>1</v>
      </c>
      <c r="D14" s="27"/>
      <c r="E14" s="27">
        <v>1</v>
      </c>
      <c r="F14" s="27"/>
      <c r="G14" s="27"/>
      <c r="H14" s="27"/>
      <c r="I14" s="27">
        <v>1</v>
      </c>
      <c r="J14" s="27">
        <v>1</v>
      </c>
      <c r="K14" s="27"/>
      <c r="L14" s="27"/>
      <c r="M14" s="28"/>
      <c r="N14" s="27"/>
      <c r="O14" s="27"/>
      <c r="P14" s="29"/>
      <c r="Q14" s="25">
        <f t="shared" si="0"/>
        <v>5</v>
      </c>
    </row>
    <row r="15" spans="1:17" x14ac:dyDescent="0.25">
      <c r="A15" s="16" t="s">
        <v>12</v>
      </c>
      <c r="B15" s="27"/>
      <c r="C15" s="27"/>
      <c r="D15" s="27"/>
      <c r="E15" s="27"/>
      <c r="F15" s="27"/>
      <c r="G15" s="27">
        <v>1</v>
      </c>
      <c r="H15" s="27"/>
      <c r="I15" s="27"/>
      <c r="J15" s="27"/>
      <c r="K15" s="27"/>
      <c r="L15" s="27"/>
      <c r="M15" s="28"/>
      <c r="N15" s="27"/>
      <c r="O15" s="27"/>
      <c r="P15" s="29"/>
      <c r="Q15">
        <f t="shared" si="0"/>
        <v>1</v>
      </c>
    </row>
    <row r="16" spans="1:17" x14ac:dyDescent="0.25">
      <c r="A16" s="16" t="s">
        <v>37</v>
      </c>
      <c r="B16" s="27"/>
      <c r="C16" s="27"/>
      <c r="D16" s="27">
        <v>1</v>
      </c>
      <c r="E16" s="27"/>
      <c r="F16" s="27">
        <v>1</v>
      </c>
      <c r="G16" s="27"/>
      <c r="H16" s="27"/>
      <c r="I16" s="27"/>
      <c r="J16" s="27"/>
      <c r="K16" s="27"/>
      <c r="L16" s="27"/>
      <c r="M16" s="27">
        <v>1</v>
      </c>
      <c r="N16" s="27"/>
      <c r="O16" s="27"/>
      <c r="P16" s="29"/>
      <c r="Q16">
        <f t="shared" si="0"/>
        <v>3</v>
      </c>
    </row>
    <row r="17" spans="1:17" x14ac:dyDescent="0.25">
      <c r="A17" s="16" t="s">
        <v>58</v>
      </c>
      <c r="B17" s="27">
        <v>1</v>
      </c>
      <c r="C17" s="27"/>
      <c r="D17" s="27">
        <v>1</v>
      </c>
      <c r="E17" s="27"/>
      <c r="F17" s="27"/>
      <c r="G17" s="27"/>
      <c r="H17" s="27"/>
      <c r="I17" s="27"/>
      <c r="J17" s="27"/>
      <c r="K17" s="27"/>
      <c r="L17" s="27"/>
      <c r="M17" s="27"/>
      <c r="N17" s="27">
        <v>1</v>
      </c>
      <c r="O17" s="27"/>
      <c r="P17" s="27"/>
      <c r="Q17">
        <f t="shared" si="0"/>
        <v>3</v>
      </c>
    </row>
    <row r="18" spans="1:17" x14ac:dyDescent="0.25">
      <c r="A18" s="16" t="s">
        <v>59</v>
      </c>
      <c r="B18" s="27">
        <v>1</v>
      </c>
      <c r="C18" s="27"/>
      <c r="D18" s="27">
        <v>1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>
        <v>1</v>
      </c>
      <c r="Q18">
        <f t="shared" si="0"/>
        <v>3</v>
      </c>
    </row>
    <row r="19" spans="1:17" x14ac:dyDescent="0.25">
      <c r="A19" s="5"/>
      <c r="B19" s="2">
        <f t="shared" ref="B19:P19" si="1">SUM(B2:B18)</f>
        <v>13</v>
      </c>
      <c r="C19" s="2">
        <f t="shared" si="1"/>
        <v>6</v>
      </c>
      <c r="D19" s="2">
        <f t="shared" si="1"/>
        <v>5</v>
      </c>
      <c r="E19" s="2">
        <f t="shared" si="1"/>
        <v>3</v>
      </c>
      <c r="F19" s="2">
        <f t="shared" si="1"/>
        <v>2</v>
      </c>
      <c r="G19" s="2">
        <f t="shared" si="1"/>
        <v>3</v>
      </c>
      <c r="H19" s="2">
        <f t="shared" si="1"/>
        <v>3</v>
      </c>
      <c r="I19" s="2">
        <f t="shared" si="1"/>
        <v>3</v>
      </c>
      <c r="J19" s="2">
        <f t="shared" si="1"/>
        <v>2</v>
      </c>
      <c r="K19" s="2">
        <f t="shared" si="1"/>
        <v>1</v>
      </c>
      <c r="L19" s="2">
        <f t="shared" si="1"/>
        <v>1</v>
      </c>
      <c r="M19" s="2">
        <f t="shared" si="1"/>
        <v>2</v>
      </c>
      <c r="N19" s="2">
        <f t="shared" si="1"/>
        <v>2</v>
      </c>
      <c r="O19" s="2">
        <f t="shared" si="1"/>
        <v>1</v>
      </c>
      <c r="P19" s="2">
        <f t="shared" si="1"/>
        <v>1</v>
      </c>
    </row>
    <row r="20" spans="1:17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7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7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7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7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7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7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7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7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7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7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7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7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2:15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2:15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2:15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2:15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2:15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2:15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2:15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2:15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2:15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2:15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2:15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2:15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2:15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2:15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2:15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2:15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2:15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2:15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2:15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2:15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</sheetData>
  <autoFilter ref="A1:O52" xr:uid="{33B467EF-9A95-4D5D-8C3D-345AC2CF8301}"/>
  <conditionalFormatting sqref="B1:L1 N1:P1 B2:O13 B14:L15 N14:O15 B16:O16 B19:P19">
    <cfRule type="notContainsBlanks" dxfId="3" priority="2" stopIfTrue="1">
      <formula>LEN(TRIM(B1))&gt;0</formula>
    </cfRule>
  </conditionalFormatting>
  <conditionalFormatting sqref="B17:P18">
    <cfRule type="notContainsBlanks" dxfId="2" priority="1">
      <formula>LEN(TRIM(B17))&gt;0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6F70F-2959-4FB0-BB2A-3066CA76DA7F}">
  <dimension ref="A1:M54"/>
  <sheetViews>
    <sheetView zoomScaleNormal="100" workbookViewId="0">
      <selection activeCell="A15" sqref="A15:XFD15"/>
    </sheetView>
  </sheetViews>
  <sheetFormatPr defaultRowHeight="15" x14ac:dyDescent="0.25"/>
  <cols>
    <col min="1" max="1" width="91.140625" customWidth="1"/>
    <col min="2" max="11" width="15.7109375" customWidth="1"/>
  </cols>
  <sheetData>
    <row r="1" spans="1:13" ht="30" x14ac:dyDescent="0.25">
      <c r="A1" s="1" t="s">
        <v>0</v>
      </c>
      <c r="B1" s="3" t="s">
        <v>25</v>
      </c>
      <c r="C1" s="3" t="s">
        <v>30</v>
      </c>
      <c r="D1" s="3" t="s">
        <v>31</v>
      </c>
      <c r="E1" s="3" t="s">
        <v>1</v>
      </c>
      <c r="F1" s="3" t="s">
        <v>34</v>
      </c>
      <c r="G1" s="3" t="s">
        <v>4</v>
      </c>
      <c r="H1" s="3" t="s">
        <v>3</v>
      </c>
      <c r="I1" s="3" t="s">
        <v>35</v>
      </c>
      <c r="J1" s="3" t="s">
        <v>36</v>
      </c>
      <c r="K1" s="3" t="s">
        <v>29</v>
      </c>
      <c r="L1" s="3" t="s">
        <v>58</v>
      </c>
      <c r="M1" s="3" t="s">
        <v>2</v>
      </c>
    </row>
    <row r="2" spans="1:13" x14ac:dyDescent="0.25">
      <c r="A2" s="4" t="s">
        <v>25</v>
      </c>
      <c r="B2" s="3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4" t="s">
        <v>26</v>
      </c>
      <c r="B3" s="3">
        <v>1</v>
      </c>
      <c r="C3" s="3"/>
      <c r="D3" s="3">
        <v>1</v>
      </c>
      <c r="E3" s="3"/>
      <c r="F3" s="3"/>
      <c r="G3" s="3"/>
      <c r="H3" s="3"/>
      <c r="I3" s="3"/>
      <c r="J3" s="3"/>
      <c r="K3" s="3"/>
      <c r="L3" s="3"/>
      <c r="M3" s="3"/>
    </row>
    <row r="4" spans="1:13" x14ac:dyDescent="0.25">
      <c r="A4" s="4" t="s">
        <v>24</v>
      </c>
      <c r="B4" s="3">
        <v>1</v>
      </c>
      <c r="C4" s="3">
        <v>1</v>
      </c>
      <c r="D4" s="3">
        <v>1</v>
      </c>
      <c r="E4" s="3"/>
      <c r="F4" s="3"/>
      <c r="G4" s="3"/>
      <c r="H4" s="3"/>
      <c r="I4" s="3"/>
      <c r="J4" s="3"/>
      <c r="K4" s="3"/>
      <c r="L4" s="3"/>
      <c r="M4" s="3"/>
    </row>
    <row r="5" spans="1:13" x14ac:dyDescent="0.25">
      <c r="A5" s="4" t="s">
        <v>6</v>
      </c>
      <c r="B5" s="3"/>
      <c r="C5" s="3"/>
      <c r="D5" s="3"/>
      <c r="E5" s="3"/>
      <c r="F5" s="3"/>
      <c r="G5" s="3"/>
      <c r="H5" s="3">
        <v>1</v>
      </c>
      <c r="I5" s="3"/>
      <c r="J5" s="3"/>
      <c r="K5" s="3"/>
      <c r="L5" s="3"/>
      <c r="M5" s="3"/>
    </row>
    <row r="6" spans="1:13" x14ac:dyDescent="0.25">
      <c r="A6" s="4" t="s">
        <v>41</v>
      </c>
      <c r="B6" s="3"/>
      <c r="C6" s="3"/>
      <c r="D6" s="3"/>
      <c r="E6" s="3"/>
      <c r="F6" s="3"/>
      <c r="G6" s="3">
        <v>1</v>
      </c>
      <c r="H6" s="3">
        <v>1</v>
      </c>
      <c r="I6" s="3"/>
      <c r="J6" s="3"/>
      <c r="K6" s="3"/>
      <c r="L6" s="3"/>
      <c r="M6" s="3"/>
    </row>
    <row r="7" spans="1:13" x14ac:dyDescent="0.25">
      <c r="A7" s="4" t="s">
        <v>5</v>
      </c>
      <c r="B7" s="3"/>
      <c r="C7" s="3"/>
      <c r="D7" s="3"/>
      <c r="E7" s="3"/>
      <c r="F7" s="3"/>
      <c r="G7" s="3">
        <v>1</v>
      </c>
      <c r="H7" s="3">
        <v>1</v>
      </c>
      <c r="I7" s="3"/>
      <c r="J7" s="3"/>
      <c r="K7" s="3"/>
      <c r="L7" s="3"/>
      <c r="M7" s="3"/>
    </row>
    <row r="8" spans="1:13" x14ac:dyDescent="0.25">
      <c r="A8" s="4" t="s">
        <v>8</v>
      </c>
      <c r="B8" s="3"/>
      <c r="C8" s="3"/>
      <c r="D8" s="3"/>
      <c r="E8" s="3"/>
      <c r="F8" s="3"/>
      <c r="G8" s="3">
        <v>1</v>
      </c>
      <c r="H8" s="3">
        <v>1</v>
      </c>
      <c r="I8" s="3"/>
      <c r="J8" s="3"/>
      <c r="K8" s="3"/>
      <c r="L8" s="3"/>
      <c r="M8" s="3"/>
    </row>
    <row r="9" spans="1:13" x14ac:dyDescent="0.25">
      <c r="A9" s="4" t="s">
        <v>40</v>
      </c>
      <c r="B9" s="3"/>
      <c r="C9" s="3"/>
      <c r="D9" s="3"/>
      <c r="E9" s="3"/>
      <c r="F9" s="3"/>
      <c r="G9" s="3">
        <v>1</v>
      </c>
      <c r="H9" s="3">
        <v>1</v>
      </c>
      <c r="I9" s="3">
        <v>1</v>
      </c>
      <c r="J9" s="3"/>
      <c r="K9" s="3"/>
      <c r="L9" s="3"/>
      <c r="M9" s="3"/>
    </row>
    <row r="10" spans="1:13" x14ac:dyDescent="0.25">
      <c r="A10" s="4" t="s">
        <v>15</v>
      </c>
      <c r="B10" s="3"/>
      <c r="C10" s="3"/>
      <c r="D10" s="3"/>
      <c r="E10" s="3"/>
      <c r="F10" s="3"/>
      <c r="G10" s="3">
        <v>1</v>
      </c>
      <c r="H10" s="3">
        <v>1</v>
      </c>
      <c r="I10" s="3">
        <v>1</v>
      </c>
      <c r="J10" s="3">
        <v>1</v>
      </c>
      <c r="K10" s="3"/>
      <c r="L10" s="3"/>
      <c r="M10" s="3"/>
    </row>
    <row r="11" spans="1:13" x14ac:dyDescent="0.25">
      <c r="A11" s="4" t="s">
        <v>10</v>
      </c>
      <c r="B11" s="3"/>
      <c r="C11" s="3"/>
      <c r="D11" s="3"/>
      <c r="E11" s="3"/>
      <c r="F11" s="3"/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/>
      <c r="M11" s="3"/>
    </row>
    <row r="12" spans="1:13" x14ac:dyDescent="0.25">
      <c r="A12" s="4" t="s">
        <v>12</v>
      </c>
      <c r="B12" s="3"/>
      <c r="C12" s="3"/>
      <c r="D12" s="3"/>
      <c r="E12" s="3"/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/>
      <c r="M12" s="3"/>
    </row>
    <row r="13" spans="1:13" x14ac:dyDescent="0.25">
      <c r="A13" s="4" t="s">
        <v>18</v>
      </c>
      <c r="B13" s="3"/>
      <c r="C13" s="3"/>
      <c r="D13" s="3"/>
      <c r="E13" s="3"/>
      <c r="F13" s="3">
        <v>1</v>
      </c>
      <c r="G13" s="3"/>
      <c r="H13" s="3"/>
      <c r="I13" s="3"/>
      <c r="J13" s="3"/>
      <c r="K13" s="3"/>
      <c r="L13" s="3"/>
      <c r="M13" s="3"/>
    </row>
    <row r="14" spans="1:13" x14ac:dyDescent="0.25">
      <c r="A14" s="4" t="s">
        <v>17</v>
      </c>
      <c r="B14" s="3"/>
      <c r="C14" s="3"/>
      <c r="D14" s="3"/>
      <c r="E14" s="3"/>
      <c r="F14" s="3">
        <v>1</v>
      </c>
      <c r="G14" s="3"/>
      <c r="H14" s="3"/>
      <c r="I14" s="3"/>
      <c r="J14" s="3"/>
      <c r="K14" s="3"/>
      <c r="L14" s="3"/>
      <c r="M14" s="3"/>
    </row>
    <row r="15" spans="1:13" x14ac:dyDescent="0.25">
      <c r="A15" s="4" t="s">
        <v>38</v>
      </c>
      <c r="B15" s="3"/>
      <c r="C15" s="3"/>
      <c r="D15" s="3"/>
      <c r="E15" s="3">
        <v>1</v>
      </c>
      <c r="F15" s="3"/>
      <c r="G15" s="3"/>
      <c r="H15" s="3"/>
      <c r="I15" s="3"/>
      <c r="J15" s="3"/>
      <c r="K15" s="3"/>
      <c r="L15" s="3"/>
      <c r="M15" s="3"/>
    </row>
    <row r="16" spans="1:13" x14ac:dyDescent="0.25">
      <c r="A16" s="4" t="s">
        <v>39</v>
      </c>
      <c r="B16" s="3"/>
      <c r="C16" s="3"/>
      <c r="D16" s="3"/>
      <c r="E16" s="3"/>
      <c r="F16" s="3"/>
      <c r="G16" s="3"/>
      <c r="H16" s="3"/>
      <c r="I16" s="3"/>
      <c r="J16" s="3"/>
      <c r="K16" s="3">
        <v>1</v>
      </c>
      <c r="L16" s="3"/>
      <c r="M16" s="3"/>
    </row>
    <row r="17" spans="1:13" x14ac:dyDescent="0.25">
      <c r="A17" s="4" t="s">
        <v>27</v>
      </c>
      <c r="B17" s="3"/>
      <c r="C17" s="3"/>
      <c r="D17" s="3"/>
      <c r="E17" s="3"/>
      <c r="F17" s="3"/>
      <c r="G17" s="3"/>
      <c r="H17" s="3"/>
      <c r="I17" s="3"/>
      <c r="J17" s="3">
        <v>1</v>
      </c>
      <c r="K17" s="3"/>
      <c r="L17" s="3"/>
      <c r="M17" s="3"/>
    </row>
    <row r="18" spans="1:13" x14ac:dyDescent="0.25">
      <c r="A18" s="16" t="s">
        <v>58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>
        <v>1</v>
      </c>
      <c r="M18" s="3"/>
    </row>
    <row r="19" spans="1:13" x14ac:dyDescent="0.25">
      <c r="A19" s="4" t="s">
        <v>59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>
        <v>1</v>
      </c>
    </row>
    <row r="20" spans="1:13" x14ac:dyDescent="0.25">
      <c r="A20" s="5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3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3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3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3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3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3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3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3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3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3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3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3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2:11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2:11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2:11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2:11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2:11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2:11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2:11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2:11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2:11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2:11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2:11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2:11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2:11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2:11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2:11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2:11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2:11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2:11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2:11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2:11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2:11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2:11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</row>
  </sheetData>
  <autoFilter ref="A1:K54" xr:uid="{33B467EF-9A95-4D5D-8C3D-345AC2CF8301}"/>
  <conditionalFormatting sqref="B1:K20">
    <cfRule type="notContainsBlanks" dxfId="1" priority="2">
      <formula>LEN(TRIM(B1))&gt;0</formula>
    </cfRule>
  </conditionalFormatting>
  <conditionalFormatting sqref="L1:M19">
    <cfRule type="notContainsBlanks" dxfId="0" priority="1">
      <formula>LEN(TRIM(L1))&gt;0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31E1A-8003-45D1-BD8D-FA51F64ABC62}">
  <dimension ref="A1:K25"/>
  <sheetViews>
    <sheetView workbookViewId="0">
      <selection activeCell="H13" sqref="H13"/>
    </sheetView>
  </sheetViews>
  <sheetFormatPr defaultRowHeight="15" x14ac:dyDescent="0.25"/>
  <cols>
    <col min="1" max="1" width="33.42578125" bestFit="1" customWidth="1"/>
  </cols>
  <sheetData>
    <row r="1" spans="1:11" x14ac:dyDescent="0.25">
      <c r="A1" s="17"/>
      <c r="B1" s="17">
        <v>1</v>
      </c>
      <c r="C1" s="17">
        <v>2</v>
      </c>
      <c r="D1" s="17">
        <v>3</v>
      </c>
      <c r="E1" s="17">
        <v>4</v>
      </c>
      <c r="F1" s="17">
        <v>5</v>
      </c>
      <c r="G1" s="17">
        <v>6</v>
      </c>
      <c r="H1" s="17">
        <v>7</v>
      </c>
      <c r="I1" s="17">
        <v>8</v>
      </c>
      <c r="J1" s="17">
        <v>9</v>
      </c>
      <c r="K1" s="17">
        <v>10</v>
      </c>
    </row>
    <row r="2" spans="1:11" x14ac:dyDescent="0.25">
      <c r="A2" s="17" t="s">
        <v>44</v>
      </c>
      <c r="B2" s="20">
        <v>0.25</v>
      </c>
      <c r="C2" s="20">
        <v>0.26</v>
      </c>
      <c r="D2" s="20">
        <v>0.27</v>
      </c>
      <c r="E2" s="20">
        <f t="shared" ref="E2:K2" si="0">AVERAGE(C2:D2)</f>
        <v>0.26500000000000001</v>
      </c>
      <c r="F2" s="20">
        <f t="shared" si="0"/>
        <v>0.26750000000000002</v>
      </c>
      <c r="G2" s="20">
        <f t="shared" si="0"/>
        <v>0.26624999999999999</v>
      </c>
      <c r="H2" s="20">
        <f t="shared" si="0"/>
        <v>0.26687499999999997</v>
      </c>
      <c r="I2" s="20">
        <f t="shared" si="0"/>
        <v>0.26656249999999998</v>
      </c>
      <c r="J2" s="20">
        <f t="shared" si="0"/>
        <v>0.26671875</v>
      </c>
      <c r="K2" s="20">
        <f t="shared" si="0"/>
        <v>0.26664062499999996</v>
      </c>
    </row>
    <row r="3" spans="1:11" x14ac:dyDescent="0.25">
      <c r="A3" s="17" t="s">
        <v>45</v>
      </c>
      <c r="B3" s="20">
        <v>0.39200000000000002</v>
      </c>
      <c r="C3" s="20">
        <v>0.43049999999999999</v>
      </c>
      <c r="D3" s="20">
        <v>0.44</v>
      </c>
      <c r="E3" s="20">
        <f t="shared" ref="E3:K3" si="1">AVERAGE(C3:D3)</f>
        <v>0.43525000000000003</v>
      </c>
      <c r="F3" s="20">
        <f t="shared" si="1"/>
        <v>0.43762500000000004</v>
      </c>
      <c r="G3" s="20">
        <f t="shared" si="1"/>
        <v>0.43643750000000003</v>
      </c>
      <c r="H3" s="20">
        <f t="shared" si="1"/>
        <v>0.43703125000000004</v>
      </c>
      <c r="I3" s="20">
        <f t="shared" si="1"/>
        <v>0.43673437500000001</v>
      </c>
      <c r="J3" s="20">
        <f t="shared" si="1"/>
        <v>0.43688281250000005</v>
      </c>
      <c r="K3" s="20">
        <f t="shared" si="1"/>
        <v>0.43680859375000003</v>
      </c>
    </row>
    <row r="6" spans="1:11" x14ac:dyDescent="0.25">
      <c r="B6" s="8"/>
      <c r="C6" s="8"/>
    </row>
    <row r="7" spans="1:11" x14ac:dyDescent="0.25">
      <c r="B7" s="8"/>
      <c r="C7" s="8"/>
    </row>
    <row r="8" spans="1:11" x14ac:dyDescent="0.25">
      <c r="B8" s="7"/>
      <c r="C8" s="7"/>
    </row>
    <row r="9" spans="1:11" x14ac:dyDescent="0.25">
      <c r="C9" s="6"/>
    </row>
    <row r="23" spans="2:2" x14ac:dyDescent="0.25">
      <c r="B23" s="6"/>
    </row>
    <row r="24" spans="2:2" x14ac:dyDescent="0.25">
      <c r="B24" s="9"/>
    </row>
    <row r="25" spans="2:2" x14ac:dyDescent="0.25">
      <c r="B25" s="9"/>
    </row>
  </sheetData>
  <phoneticPr fontId="4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0660-D800-40B7-970C-D208E103B38C}">
  <dimension ref="A1:K3"/>
  <sheetViews>
    <sheetView workbookViewId="0">
      <selection activeCell="B11" sqref="B11"/>
    </sheetView>
  </sheetViews>
  <sheetFormatPr defaultRowHeight="15" x14ac:dyDescent="0.25"/>
  <cols>
    <col min="1" max="1" width="34.140625" bestFit="1" customWidth="1"/>
  </cols>
  <sheetData>
    <row r="1" spans="1:11" x14ac:dyDescent="0.25">
      <c r="A1" s="17"/>
      <c r="B1" s="17">
        <v>1</v>
      </c>
      <c r="C1" s="17">
        <v>2</v>
      </c>
      <c r="D1" s="17">
        <v>3</v>
      </c>
      <c r="E1" s="17">
        <v>4</v>
      </c>
      <c r="F1" s="17">
        <v>5</v>
      </c>
      <c r="G1" s="17">
        <v>6</v>
      </c>
      <c r="H1" s="17">
        <v>7</v>
      </c>
      <c r="I1" s="17">
        <v>8</v>
      </c>
      <c r="J1" s="17">
        <v>9</v>
      </c>
      <c r="K1" s="17">
        <v>10</v>
      </c>
    </row>
    <row r="2" spans="1:11" x14ac:dyDescent="0.25">
      <c r="A2" s="17" t="s">
        <v>45</v>
      </c>
      <c r="B2" s="21">
        <v>0.8115</v>
      </c>
      <c r="C2" s="21">
        <v>0.89250000000000007</v>
      </c>
      <c r="D2" s="21">
        <v>0.89</v>
      </c>
      <c r="E2" s="21">
        <v>0.8912500000000001</v>
      </c>
      <c r="F2" s="21">
        <v>0.890625</v>
      </c>
      <c r="G2" s="21">
        <v>0.89093750000000005</v>
      </c>
      <c r="H2" s="21">
        <v>0.89078125000000008</v>
      </c>
      <c r="I2" s="21">
        <v>0.89085937500000001</v>
      </c>
      <c r="J2" s="21">
        <v>0.89082031250000004</v>
      </c>
      <c r="K2" s="21">
        <v>0.89083984375000003</v>
      </c>
    </row>
    <row r="3" spans="1:11" x14ac:dyDescent="0.25">
      <c r="A3" s="17" t="s">
        <v>46</v>
      </c>
      <c r="B3" s="21">
        <v>0.69950000000000001</v>
      </c>
      <c r="C3" s="21">
        <v>0.81899999999999995</v>
      </c>
      <c r="D3" s="21">
        <v>0.87</v>
      </c>
      <c r="E3" s="21">
        <v>0.94450000000000001</v>
      </c>
      <c r="F3" s="21">
        <v>0.90725</v>
      </c>
      <c r="G3" s="21">
        <v>0.925875</v>
      </c>
      <c r="H3" s="21">
        <v>0.91656249999999995</v>
      </c>
      <c r="I3" s="21">
        <v>0.92121874999999998</v>
      </c>
      <c r="J3" s="21">
        <v>0.91889062499999996</v>
      </c>
      <c r="K3" s="21">
        <v>0.92005468749999997</v>
      </c>
    </row>
  </sheetData>
  <phoneticPr fontId="4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EC7E-592A-4908-BDE5-5563EB1EFF70}">
  <dimension ref="A1:K3"/>
  <sheetViews>
    <sheetView workbookViewId="0">
      <selection activeCell="E9" sqref="E9"/>
    </sheetView>
  </sheetViews>
  <sheetFormatPr defaultRowHeight="15" x14ac:dyDescent="0.25"/>
  <cols>
    <col min="1" max="1" width="39.5703125" bestFit="1" customWidth="1"/>
    <col min="4" max="5" width="12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45</v>
      </c>
      <c r="B2" s="12">
        <v>1.944</v>
      </c>
      <c r="C2" s="12">
        <v>2.1363333333333334</v>
      </c>
      <c r="D2" s="12">
        <v>2.3483333333333332</v>
      </c>
      <c r="E2" s="12">
        <v>2.2423333333333333</v>
      </c>
      <c r="F2" s="12">
        <v>2.2953333333333332</v>
      </c>
      <c r="G2" s="12">
        <v>2.2688333333333333</v>
      </c>
      <c r="H2" s="12">
        <v>2.2820833333333335</v>
      </c>
      <c r="I2" s="12">
        <v>2.2754583333333334</v>
      </c>
      <c r="J2" s="12">
        <v>2.2787708333333336</v>
      </c>
      <c r="K2" s="12">
        <v>2.2771145833333337</v>
      </c>
    </row>
    <row r="3" spans="1:11" x14ac:dyDescent="0.25">
      <c r="A3" t="s">
        <v>47</v>
      </c>
      <c r="B3" s="12">
        <v>4.47</v>
      </c>
      <c r="C3" s="12">
        <v>4.47</v>
      </c>
      <c r="D3" s="12">
        <v>4.47</v>
      </c>
      <c r="E3" s="12">
        <v>4.47</v>
      </c>
      <c r="F3" s="12">
        <v>4.47</v>
      </c>
      <c r="G3" s="12">
        <v>4.47</v>
      </c>
      <c r="H3" s="12">
        <v>4.47</v>
      </c>
      <c r="I3" s="12">
        <v>4.47</v>
      </c>
      <c r="J3" s="12">
        <v>4.47</v>
      </c>
      <c r="K3" s="12">
        <v>4.47</v>
      </c>
    </row>
  </sheetData>
  <phoneticPr fontId="4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66274-B8C3-4AC3-BFA3-8023303E1084}">
  <dimension ref="A1:K4"/>
  <sheetViews>
    <sheetView workbookViewId="0">
      <selection activeCell="A2" sqref="A2"/>
    </sheetView>
  </sheetViews>
  <sheetFormatPr defaultRowHeight="15" x14ac:dyDescent="0.25"/>
  <cols>
    <col min="1" max="1" width="38.85546875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s="26" t="s">
        <v>60</v>
      </c>
      <c r="B2" s="12">
        <v>2.9</v>
      </c>
      <c r="C2" s="12">
        <v>2.9</v>
      </c>
      <c r="D2" s="12">
        <v>2.9</v>
      </c>
      <c r="E2" s="12">
        <v>2.9</v>
      </c>
      <c r="F2" s="12">
        <v>2.9</v>
      </c>
      <c r="G2" s="12">
        <v>2.9</v>
      </c>
      <c r="H2" s="12">
        <v>2.9</v>
      </c>
      <c r="I2" s="12">
        <v>2.9</v>
      </c>
      <c r="J2" s="12">
        <v>2.9</v>
      </c>
      <c r="K2" s="12">
        <v>2.9</v>
      </c>
    </row>
    <row r="3" spans="1:11" x14ac:dyDescent="0.25">
      <c r="A3" t="s">
        <v>47</v>
      </c>
      <c r="B3" s="12">
        <v>4.5999999999999996</v>
      </c>
      <c r="C3" s="12">
        <v>5.18</v>
      </c>
      <c r="D3" s="12">
        <v>5.18</v>
      </c>
      <c r="E3" s="12">
        <v>5.18</v>
      </c>
      <c r="F3" s="12">
        <v>5.18</v>
      </c>
      <c r="G3" s="12">
        <v>5.18</v>
      </c>
      <c r="H3" s="12">
        <v>5.18</v>
      </c>
      <c r="I3" s="12">
        <v>5.18</v>
      </c>
      <c r="J3" s="12">
        <v>5.18</v>
      </c>
      <c r="K3" s="12">
        <v>5.18</v>
      </c>
    </row>
    <row r="4" spans="1:11" x14ac:dyDescent="0.25">
      <c r="A4" t="s">
        <v>48</v>
      </c>
      <c r="B4" s="12">
        <v>4.5</v>
      </c>
      <c r="C4" s="12">
        <v>4.5</v>
      </c>
      <c r="D4" s="12">
        <v>4.5</v>
      </c>
      <c r="E4" s="12">
        <v>4.5</v>
      </c>
      <c r="F4" s="12">
        <v>4.5</v>
      </c>
      <c r="G4" s="12">
        <v>4.5</v>
      </c>
      <c r="H4" s="12">
        <v>4.5</v>
      </c>
      <c r="I4" s="12">
        <v>4.5</v>
      </c>
      <c r="J4" s="12">
        <v>4.5</v>
      </c>
      <c r="K4" s="12">
        <v>4.5</v>
      </c>
    </row>
  </sheetData>
  <phoneticPr fontId="4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03C5-2270-4CC2-B604-B912EF01D3FF}">
  <dimension ref="A1:K28"/>
  <sheetViews>
    <sheetView workbookViewId="0">
      <selection activeCell="A2" sqref="A2:A9"/>
    </sheetView>
  </sheetViews>
  <sheetFormatPr defaultRowHeight="15" x14ac:dyDescent="0.25"/>
  <cols>
    <col min="1" max="1" width="38" bestFit="1" customWidth="1"/>
  </cols>
  <sheetData>
    <row r="1" spans="1:11" x14ac:dyDescent="0.25">
      <c r="B1" s="10">
        <v>1</v>
      </c>
      <c r="C1" s="10">
        <v>2</v>
      </c>
      <c r="D1" s="10">
        <v>3</v>
      </c>
      <c r="E1" s="10">
        <v>4</v>
      </c>
      <c r="F1" s="10">
        <v>5</v>
      </c>
      <c r="G1" s="10">
        <v>6</v>
      </c>
      <c r="H1" s="10">
        <v>7</v>
      </c>
      <c r="I1" s="10">
        <v>8</v>
      </c>
      <c r="J1" s="10">
        <v>9</v>
      </c>
      <c r="K1" s="10">
        <v>10</v>
      </c>
    </row>
    <row r="2" spans="1:11" x14ac:dyDescent="0.25">
      <c r="A2" t="s">
        <v>49</v>
      </c>
      <c r="B2" s="11">
        <v>0.15925</v>
      </c>
      <c r="C2" s="11">
        <v>0.15925</v>
      </c>
      <c r="D2" s="11">
        <v>0.15925</v>
      </c>
      <c r="E2" s="11">
        <v>0.15925</v>
      </c>
      <c r="F2" s="11">
        <v>0.15925</v>
      </c>
      <c r="G2" s="11">
        <v>0.15925</v>
      </c>
      <c r="H2" s="11">
        <v>0.15925</v>
      </c>
      <c r="I2" s="11">
        <v>0.15925</v>
      </c>
      <c r="J2" s="11">
        <v>0.15925</v>
      </c>
      <c r="K2" s="11">
        <v>0.15925</v>
      </c>
    </row>
    <row r="3" spans="1:11" x14ac:dyDescent="0.25">
      <c r="A3" t="s">
        <v>44</v>
      </c>
      <c r="B3" s="11">
        <v>0.13124999999999998</v>
      </c>
      <c r="C3" s="11">
        <v>0.13124999999999998</v>
      </c>
      <c r="D3" s="11">
        <v>0.13124999999999998</v>
      </c>
      <c r="E3" s="11">
        <v>0.13124999999999998</v>
      </c>
      <c r="F3" s="11">
        <v>0.13124999999999998</v>
      </c>
      <c r="G3" s="11">
        <v>0.13124999999999998</v>
      </c>
      <c r="H3" s="11">
        <v>0.13124999999999998</v>
      </c>
      <c r="I3" s="11">
        <v>0.13124999999999998</v>
      </c>
      <c r="J3" s="11">
        <v>0.13124999999999998</v>
      </c>
      <c r="K3" s="11">
        <v>0.13124999999999998</v>
      </c>
    </row>
    <row r="4" spans="1:11" x14ac:dyDescent="0.25">
      <c r="A4" t="s">
        <v>47</v>
      </c>
      <c r="B4" s="11">
        <v>0.1575</v>
      </c>
      <c r="C4" s="11">
        <v>0.1575</v>
      </c>
      <c r="D4" s="11">
        <v>0.1575</v>
      </c>
      <c r="E4" s="11">
        <v>0.1575</v>
      </c>
      <c r="F4" s="11">
        <v>0.1575</v>
      </c>
      <c r="G4" s="11">
        <v>0.1575</v>
      </c>
      <c r="H4" s="11">
        <v>0.1575</v>
      </c>
      <c r="I4" s="11">
        <v>0.1575</v>
      </c>
      <c r="J4" s="11">
        <v>0.1575</v>
      </c>
      <c r="K4" s="11">
        <v>0.1575</v>
      </c>
    </row>
    <row r="5" spans="1:11" x14ac:dyDescent="0.25">
      <c r="A5" s="26" t="s">
        <v>60</v>
      </c>
      <c r="B5" s="11">
        <v>8.8900000000000007E-2</v>
      </c>
      <c r="C5" s="11">
        <v>0.12</v>
      </c>
      <c r="D5" s="11">
        <v>0.12</v>
      </c>
      <c r="E5" s="11">
        <v>0.12</v>
      </c>
      <c r="F5" s="11">
        <v>0.12</v>
      </c>
      <c r="G5" s="11">
        <v>0.12</v>
      </c>
      <c r="H5" s="11">
        <v>0.12</v>
      </c>
      <c r="I5" s="11">
        <v>0.12</v>
      </c>
      <c r="J5" s="11">
        <v>0.12</v>
      </c>
      <c r="K5" s="11">
        <v>0.12</v>
      </c>
    </row>
    <row r="6" spans="1:11" x14ac:dyDescent="0.25">
      <c r="A6" t="s">
        <v>50</v>
      </c>
      <c r="B6" s="11">
        <v>0.11</v>
      </c>
      <c r="C6" s="11">
        <v>0.11</v>
      </c>
      <c r="D6" s="11">
        <v>0.11</v>
      </c>
      <c r="E6" s="11">
        <v>0.11</v>
      </c>
      <c r="F6" s="11">
        <v>0.11</v>
      </c>
      <c r="G6" s="11">
        <v>0.11</v>
      </c>
      <c r="H6" s="11">
        <v>0.11</v>
      </c>
      <c r="I6" s="11">
        <v>0.11</v>
      </c>
      <c r="J6" s="11">
        <v>0.11</v>
      </c>
      <c r="K6" s="11">
        <v>0.11</v>
      </c>
    </row>
    <row r="7" spans="1:11" x14ac:dyDescent="0.25">
      <c r="A7" t="s">
        <v>61</v>
      </c>
      <c r="B7" s="11">
        <v>0.16500000000000001</v>
      </c>
      <c r="C7" s="11">
        <v>0.16500000000000001</v>
      </c>
      <c r="D7" s="11">
        <v>0.16500000000000001</v>
      </c>
      <c r="E7" s="11">
        <v>0.16500000000000001</v>
      </c>
      <c r="F7" s="11">
        <v>0.16500000000000001</v>
      </c>
      <c r="G7" s="11">
        <v>0.16500000000000001</v>
      </c>
      <c r="H7" s="11">
        <v>0.16500000000000001</v>
      </c>
      <c r="I7" s="11">
        <v>0.16500000000000001</v>
      </c>
      <c r="J7" s="11">
        <v>0.16500000000000001</v>
      </c>
      <c r="K7" s="11">
        <v>0.16500000000000001</v>
      </c>
    </row>
    <row r="8" spans="1:11" x14ac:dyDescent="0.25">
      <c r="A8" t="s">
        <v>45</v>
      </c>
      <c r="B8" s="11">
        <v>0.13</v>
      </c>
      <c r="C8" s="11">
        <v>0.13</v>
      </c>
      <c r="D8" s="11">
        <v>0.13</v>
      </c>
      <c r="E8" s="11">
        <v>0.13</v>
      </c>
      <c r="F8" s="11">
        <v>0.13</v>
      </c>
      <c r="G8" s="11">
        <v>0.13</v>
      </c>
      <c r="H8" s="11">
        <v>0.13</v>
      </c>
      <c r="I8" s="11">
        <v>0.13</v>
      </c>
      <c r="J8" s="11">
        <v>0.13</v>
      </c>
      <c r="K8" s="11">
        <v>0.13</v>
      </c>
    </row>
    <row r="9" spans="1:11" x14ac:dyDescent="0.25">
      <c r="A9" t="s">
        <v>52</v>
      </c>
      <c r="B9" s="11">
        <v>0.1225</v>
      </c>
      <c r="C9" s="11">
        <v>0.1225</v>
      </c>
      <c r="D9" s="11">
        <v>0.1225</v>
      </c>
      <c r="E9" s="11">
        <v>0.1225</v>
      </c>
      <c r="F9" s="11">
        <v>0.1225</v>
      </c>
      <c r="G9" s="11">
        <v>0.1225</v>
      </c>
      <c r="H9" s="11">
        <v>0.1225</v>
      </c>
      <c r="I9" s="11">
        <v>0.1225</v>
      </c>
      <c r="J9" s="11">
        <v>0.1225</v>
      </c>
      <c r="K9" s="11">
        <v>0.1225</v>
      </c>
    </row>
    <row r="28" spans="2:3" x14ac:dyDescent="0.25">
      <c r="B28" t="s">
        <v>32</v>
      </c>
      <c r="C28" t="s">
        <v>32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31FB-1CF3-4BDE-8B30-004FFD6B9784}">
  <dimension ref="A1:K18"/>
  <sheetViews>
    <sheetView workbookViewId="0">
      <selection activeCell="A4" sqref="A4"/>
    </sheetView>
  </sheetViews>
  <sheetFormatPr defaultRowHeight="15" x14ac:dyDescent="0.25"/>
  <cols>
    <col min="1" max="1" width="16.85546875" bestFit="1" customWidth="1"/>
    <col min="6" max="6" width="12" bestFit="1" customWidth="1"/>
  </cols>
  <sheetData>
    <row r="1" spans="1:11" x14ac:dyDescent="0.25">
      <c r="B1" s="10">
        <v>1</v>
      </c>
      <c r="C1" s="10">
        <v>2</v>
      </c>
      <c r="D1" s="10">
        <v>3</v>
      </c>
      <c r="E1" s="10">
        <v>4</v>
      </c>
      <c r="F1" s="10">
        <v>5</v>
      </c>
      <c r="G1" s="10">
        <v>6</v>
      </c>
      <c r="H1" s="10">
        <v>7</v>
      </c>
      <c r="I1" s="10">
        <v>8</v>
      </c>
      <c r="J1" s="10">
        <v>9</v>
      </c>
      <c r="K1" s="10">
        <v>10</v>
      </c>
    </row>
    <row r="2" spans="1:11" x14ac:dyDescent="0.25">
      <c r="A2" t="s">
        <v>53</v>
      </c>
      <c r="B2" s="12">
        <v>2.95</v>
      </c>
      <c r="C2" s="12">
        <v>2.65</v>
      </c>
      <c r="D2" s="12">
        <v>2.25</v>
      </c>
      <c r="E2" s="12">
        <v>1.9058333333333335</v>
      </c>
      <c r="F2" s="12">
        <v>1.9058333333333335</v>
      </c>
      <c r="G2" s="12">
        <v>1.9058333333333335</v>
      </c>
      <c r="H2" s="12">
        <v>1.9058333333333335</v>
      </c>
      <c r="I2" s="12">
        <v>1.9058333333333335</v>
      </c>
      <c r="J2" s="12">
        <v>1.9058333333333335</v>
      </c>
      <c r="K2" s="12">
        <v>1.9058333333333335</v>
      </c>
    </row>
    <row r="3" spans="1:11" x14ac:dyDescent="0.25">
      <c r="A3" t="s">
        <v>54</v>
      </c>
      <c r="B3" s="12">
        <v>2.4500000000000002</v>
      </c>
      <c r="C3" s="14">
        <v>1.9</v>
      </c>
      <c r="D3" s="12">
        <v>1.85</v>
      </c>
      <c r="E3" s="12">
        <v>1.85</v>
      </c>
      <c r="F3" s="12">
        <v>1.85</v>
      </c>
      <c r="G3" s="12">
        <v>1.85</v>
      </c>
      <c r="H3" s="12">
        <v>1.85</v>
      </c>
      <c r="I3" s="12">
        <v>1.85</v>
      </c>
      <c r="J3" s="12">
        <v>1.85</v>
      </c>
      <c r="K3" s="12">
        <v>1.85</v>
      </c>
    </row>
    <row r="4" spans="1:11" x14ac:dyDescent="0.25">
      <c r="A4" t="s">
        <v>55</v>
      </c>
      <c r="B4" s="12">
        <v>1.75</v>
      </c>
      <c r="C4" s="12">
        <v>1.5</v>
      </c>
      <c r="D4" s="12">
        <v>1.25</v>
      </c>
      <c r="E4" s="12">
        <v>1.25</v>
      </c>
      <c r="F4" s="12">
        <v>1.25</v>
      </c>
      <c r="G4" s="12">
        <v>1.25</v>
      </c>
      <c r="H4" s="12">
        <v>1.25</v>
      </c>
      <c r="I4" s="12">
        <v>1.25</v>
      </c>
      <c r="J4" s="12">
        <v>1.25</v>
      </c>
      <c r="K4" s="12">
        <v>1.25</v>
      </c>
    </row>
    <row r="5" spans="1:11" x14ac:dyDescent="0.25">
      <c r="A5" t="s">
        <v>61</v>
      </c>
      <c r="B5" s="12">
        <v>1.9005000000000001</v>
      </c>
      <c r="C5" s="12">
        <v>1.9005000000000001</v>
      </c>
      <c r="D5" s="12">
        <v>1.9005000000000001</v>
      </c>
      <c r="E5" s="12">
        <v>2.6774999999999998</v>
      </c>
      <c r="F5" s="12">
        <v>2.6774999999999998</v>
      </c>
      <c r="G5" s="12">
        <v>2.6774999999999998</v>
      </c>
      <c r="H5" s="12">
        <v>2.6774999999999998</v>
      </c>
      <c r="I5" s="12">
        <v>2.6774999999999998</v>
      </c>
      <c r="J5" s="12">
        <v>2.6774999999999998</v>
      </c>
      <c r="K5" s="12">
        <v>2.6774999999999998</v>
      </c>
    </row>
    <row r="18" spans="1:1" x14ac:dyDescent="0.25">
      <c r="A18" s="13"/>
    </row>
  </sheetData>
  <phoneticPr fontId="4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C4FC-D4EA-4F0B-B36C-9B278C626071}">
  <dimension ref="A1:K35"/>
  <sheetViews>
    <sheetView workbookViewId="0">
      <selection activeCell="B22" sqref="B22"/>
    </sheetView>
  </sheetViews>
  <sheetFormatPr defaultRowHeight="15" x14ac:dyDescent="0.25"/>
  <cols>
    <col min="1" max="1" width="25.710937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55</v>
      </c>
      <c r="B2">
        <v>0.42499999999999999</v>
      </c>
      <c r="C2">
        <v>0.42499999999999999</v>
      </c>
      <c r="D2">
        <v>0.42499999999999999</v>
      </c>
      <c r="E2">
        <v>0.42499999999999999</v>
      </c>
      <c r="F2">
        <v>0.42499999999999999</v>
      </c>
      <c r="G2">
        <v>0.42499999999999999</v>
      </c>
      <c r="H2">
        <v>0.42499999999999999</v>
      </c>
      <c r="I2">
        <v>0.42499999999999999</v>
      </c>
      <c r="J2">
        <v>0.42499999999999999</v>
      </c>
      <c r="K2">
        <v>0.42499999999999999</v>
      </c>
    </row>
    <row r="3" spans="1:11" x14ac:dyDescent="0.25">
      <c r="A3" t="s">
        <v>45</v>
      </c>
      <c r="B3">
        <v>0.4325</v>
      </c>
      <c r="C3">
        <v>0.4325</v>
      </c>
      <c r="D3">
        <v>0.4325</v>
      </c>
      <c r="E3">
        <v>0.4325</v>
      </c>
      <c r="F3">
        <v>0.4325</v>
      </c>
      <c r="G3">
        <v>0.4325</v>
      </c>
      <c r="H3">
        <v>0.4325</v>
      </c>
      <c r="I3">
        <v>0.4325</v>
      </c>
      <c r="J3">
        <v>0.4325</v>
      </c>
      <c r="K3">
        <v>0.4325</v>
      </c>
    </row>
    <row r="4" spans="1:11" x14ac:dyDescent="0.25">
      <c r="B4" s="12"/>
      <c r="C4" s="12"/>
    </row>
    <row r="5" spans="1:11" x14ac:dyDescent="0.25">
      <c r="B5" s="12"/>
      <c r="C5" s="12"/>
    </row>
    <row r="6" spans="1:11" x14ac:dyDescent="0.25">
      <c r="B6" s="12"/>
      <c r="C6" s="12"/>
    </row>
    <row r="7" spans="1:11" x14ac:dyDescent="0.25">
      <c r="B7" s="12"/>
      <c r="C7" s="12"/>
    </row>
    <row r="10" spans="1:11" x14ac:dyDescent="0.25">
      <c r="B10" s="12"/>
      <c r="C10" s="12"/>
    </row>
    <row r="30" spans="2:3" x14ac:dyDescent="0.25">
      <c r="B30" s="12"/>
      <c r="C30" s="12"/>
    </row>
    <row r="31" spans="2:3" x14ac:dyDescent="0.25">
      <c r="B31" s="12"/>
      <c r="C31" s="12"/>
    </row>
    <row r="32" spans="2:3" x14ac:dyDescent="0.25">
      <c r="B32" s="12"/>
      <c r="C32" s="12"/>
    </row>
    <row r="33" spans="2:3" x14ac:dyDescent="0.25">
      <c r="B33" s="12"/>
      <c r="C33" s="12"/>
    </row>
    <row r="34" spans="2:3" x14ac:dyDescent="0.25">
      <c r="B34" s="12"/>
      <c r="C34" s="12"/>
    </row>
    <row r="35" spans="2:3" x14ac:dyDescent="0.25">
      <c r="B35" s="12"/>
      <c r="C35" s="12"/>
    </row>
  </sheetData>
  <phoneticPr fontId="4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07AC1-BD47-443E-8605-19AA613613FB}">
  <dimension ref="A1:K2"/>
  <sheetViews>
    <sheetView workbookViewId="0">
      <selection activeCell="A2" sqref="A2"/>
    </sheetView>
  </sheetViews>
  <sheetFormatPr defaultRowHeight="15" x14ac:dyDescent="0.25"/>
  <cols>
    <col min="1" max="1" width="13.2851562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51</v>
      </c>
      <c r="B2" s="18">
        <v>4.9000000000000004</v>
      </c>
      <c r="C2" s="18">
        <v>4.5</v>
      </c>
      <c r="D2" s="12">
        <v>4.7</v>
      </c>
      <c r="E2" s="12">
        <v>4.5999999999999996</v>
      </c>
      <c r="F2" s="12">
        <v>4.6500000000000004</v>
      </c>
      <c r="G2" s="12">
        <v>4.625</v>
      </c>
      <c r="H2" s="12">
        <v>4.6375000000000002</v>
      </c>
      <c r="I2" s="12">
        <v>4.6312499999999996</v>
      </c>
      <c r="J2" s="12">
        <v>4.6343750000000004</v>
      </c>
      <c r="K2" s="12">
        <v>4.6328125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3934-1170-4C34-AA93-A298D972AC7D}">
  <dimension ref="A1:K34"/>
  <sheetViews>
    <sheetView workbookViewId="0">
      <selection activeCell="A2" sqref="A2"/>
    </sheetView>
  </sheetViews>
  <sheetFormatPr defaultRowHeight="15" x14ac:dyDescent="0.25"/>
  <cols>
    <col min="1" max="1" width="18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45</v>
      </c>
      <c r="B2">
        <v>1.0625</v>
      </c>
      <c r="C2">
        <v>1.0625</v>
      </c>
      <c r="D2" s="12">
        <v>1.0625</v>
      </c>
      <c r="E2" s="12">
        <v>1.0625</v>
      </c>
      <c r="F2" s="12">
        <v>1.0625</v>
      </c>
      <c r="G2" s="12">
        <v>1.0625</v>
      </c>
      <c r="H2" s="12">
        <v>1.0625</v>
      </c>
      <c r="I2" s="12">
        <v>1.0625</v>
      </c>
      <c r="J2" s="12">
        <v>1.0625</v>
      </c>
      <c r="K2" s="12">
        <v>1.0625</v>
      </c>
    </row>
    <row r="3" spans="1:11" x14ac:dyDescent="0.25">
      <c r="A3" t="s">
        <v>46</v>
      </c>
      <c r="B3">
        <v>0.98099999999999998</v>
      </c>
      <c r="C3">
        <v>0.98099999999999998</v>
      </c>
      <c r="D3">
        <v>1.0575000000000001</v>
      </c>
      <c r="E3">
        <v>1.0575000000000001</v>
      </c>
      <c r="F3" s="12">
        <v>1.0575000000000001</v>
      </c>
      <c r="G3" s="12">
        <v>1.0575000000000001</v>
      </c>
      <c r="H3" s="12">
        <v>1.0575000000000001</v>
      </c>
      <c r="I3" s="12">
        <v>1.0575000000000001</v>
      </c>
      <c r="J3" s="12">
        <v>1.0575000000000001</v>
      </c>
      <c r="K3" s="12">
        <v>1.0575000000000001</v>
      </c>
    </row>
    <row r="4" spans="1:11" x14ac:dyDescent="0.25">
      <c r="A4" t="s">
        <v>52</v>
      </c>
      <c r="B4">
        <v>1.05</v>
      </c>
      <c r="C4">
        <v>1.05</v>
      </c>
      <c r="D4">
        <v>1.05</v>
      </c>
      <c r="E4">
        <v>1.05</v>
      </c>
      <c r="F4" s="12">
        <v>1.05</v>
      </c>
      <c r="G4" s="12">
        <v>1.05</v>
      </c>
      <c r="H4" s="12">
        <v>1.05</v>
      </c>
      <c r="I4" s="12">
        <v>1.05</v>
      </c>
      <c r="J4" s="12">
        <v>1.05</v>
      </c>
      <c r="K4" s="12">
        <v>1.05</v>
      </c>
    </row>
    <row r="5" spans="1:11" x14ac:dyDescent="0.25">
      <c r="A5" t="s">
        <v>55</v>
      </c>
      <c r="B5">
        <v>0.78</v>
      </c>
      <c r="C5">
        <v>0.78</v>
      </c>
      <c r="D5">
        <v>0.78</v>
      </c>
      <c r="E5">
        <v>0.78</v>
      </c>
      <c r="F5" s="12">
        <v>0.83500000000000008</v>
      </c>
      <c r="G5" s="12">
        <v>0.80750000000000011</v>
      </c>
      <c r="H5" s="12">
        <v>0.82125000000000004</v>
      </c>
      <c r="I5" s="12">
        <v>0.81437500000000007</v>
      </c>
      <c r="J5" s="12">
        <v>0.81781250000000005</v>
      </c>
      <c r="K5" s="12">
        <v>0.81609375000000006</v>
      </c>
    </row>
    <row r="6" spans="1:11" x14ac:dyDescent="0.25">
      <c r="A6" s="25" t="s">
        <v>44</v>
      </c>
      <c r="B6">
        <v>0.97</v>
      </c>
      <c r="C6">
        <v>0.97</v>
      </c>
      <c r="D6">
        <v>0.99</v>
      </c>
      <c r="E6">
        <v>0.99</v>
      </c>
      <c r="F6">
        <v>1</v>
      </c>
      <c r="G6">
        <v>0.99</v>
      </c>
      <c r="H6">
        <v>1</v>
      </c>
      <c r="I6">
        <v>1</v>
      </c>
      <c r="J6">
        <v>1</v>
      </c>
      <c r="K6">
        <v>1</v>
      </c>
    </row>
    <row r="8" spans="1:11" x14ac:dyDescent="0.25">
      <c r="H8" s="19"/>
    </row>
    <row r="33" spans="1:5" x14ac:dyDescent="0.25">
      <c r="A33" s="15" t="s">
        <v>33</v>
      </c>
      <c r="B33" t="s">
        <v>32</v>
      </c>
      <c r="C33" t="s">
        <v>32</v>
      </c>
      <c r="D33">
        <v>0.85</v>
      </c>
      <c r="E33">
        <v>0.85</v>
      </c>
    </row>
    <row r="34" spans="1:5" x14ac:dyDescent="0.25">
      <c r="A34" s="15" t="s">
        <v>33</v>
      </c>
      <c r="B34" t="s">
        <v>32</v>
      </c>
      <c r="C34" t="s">
        <v>32</v>
      </c>
      <c r="D34">
        <v>1.29</v>
      </c>
      <c r="E34">
        <v>1.29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E74ED-5864-41AB-A7B3-6EA097C27394}">
  <dimension ref="A1:K3"/>
  <sheetViews>
    <sheetView workbookViewId="0">
      <selection activeCell="A2" sqref="A2"/>
    </sheetView>
  </sheetViews>
  <sheetFormatPr defaultRowHeight="15" x14ac:dyDescent="0.25"/>
  <cols>
    <col min="1" max="1" width="36.710937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46</v>
      </c>
      <c r="B2">
        <v>0.189</v>
      </c>
      <c r="C2">
        <v>0.189</v>
      </c>
      <c r="D2">
        <v>0.189</v>
      </c>
      <c r="E2">
        <v>0.189</v>
      </c>
      <c r="F2">
        <v>0.189</v>
      </c>
      <c r="G2">
        <v>0.189</v>
      </c>
      <c r="H2">
        <v>0.189</v>
      </c>
      <c r="I2">
        <v>0.189</v>
      </c>
      <c r="J2">
        <v>0.189</v>
      </c>
      <c r="K2">
        <v>0.189</v>
      </c>
    </row>
    <row r="3" spans="1:11" x14ac:dyDescent="0.25">
      <c r="A3" t="s">
        <v>45</v>
      </c>
      <c r="B3">
        <v>0.16500000000000001</v>
      </c>
      <c r="C3">
        <v>0.16500000000000001</v>
      </c>
      <c r="D3">
        <v>0.16500000000000001</v>
      </c>
      <c r="E3">
        <v>0.16500000000000001</v>
      </c>
      <c r="F3">
        <v>0.16500000000000001</v>
      </c>
      <c r="G3">
        <v>0.16500000000000001</v>
      </c>
      <c r="H3">
        <v>0.16500000000000001</v>
      </c>
      <c r="I3">
        <v>0.16500000000000001</v>
      </c>
      <c r="J3">
        <v>0.16500000000000001</v>
      </c>
      <c r="K3">
        <v>0.16500000000000001</v>
      </c>
    </row>
  </sheetData>
  <phoneticPr fontId="4" type="noConversion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0957F-AE7D-4DB8-BA80-B6C6065F2797}">
  <dimension ref="A1:K5"/>
  <sheetViews>
    <sheetView workbookViewId="0">
      <selection activeCell="A5" sqref="A5"/>
    </sheetView>
  </sheetViews>
  <sheetFormatPr defaultRowHeight="15" x14ac:dyDescent="0.25"/>
  <cols>
    <col min="1" max="1" width="14" bestFit="1" customWidth="1"/>
    <col min="2" max="2" width="13.42578125" bestFit="1" customWidth="1"/>
    <col min="3" max="8" width="12.14062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44</v>
      </c>
      <c r="B2" s="12">
        <v>0.09</v>
      </c>
      <c r="C2" s="12">
        <v>0.09</v>
      </c>
      <c r="D2" s="12">
        <v>0.123</v>
      </c>
      <c r="E2" s="12">
        <v>0.13</v>
      </c>
      <c r="F2" s="12">
        <v>0.13800000000000001</v>
      </c>
      <c r="G2" s="12">
        <v>0.14299999999999999</v>
      </c>
      <c r="H2" s="12">
        <v>0.14799999999999999</v>
      </c>
      <c r="I2" s="12">
        <v>0.14549999999999999</v>
      </c>
      <c r="J2" s="12">
        <v>0.14674999999999999</v>
      </c>
      <c r="K2" s="12">
        <v>0.146125</v>
      </c>
    </row>
    <row r="3" spans="1:11" x14ac:dyDescent="0.25">
      <c r="A3" t="s">
        <v>56</v>
      </c>
      <c r="B3" s="12">
        <v>0.11219999999999999</v>
      </c>
      <c r="C3" s="12">
        <v>0.11219999999999999</v>
      </c>
      <c r="D3" s="12">
        <v>0.14250000000000002</v>
      </c>
      <c r="E3" s="12">
        <v>0.14679999999999999</v>
      </c>
      <c r="F3" s="12">
        <v>0.151175</v>
      </c>
      <c r="G3" s="12">
        <v>0.12570000000000001</v>
      </c>
      <c r="H3" s="12">
        <v>0.12939999999999999</v>
      </c>
      <c r="I3" s="12">
        <v>0.12755</v>
      </c>
      <c r="J3" s="12">
        <v>0.12847500000000001</v>
      </c>
      <c r="K3" s="12">
        <v>0.1280125</v>
      </c>
    </row>
    <row r="4" spans="1:11" x14ac:dyDescent="0.25">
      <c r="A4" t="s">
        <v>45</v>
      </c>
      <c r="B4" s="12">
        <v>0.10250000000000001</v>
      </c>
      <c r="C4" s="12">
        <v>0.1075</v>
      </c>
      <c r="D4" s="12">
        <v>0.10500000000000001</v>
      </c>
      <c r="E4" s="12">
        <v>0.10625000000000001</v>
      </c>
      <c r="F4" s="12">
        <v>0.10562500000000001</v>
      </c>
      <c r="G4" s="12">
        <v>0.10593750000000002</v>
      </c>
      <c r="H4" s="12">
        <v>0.10578125000000002</v>
      </c>
      <c r="I4" s="12">
        <v>0.10585937500000002</v>
      </c>
      <c r="J4" s="12">
        <v>0.10582031250000001</v>
      </c>
      <c r="K4" s="12">
        <v>0.10583984375000002</v>
      </c>
    </row>
    <row r="5" spans="1:11" x14ac:dyDescent="0.25">
      <c r="A5" t="s">
        <v>46</v>
      </c>
      <c r="B5" s="18">
        <v>9.9000000000000005E-2</v>
      </c>
      <c r="C5" s="18">
        <v>9.9000000000000005E-2</v>
      </c>
      <c r="D5" s="18">
        <v>9.9000000000000005E-2</v>
      </c>
      <c r="E5" s="12">
        <v>0.12</v>
      </c>
      <c r="F5" s="12">
        <v>0.12</v>
      </c>
      <c r="G5" s="12">
        <v>0.124</v>
      </c>
      <c r="H5" s="12">
        <v>0.13400000000000001</v>
      </c>
      <c r="I5" s="12">
        <v>0.13700000000000001</v>
      </c>
      <c r="J5" s="12">
        <v>0.13550000000000001</v>
      </c>
      <c r="K5" s="12">
        <v>0.13625000000000001</v>
      </c>
    </row>
  </sheetData>
  <phoneticPr fontId="4" type="noConversion"/>
  <pageMargins left="0.7" right="0.7" top="0.75" bottom="0.75" header="0.3" footer="0.3"/>
  <pageSetup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87AA6-F172-43CC-88DA-5E1025C7C38A}">
  <dimension ref="A1:K3"/>
  <sheetViews>
    <sheetView workbookViewId="0">
      <selection activeCell="D8" sqref="D8"/>
    </sheetView>
  </sheetViews>
  <sheetFormatPr defaultRowHeight="15" x14ac:dyDescent="0.25"/>
  <cols>
    <col min="1" max="1" width="24.140625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44</v>
      </c>
      <c r="B2">
        <v>0.16500000000000001</v>
      </c>
      <c r="C2">
        <v>0.16500000000000001</v>
      </c>
      <c r="D2">
        <v>0.16500000000000001</v>
      </c>
      <c r="E2">
        <v>0.16500000000000001</v>
      </c>
      <c r="F2">
        <v>0.16500000000000001</v>
      </c>
      <c r="G2">
        <v>0.16500000000000001</v>
      </c>
      <c r="H2">
        <v>0.16500000000000001</v>
      </c>
      <c r="I2">
        <v>0.16500000000000001</v>
      </c>
      <c r="J2">
        <v>0.16500000000000001</v>
      </c>
      <c r="K2">
        <v>0.16500000000000001</v>
      </c>
    </row>
    <row r="3" spans="1:11" x14ac:dyDescent="0.25">
      <c r="A3" t="s">
        <v>56</v>
      </c>
      <c r="B3">
        <v>0.17499999999999999</v>
      </c>
      <c r="C3">
        <v>0.17499999999999999</v>
      </c>
      <c r="D3">
        <v>0.17499999999999999</v>
      </c>
      <c r="E3">
        <v>0.17499999999999999</v>
      </c>
      <c r="F3">
        <v>0.17499999999999999</v>
      </c>
      <c r="G3">
        <v>0.17499999999999999</v>
      </c>
      <c r="H3">
        <v>0.17499999999999999</v>
      </c>
      <c r="I3">
        <v>0.17499999999999999</v>
      </c>
      <c r="J3">
        <v>0.17499999999999999</v>
      </c>
      <c r="K3">
        <v>0.17499999999999999</v>
      </c>
    </row>
  </sheetData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72318-D618-4A76-96BA-84A6C8EEA2BE}">
  <dimension ref="A1:K5"/>
  <sheetViews>
    <sheetView workbookViewId="0">
      <selection activeCell="A2" sqref="A2:A5"/>
    </sheetView>
  </sheetViews>
  <sheetFormatPr defaultRowHeight="15" x14ac:dyDescent="0.25"/>
  <cols>
    <col min="1" max="1" width="14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44</v>
      </c>
      <c r="B2" s="12">
        <v>9.5000000000000001E-2</v>
      </c>
      <c r="C2" s="12">
        <v>9.7500000000000003E-2</v>
      </c>
      <c r="D2" s="12">
        <v>9.6250000000000002E-2</v>
      </c>
      <c r="E2" s="12">
        <v>9.6875000000000003E-2</v>
      </c>
      <c r="F2" s="12">
        <v>9.6562499999999996E-2</v>
      </c>
      <c r="G2" s="12">
        <v>9.6718749999999992E-2</v>
      </c>
      <c r="H2" s="12">
        <v>9.6640624999999994E-2</v>
      </c>
      <c r="I2" s="12">
        <v>9.66796875E-2</v>
      </c>
      <c r="J2" s="12">
        <v>9.666015624999999E-2</v>
      </c>
      <c r="K2" s="12">
        <v>9.6669921874999995E-2</v>
      </c>
    </row>
    <row r="3" spans="1:11" x14ac:dyDescent="0.25">
      <c r="A3" t="s">
        <v>45</v>
      </c>
      <c r="B3" s="12">
        <v>0.11800000000000001</v>
      </c>
      <c r="C3" s="12">
        <v>0.11800000000000001</v>
      </c>
      <c r="D3" s="12">
        <v>0.11800000000000001</v>
      </c>
      <c r="E3" s="12">
        <v>0.11800000000000001</v>
      </c>
      <c r="F3" s="12">
        <v>0.11800000000000001</v>
      </c>
      <c r="G3" s="12">
        <v>0.11800000000000001</v>
      </c>
      <c r="H3" s="12">
        <v>0.11800000000000001</v>
      </c>
      <c r="I3" s="12">
        <v>0.11800000000000001</v>
      </c>
      <c r="J3" s="12">
        <v>0.11800000000000001</v>
      </c>
      <c r="K3" s="12">
        <v>0.11800000000000001</v>
      </c>
    </row>
    <row r="4" spans="1:11" x14ac:dyDescent="0.25">
      <c r="A4" t="s">
        <v>56</v>
      </c>
      <c r="B4" s="12">
        <v>6.6000000000000003E-2</v>
      </c>
      <c r="C4" s="12">
        <v>6.6000000000000003E-2</v>
      </c>
      <c r="D4" s="12">
        <v>6.6000000000000003E-2</v>
      </c>
      <c r="E4" s="12">
        <v>6.6000000000000003E-2</v>
      </c>
      <c r="F4" s="12">
        <v>6.6000000000000003E-2</v>
      </c>
      <c r="G4" s="12">
        <v>6.6000000000000003E-2</v>
      </c>
      <c r="H4" s="12">
        <v>6.6000000000000003E-2</v>
      </c>
      <c r="I4" s="12">
        <v>6.6000000000000003E-2</v>
      </c>
      <c r="J4" s="12">
        <v>6.6000000000000003E-2</v>
      </c>
      <c r="K4" s="12">
        <v>6.6000000000000003E-2</v>
      </c>
    </row>
    <row r="5" spans="1:11" x14ac:dyDescent="0.25">
      <c r="A5" t="s">
        <v>46</v>
      </c>
      <c r="B5" s="18">
        <v>2.9000000000000001E-2</v>
      </c>
      <c r="C5">
        <v>2.9000000000000001E-2</v>
      </c>
      <c r="D5">
        <v>2.9499999999999998E-2</v>
      </c>
      <c r="E5">
        <v>6.0000000000000005E-2</v>
      </c>
      <c r="F5">
        <v>6.0000000000000005E-2</v>
      </c>
      <c r="G5">
        <v>6.0000000000000005E-2</v>
      </c>
      <c r="H5">
        <v>6.615E-2</v>
      </c>
      <c r="I5">
        <v>6.615E-2</v>
      </c>
      <c r="J5">
        <v>6.615E-2</v>
      </c>
      <c r="K5">
        <v>0.11249999999999999</v>
      </c>
    </row>
  </sheetData>
  <phoneticPr fontId="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F0D82-011A-4635-9BBB-1E7C9B9E7EDF}">
  <dimension ref="A1:K2"/>
  <sheetViews>
    <sheetView workbookViewId="0">
      <selection activeCell="A2" sqref="A2:XFD2"/>
    </sheetView>
  </sheetViews>
  <sheetFormatPr defaultRowHeight="15" x14ac:dyDescent="0.25"/>
  <cols>
    <col min="1" max="1" width="25.140625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s="25" t="s">
        <v>45</v>
      </c>
      <c r="B2" s="12">
        <v>0.11800000000000001</v>
      </c>
      <c r="C2" s="12">
        <v>0.11800000000000001</v>
      </c>
      <c r="D2" s="12">
        <v>0.11800000000000001</v>
      </c>
      <c r="E2" s="12">
        <v>0.11800000000000001</v>
      </c>
      <c r="F2" s="12">
        <v>0.11800000000000001</v>
      </c>
      <c r="G2" s="12">
        <v>0.11800000000000001</v>
      </c>
      <c r="H2" s="12">
        <v>0.11800000000000001</v>
      </c>
      <c r="I2" s="12">
        <v>0.11800000000000001</v>
      </c>
      <c r="J2" s="12">
        <v>0.11800000000000001</v>
      </c>
      <c r="K2" s="12">
        <v>0.11800000000000001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A5F1-7B46-4788-AB65-6678BBC62C70}">
  <dimension ref="A1:K2"/>
  <sheetViews>
    <sheetView workbookViewId="0">
      <selection activeCell="A2" sqref="A2"/>
    </sheetView>
  </sheetViews>
  <sheetFormatPr defaultRowHeight="15" x14ac:dyDescent="0.25"/>
  <cols>
    <col min="1" max="1" width="14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45</v>
      </c>
      <c r="B2">
        <v>0.19</v>
      </c>
      <c r="C2">
        <v>0.19</v>
      </c>
      <c r="D2">
        <v>0.19</v>
      </c>
      <c r="E2">
        <v>0.19</v>
      </c>
      <c r="F2">
        <v>0.19</v>
      </c>
      <c r="G2">
        <v>0.19</v>
      </c>
      <c r="H2">
        <v>0.19</v>
      </c>
      <c r="I2">
        <v>0.19</v>
      </c>
      <c r="J2">
        <v>0.19</v>
      </c>
      <c r="K2">
        <v>0.19</v>
      </c>
    </row>
  </sheetData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E9488-6090-4DBB-B9B2-DBA4C18004C8}">
  <dimension ref="A1:K4"/>
  <sheetViews>
    <sheetView workbookViewId="0">
      <selection activeCell="D7" sqref="D7"/>
    </sheetView>
  </sheetViews>
  <sheetFormatPr defaultRowHeight="15" x14ac:dyDescent="0.25"/>
  <cols>
    <col min="1" max="1" width="40.710937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49</v>
      </c>
      <c r="B2" s="11">
        <v>0.85</v>
      </c>
      <c r="C2" s="11">
        <v>0.98749999999999993</v>
      </c>
      <c r="D2" s="11">
        <v>0.98749999999999993</v>
      </c>
      <c r="E2" s="11">
        <v>0.98749999999999993</v>
      </c>
      <c r="F2" s="11">
        <v>0.92499999999999993</v>
      </c>
      <c r="G2" s="11">
        <v>0.92499999999999993</v>
      </c>
      <c r="H2" s="11">
        <v>0.92499999999999993</v>
      </c>
      <c r="I2" s="11">
        <v>0.92499999999999993</v>
      </c>
      <c r="J2" s="11">
        <f>AVERAGE(H2:I2)</f>
        <v>0.92499999999999993</v>
      </c>
      <c r="K2" s="11">
        <f t="shared" ref="K2:K4" si="0">AVERAGE(I2:J2)</f>
        <v>0.92499999999999993</v>
      </c>
    </row>
    <row r="3" spans="1:11" x14ac:dyDescent="0.25">
      <c r="A3" s="22" t="s">
        <v>47</v>
      </c>
      <c r="B3" s="23">
        <v>1.9927999999999999</v>
      </c>
      <c r="C3" s="23">
        <v>2.173</v>
      </c>
      <c r="D3" s="23">
        <v>2.173</v>
      </c>
      <c r="E3" s="23">
        <v>2.173</v>
      </c>
      <c r="F3" s="23">
        <v>2.173</v>
      </c>
      <c r="G3" s="23">
        <v>2.173</v>
      </c>
      <c r="H3" s="23">
        <v>2.1732119999999999</v>
      </c>
      <c r="I3" s="23">
        <v>2.1733180000000001</v>
      </c>
      <c r="J3" s="11">
        <f t="shared" ref="J3:J4" si="1">AVERAGE(H3:I3)</f>
        <v>2.1732649999999998</v>
      </c>
      <c r="K3" s="11">
        <f t="shared" si="0"/>
        <v>2.1732914999999999</v>
      </c>
    </row>
    <row r="4" spans="1:11" x14ac:dyDescent="0.25">
      <c r="A4" t="s">
        <v>45</v>
      </c>
      <c r="B4" s="11">
        <v>0.95</v>
      </c>
      <c r="C4" s="11">
        <v>0.9</v>
      </c>
      <c r="D4" s="11">
        <v>0.9</v>
      </c>
      <c r="E4" s="11">
        <v>0.93333333333333324</v>
      </c>
      <c r="F4" s="11">
        <v>0.93333333333333324</v>
      </c>
      <c r="G4" s="11">
        <v>0.96666666666666645</v>
      </c>
      <c r="H4" s="11">
        <v>0.96666666666666645</v>
      </c>
      <c r="I4" s="11">
        <v>1.0033333333333332</v>
      </c>
      <c r="J4" s="11">
        <f t="shared" si="1"/>
        <v>0.98499999999999988</v>
      </c>
      <c r="K4" s="11">
        <f t="shared" si="0"/>
        <v>0.99416666666666653</v>
      </c>
    </row>
  </sheetData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AAADB-E7FF-436D-915B-B65629644931}">
  <dimension ref="A1:K4"/>
  <sheetViews>
    <sheetView workbookViewId="0">
      <selection activeCell="H13" sqref="H13"/>
    </sheetView>
  </sheetViews>
  <sheetFormatPr defaultRowHeight="15" x14ac:dyDescent="0.25"/>
  <cols>
    <col min="1" max="1" width="35.570312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57</v>
      </c>
      <c r="B2" s="11">
        <v>3.0999999999999996</v>
      </c>
      <c r="C2" s="11">
        <v>3.0999999999999996</v>
      </c>
      <c r="D2" s="11">
        <v>3.0249999999999999</v>
      </c>
      <c r="E2" s="11">
        <v>3.0625</v>
      </c>
      <c r="F2" s="11">
        <v>3.0437500000000002</v>
      </c>
      <c r="G2" s="11">
        <v>3.0531250000000001</v>
      </c>
      <c r="H2" s="11">
        <v>3.0484374999999999</v>
      </c>
      <c r="I2" s="11">
        <v>3.05078125</v>
      </c>
      <c r="J2" s="11">
        <v>3.0496093750000002</v>
      </c>
      <c r="K2" s="11">
        <v>3.0501953125000001</v>
      </c>
    </row>
    <row r="3" spans="1:11" x14ac:dyDescent="0.25">
      <c r="A3" s="22" t="s">
        <v>47</v>
      </c>
      <c r="B3" s="11">
        <v>3.05</v>
      </c>
      <c r="C3" s="11">
        <v>3.05</v>
      </c>
      <c r="D3" s="11">
        <v>2.9</v>
      </c>
      <c r="E3" s="11">
        <f>AVERAGE(C3:D3)</f>
        <v>2.9749999999999996</v>
      </c>
      <c r="F3" s="11">
        <f t="shared" ref="F3:K4" si="0">AVERAGE(D3:E3)</f>
        <v>2.9375</v>
      </c>
      <c r="G3" s="11">
        <f t="shared" si="0"/>
        <v>2.9562499999999998</v>
      </c>
      <c r="H3" s="11">
        <f t="shared" si="0"/>
        <v>2.9468749999999999</v>
      </c>
      <c r="I3" s="11">
        <f t="shared" si="0"/>
        <v>2.9515624999999996</v>
      </c>
      <c r="J3" s="11">
        <f t="shared" si="0"/>
        <v>2.94921875</v>
      </c>
      <c r="K3" s="11">
        <f t="shared" si="0"/>
        <v>2.9503906249999998</v>
      </c>
    </row>
    <row r="4" spans="1:11" x14ac:dyDescent="0.25">
      <c r="A4" t="s">
        <v>45</v>
      </c>
      <c r="B4" s="11">
        <v>2.4500000000000002</v>
      </c>
      <c r="C4" s="11">
        <v>2.4500000000000002</v>
      </c>
      <c r="D4" s="11">
        <v>2.2000000000000002</v>
      </c>
      <c r="E4" s="11">
        <f>AVERAGE(C4:D4)</f>
        <v>2.3250000000000002</v>
      </c>
      <c r="F4" s="11">
        <f t="shared" si="0"/>
        <v>2.2625000000000002</v>
      </c>
      <c r="G4" s="11">
        <f t="shared" si="0"/>
        <v>2.2937500000000002</v>
      </c>
      <c r="H4" s="11">
        <f t="shared" si="0"/>
        <v>2.2781250000000002</v>
      </c>
      <c r="I4" s="11">
        <f t="shared" si="0"/>
        <v>2.2859375000000002</v>
      </c>
      <c r="J4" s="11">
        <f t="shared" si="0"/>
        <v>2.2820312500000002</v>
      </c>
      <c r="K4" s="11">
        <f t="shared" si="0"/>
        <v>2.2839843750000002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DB98410970384A9A0497F576989D35" ma:contentTypeVersion="9" ma:contentTypeDescription="Create a new document." ma:contentTypeScope="" ma:versionID="510ef340272b1c6d06523b37afa1120f">
  <xsd:schema xmlns:xsd="http://www.w3.org/2001/XMLSchema" xmlns:xs="http://www.w3.org/2001/XMLSchema" xmlns:p="http://schemas.microsoft.com/office/2006/metadata/properties" xmlns:ns2="92d565b8-ba3a-4233-a05b-a1ab60ca7cf5" xmlns:ns3="fd2476d4-97b1-4075-989e-a063b18cae98" targetNamespace="http://schemas.microsoft.com/office/2006/metadata/properties" ma:root="true" ma:fieldsID="b1aa270078efd6d36fe11c333797bcf8" ns2:_="" ns3:_="">
    <xsd:import namespace="92d565b8-ba3a-4233-a05b-a1ab60ca7cf5"/>
    <xsd:import namespace="fd2476d4-97b1-4075-989e-a063b18cae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d565b8-ba3a-4233-a05b-a1ab60ca7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d03f021-7260-47c4-a966-efcc8f4531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476d4-97b1-4075-989e-a063b18cae9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308ebb6-f4ff-4e35-8a06-6877c74d1843}" ma:internalName="TaxCatchAll" ma:showField="CatchAllData" ma:web="fd2476d4-97b1-4075-989e-a063b18cae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d565b8-ba3a-4233-a05b-a1ab60ca7cf5">
      <Terms xmlns="http://schemas.microsoft.com/office/infopath/2007/PartnerControls"/>
    </lcf76f155ced4ddcb4097134ff3c332f>
    <TaxCatchAll xmlns="fd2476d4-97b1-4075-989e-a063b18cae98" xsi:nil="true"/>
  </documentManagement>
</p:properties>
</file>

<file path=customXml/itemProps1.xml><?xml version="1.0" encoding="utf-8"?>
<ds:datastoreItem xmlns:ds="http://schemas.openxmlformats.org/officeDocument/2006/customXml" ds:itemID="{0B7E47E1-4E75-4E2F-A6CD-2C394D0D5643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4405B7C-74FF-4D0F-847D-CF35F66FD8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d565b8-ba3a-4233-a05b-a1ab60ca7cf5"/>
    <ds:schemaRef ds:uri="fd2476d4-97b1-4075-989e-a063b18cae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65B7633-1EF8-4EF6-810E-4E4B349DC7C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E56C703-5F4E-4800-89E6-83BC004745A2}">
  <ds:schemaRefs>
    <ds:schemaRef ds:uri="http://schemas.microsoft.com/office/2006/metadata/properties"/>
    <ds:schemaRef ds:uri="http://schemas.microsoft.com/office/infopath/2007/PartnerControls"/>
    <ds:schemaRef ds:uri="92d565b8-ba3a-4233-a05b-a1ab60ca7cf5"/>
    <ds:schemaRef ds:uri="fd2476d4-97b1-4075-989e-a063b18cae9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vaccine-producer list</vt:lpstr>
      <vt:lpstr>vaccine-antigen list</vt:lpstr>
      <vt:lpstr>M Pricing</vt:lpstr>
      <vt:lpstr>MR Pricing</vt:lpstr>
      <vt:lpstr>MMR Pricing</vt:lpstr>
      <vt:lpstr>HPV Pricing</vt:lpstr>
      <vt:lpstr>OPV Pricing</vt:lpstr>
      <vt:lpstr>IPV Pricing</vt:lpstr>
      <vt:lpstr>HepB Pricing</vt:lpstr>
      <vt:lpstr>Hexa Pricing</vt:lpstr>
      <vt:lpstr>Penta Pricing</vt:lpstr>
      <vt:lpstr>DTwP Pricing</vt:lpstr>
      <vt:lpstr>Td Pricing</vt:lpstr>
      <vt:lpstr>DT Pricing</vt:lpstr>
      <vt:lpstr>TT Pricing</vt:lpstr>
      <vt:lpstr>Hib Pricing</vt:lpstr>
      <vt:lpstr>DTwP-Hib Pricing</vt:lpstr>
      <vt:lpstr>Rotavirus Pricing</vt:lpstr>
      <vt:lpstr>PCV Pricing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uhorchak</dc:creator>
  <cp:keywords/>
  <dc:description/>
  <cp:lastModifiedBy>nicholas uhorchak</cp:lastModifiedBy>
  <cp:revision/>
  <dcterms:created xsi:type="dcterms:W3CDTF">2023-08-30T20:34:45Z</dcterms:created>
  <dcterms:modified xsi:type="dcterms:W3CDTF">2024-06-28T20:47:33Z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0x01010077DB98410970384A9A0497F576989D35</vt:lpwstr>
  </property>
  <property fmtid="{D5CDD505-2E9C-101B-9397-08002B2CF9AE}" pid="3" name="MediaServiceImageTags">
    <vt:lpwstr/>
  </property>
</Properties>
</file>