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ivotTables/pivotTable1.xml" ContentType="application/vnd.openxmlformats-officedocument.spreadsheetml.pivot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DATA/"/>
    </mc:Choice>
  </mc:AlternateContent>
  <xr:revisionPtr revIDLastSave="75" documentId="13_ncr:1_{5BC75AC5-5DFF-42F9-8F6A-B58AA24898A3}" xr6:coauthVersionLast="47" xr6:coauthVersionMax="47" xr10:uidLastSave="{C2477377-9AD5-4BDA-B66E-AB3748EB6E49}"/>
  <bookViews>
    <workbookView xWindow="-120" yWindow="-120" windowWidth="20730" windowHeight="11040" activeTab="1" xr2:uid="{752E71BE-3FD4-4CCA-ABF0-6C5710D300B4}"/>
  </bookViews>
  <sheets>
    <sheet name="vaccine-producer list" sheetId="8" r:id="rId1"/>
    <sheet name="total_capacity_calcs" sheetId="7" r:id="rId2"/>
    <sheet name="Prod_capacity_agg" sheetId="9" r:id="rId3"/>
    <sheet name="Producers_short_name" sheetId="5" r:id="rId4"/>
    <sheet name="Medium_Capacity" sheetId="6" r:id="rId5"/>
  </sheets>
  <definedNames>
    <definedName name="_xlnm._FilterDatabase" localSheetId="4" hidden="1">Medium_Capacity!$A$1:$K$18</definedName>
    <definedName name="_xlnm._FilterDatabase" localSheetId="2" hidden="1">Prod_capacity_agg!$A$1:$K$1</definedName>
    <definedName name="_xlnm._FilterDatabase" localSheetId="1" hidden="1">total_capacity_calcs!$A$229:$L$296</definedName>
    <definedName name="_xlnm._FilterDatabase" localSheetId="0" hidden="1">'vaccine-producer list'!$A$1:$R$54</definedName>
    <definedName name="GAVI_countries" localSheetId="1">#REF!</definedName>
    <definedName name="GAVI_countries" localSheetId="0">#REF!</definedName>
    <definedName name="GAVI_countries">#REF!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7" i="7" l="1"/>
  <c r="C230" i="7" s="1"/>
  <c r="N62" i="9"/>
  <c r="N47" i="9"/>
  <c r="O47" i="9"/>
  <c r="P47" i="9"/>
  <c r="Q47" i="9"/>
  <c r="R47" i="9"/>
  <c r="S47" i="9"/>
  <c r="T47" i="9"/>
  <c r="U47" i="9"/>
  <c r="V47" i="9"/>
  <c r="W47" i="9"/>
  <c r="N48" i="9"/>
  <c r="O48" i="9"/>
  <c r="P48" i="9"/>
  <c r="Q48" i="9"/>
  <c r="R48" i="9"/>
  <c r="S48" i="9"/>
  <c r="T48" i="9"/>
  <c r="U48" i="9"/>
  <c r="V48" i="9"/>
  <c r="W48" i="9"/>
  <c r="N49" i="9"/>
  <c r="O49" i="9"/>
  <c r="P49" i="9"/>
  <c r="Q49" i="9"/>
  <c r="R49" i="9"/>
  <c r="S49" i="9"/>
  <c r="T49" i="9"/>
  <c r="U49" i="9"/>
  <c r="V49" i="9"/>
  <c r="W49" i="9"/>
  <c r="N50" i="9"/>
  <c r="O50" i="9"/>
  <c r="P50" i="9"/>
  <c r="Q50" i="9"/>
  <c r="R50" i="9"/>
  <c r="S50" i="9"/>
  <c r="T50" i="9"/>
  <c r="U50" i="9"/>
  <c r="V50" i="9"/>
  <c r="W50" i="9"/>
  <c r="N51" i="9"/>
  <c r="O51" i="9"/>
  <c r="P51" i="9"/>
  <c r="Q51" i="9"/>
  <c r="R51" i="9"/>
  <c r="S51" i="9"/>
  <c r="T51" i="9"/>
  <c r="U51" i="9"/>
  <c r="V51" i="9"/>
  <c r="W51" i="9"/>
  <c r="N52" i="9"/>
  <c r="O52" i="9"/>
  <c r="P52" i="9"/>
  <c r="Q52" i="9"/>
  <c r="R52" i="9"/>
  <c r="S52" i="9"/>
  <c r="T52" i="9"/>
  <c r="U52" i="9"/>
  <c r="V52" i="9"/>
  <c r="W52" i="9"/>
  <c r="N53" i="9"/>
  <c r="O53" i="9"/>
  <c r="P53" i="9"/>
  <c r="Q53" i="9"/>
  <c r="R53" i="9"/>
  <c r="S53" i="9"/>
  <c r="T53" i="9"/>
  <c r="U53" i="9"/>
  <c r="V53" i="9"/>
  <c r="W53" i="9"/>
  <c r="N54" i="9"/>
  <c r="O54" i="9"/>
  <c r="P54" i="9"/>
  <c r="Q54" i="9"/>
  <c r="R54" i="9"/>
  <c r="S54" i="9"/>
  <c r="T54" i="9"/>
  <c r="U54" i="9"/>
  <c r="V54" i="9"/>
  <c r="W54" i="9"/>
  <c r="N55" i="9"/>
  <c r="O55" i="9"/>
  <c r="P55" i="9"/>
  <c r="Q55" i="9"/>
  <c r="R55" i="9"/>
  <c r="S55" i="9"/>
  <c r="T55" i="9"/>
  <c r="U55" i="9"/>
  <c r="V55" i="9"/>
  <c r="W55" i="9"/>
  <c r="N56" i="9"/>
  <c r="O56" i="9"/>
  <c r="P56" i="9"/>
  <c r="Q56" i="9"/>
  <c r="R56" i="9"/>
  <c r="S56" i="9"/>
  <c r="T56" i="9"/>
  <c r="U56" i="9"/>
  <c r="V56" i="9"/>
  <c r="W56" i="9"/>
  <c r="N57" i="9"/>
  <c r="O57" i="9"/>
  <c r="P57" i="9"/>
  <c r="Q57" i="9"/>
  <c r="R57" i="9"/>
  <c r="S57" i="9"/>
  <c r="T57" i="9"/>
  <c r="U57" i="9"/>
  <c r="V57" i="9"/>
  <c r="W57" i="9"/>
  <c r="N58" i="9"/>
  <c r="O58" i="9"/>
  <c r="P58" i="9"/>
  <c r="Q58" i="9"/>
  <c r="R58" i="9"/>
  <c r="S58" i="9"/>
  <c r="T58" i="9"/>
  <c r="U58" i="9"/>
  <c r="V58" i="9"/>
  <c r="W58" i="9"/>
  <c r="N59" i="9"/>
  <c r="O59" i="9"/>
  <c r="P59" i="9"/>
  <c r="Q59" i="9"/>
  <c r="R59" i="9"/>
  <c r="S59" i="9"/>
  <c r="T59" i="9"/>
  <c r="U59" i="9"/>
  <c r="V59" i="9"/>
  <c r="W59" i="9"/>
  <c r="N60" i="9"/>
  <c r="O60" i="9"/>
  <c r="P60" i="9"/>
  <c r="Q60" i="9"/>
  <c r="R60" i="9"/>
  <c r="S60" i="9"/>
  <c r="T60" i="9"/>
  <c r="U60" i="9"/>
  <c r="V60" i="9"/>
  <c r="W60" i="9"/>
  <c r="N61" i="9"/>
  <c r="O61" i="9"/>
  <c r="P61" i="9"/>
  <c r="Q61" i="9"/>
  <c r="R61" i="9"/>
  <c r="S61" i="9"/>
  <c r="T61" i="9"/>
  <c r="U61" i="9"/>
  <c r="V61" i="9"/>
  <c r="W61" i="9"/>
  <c r="O62" i="9"/>
  <c r="P62" i="9"/>
  <c r="Q62" i="9"/>
  <c r="R62" i="9"/>
  <c r="S62" i="9"/>
  <c r="T62" i="9"/>
  <c r="U62" i="9"/>
  <c r="V62" i="9"/>
  <c r="W62" i="9"/>
  <c r="N63" i="9"/>
  <c r="O63" i="9"/>
  <c r="P63" i="9"/>
  <c r="Q63" i="9"/>
  <c r="R63" i="9"/>
  <c r="S63" i="9"/>
  <c r="T63" i="9"/>
  <c r="U63" i="9"/>
  <c r="V63" i="9"/>
  <c r="W63" i="9"/>
  <c r="O46" i="9"/>
  <c r="P46" i="9"/>
  <c r="Q46" i="9"/>
  <c r="R46" i="9"/>
  <c r="S46" i="9"/>
  <c r="T46" i="9"/>
  <c r="U46" i="9"/>
  <c r="V46" i="9"/>
  <c r="W46" i="9"/>
  <c r="N46" i="9"/>
  <c r="L223" i="7"/>
  <c r="L293" i="7"/>
  <c r="L296" i="7"/>
  <c r="K223" i="7"/>
  <c r="K293" i="7"/>
  <c r="K296" i="7"/>
  <c r="J223" i="7"/>
  <c r="J293" i="7"/>
  <c r="J296" i="7"/>
  <c r="I223" i="7"/>
  <c r="I293" i="7"/>
  <c r="I296" i="7"/>
  <c r="H223" i="7"/>
  <c r="H293" i="7"/>
  <c r="H296" i="7"/>
  <c r="G223" i="7"/>
  <c r="G293" i="7"/>
  <c r="G296" i="7"/>
  <c r="F223" i="7"/>
  <c r="F293" i="7"/>
  <c r="F296" i="7"/>
  <c r="E223" i="7"/>
  <c r="E293" i="7"/>
  <c r="E296" i="7"/>
  <c r="D223" i="7"/>
  <c r="D293" i="7"/>
  <c r="D296" i="7"/>
  <c r="C223" i="7"/>
  <c r="C293" i="7"/>
  <c r="C296" i="7"/>
  <c r="L295" i="7"/>
  <c r="K295" i="7"/>
  <c r="J295" i="7"/>
  <c r="I295" i="7"/>
  <c r="H295" i="7"/>
  <c r="G295" i="7"/>
  <c r="F295" i="7"/>
  <c r="E295" i="7"/>
  <c r="D295" i="7"/>
  <c r="C295" i="7"/>
  <c r="L294" i="7"/>
  <c r="K294" i="7"/>
  <c r="J294" i="7"/>
  <c r="I294" i="7"/>
  <c r="H294" i="7"/>
  <c r="G294" i="7"/>
  <c r="F294" i="7"/>
  <c r="E294" i="7"/>
  <c r="D294" i="7"/>
  <c r="C294" i="7"/>
  <c r="L222" i="7"/>
  <c r="L289" i="7"/>
  <c r="L292" i="7"/>
  <c r="K222" i="7"/>
  <c r="K289" i="7"/>
  <c r="K292" i="7"/>
  <c r="J222" i="7"/>
  <c r="J289" i="7"/>
  <c r="J292" i="7"/>
  <c r="I222" i="7"/>
  <c r="I289" i="7"/>
  <c r="I292" i="7"/>
  <c r="H222" i="7"/>
  <c r="H289" i="7"/>
  <c r="H292" i="7"/>
  <c r="G222" i="7"/>
  <c r="G289" i="7"/>
  <c r="G292" i="7"/>
  <c r="F222" i="7"/>
  <c r="F289" i="7"/>
  <c r="F292" i="7"/>
  <c r="E222" i="7"/>
  <c r="E289" i="7"/>
  <c r="E292" i="7"/>
  <c r="D222" i="7"/>
  <c r="D289" i="7"/>
  <c r="D292" i="7"/>
  <c r="C222" i="7"/>
  <c r="C289" i="7"/>
  <c r="C292" i="7"/>
  <c r="L291" i="7"/>
  <c r="K291" i="7"/>
  <c r="J291" i="7"/>
  <c r="I291" i="7"/>
  <c r="H291" i="7"/>
  <c r="G291" i="7"/>
  <c r="F291" i="7"/>
  <c r="E291" i="7"/>
  <c r="D291" i="7"/>
  <c r="C291" i="7"/>
  <c r="L290" i="7"/>
  <c r="K290" i="7"/>
  <c r="J290" i="7"/>
  <c r="I290" i="7"/>
  <c r="H290" i="7"/>
  <c r="G290" i="7"/>
  <c r="F290" i="7"/>
  <c r="E290" i="7"/>
  <c r="D290" i="7"/>
  <c r="C290" i="7"/>
  <c r="H221" i="7"/>
  <c r="H285" i="7"/>
  <c r="G221" i="7"/>
  <c r="G285" i="7"/>
  <c r="I285" i="7"/>
  <c r="J285" i="7"/>
  <c r="K285" i="7"/>
  <c r="L285" i="7"/>
  <c r="L288" i="7"/>
  <c r="K288" i="7"/>
  <c r="J288" i="7"/>
  <c r="I288" i="7"/>
  <c r="H288" i="7"/>
  <c r="G288" i="7"/>
  <c r="F221" i="7"/>
  <c r="F285" i="7"/>
  <c r="F288" i="7"/>
  <c r="E221" i="7"/>
  <c r="E285" i="7"/>
  <c r="E288" i="7"/>
  <c r="D221" i="7"/>
  <c r="D285" i="7"/>
  <c r="D288" i="7"/>
  <c r="C221" i="7"/>
  <c r="C285" i="7"/>
  <c r="C288" i="7"/>
  <c r="L287" i="7"/>
  <c r="K287" i="7"/>
  <c r="J287" i="7"/>
  <c r="I287" i="7"/>
  <c r="H287" i="7"/>
  <c r="G287" i="7"/>
  <c r="F287" i="7"/>
  <c r="E287" i="7"/>
  <c r="D287" i="7"/>
  <c r="C287" i="7"/>
  <c r="L286" i="7"/>
  <c r="K286" i="7"/>
  <c r="J286" i="7"/>
  <c r="I286" i="7"/>
  <c r="H286" i="7"/>
  <c r="G286" i="7"/>
  <c r="F286" i="7"/>
  <c r="E286" i="7"/>
  <c r="D286" i="7"/>
  <c r="C286" i="7"/>
  <c r="L220" i="7"/>
  <c r="L282" i="7"/>
  <c r="L284" i="7"/>
  <c r="K220" i="7"/>
  <c r="K282" i="7"/>
  <c r="K284" i="7"/>
  <c r="J220" i="7"/>
  <c r="J282" i="7"/>
  <c r="J284" i="7"/>
  <c r="I220" i="7"/>
  <c r="I282" i="7"/>
  <c r="I284" i="7"/>
  <c r="H220" i="7"/>
  <c r="H282" i="7"/>
  <c r="H284" i="7"/>
  <c r="G220" i="7"/>
  <c r="G282" i="7"/>
  <c r="G284" i="7"/>
  <c r="F220" i="7"/>
  <c r="F282" i="7"/>
  <c r="F284" i="7"/>
  <c r="E220" i="7"/>
  <c r="E282" i="7"/>
  <c r="E284" i="7"/>
  <c r="D220" i="7"/>
  <c r="D282" i="7"/>
  <c r="D284" i="7"/>
  <c r="C220" i="7"/>
  <c r="C282" i="7"/>
  <c r="C284" i="7"/>
  <c r="L283" i="7"/>
  <c r="K283" i="7"/>
  <c r="J283" i="7"/>
  <c r="I283" i="7"/>
  <c r="H283" i="7"/>
  <c r="G283" i="7"/>
  <c r="F283" i="7"/>
  <c r="E283" i="7"/>
  <c r="D283" i="7"/>
  <c r="C283" i="7"/>
  <c r="L219" i="7"/>
  <c r="L277" i="7"/>
  <c r="L281" i="7"/>
  <c r="K219" i="7"/>
  <c r="K277" i="7"/>
  <c r="K281" i="7"/>
  <c r="J219" i="7"/>
  <c r="J277" i="7"/>
  <c r="J281" i="7"/>
  <c r="I219" i="7"/>
  <c r="I277" i="7"/>
  <c r="I281" i="7"/>
  <c r="H219" i="7"/>
  <c r="H277" i="7"/>
  <c r="H281" i="7"/>
  <c r="L280" i="7"/>
  <c r="K280" i="7"/>
  <c r="J280" i="7"/>
  <c r="I280" i="7"/>
  <c r="H280" i="7"/>
  <c r="G219" i="7"/>
  <c r="G277" i="7"/>
  <c r="G280" i="7"/>
  <c r="F219" i="7"/>
  <c r="F277" i="7"/>
  <c r="F280" i="7"/>
  <c r="E219" i="7"/>
  <c r="E277" i="7"/>
  <c r="E280" i="7"/>
  <c r="D219" i="7"/>
  <c r="D277" i="7"/>
  <c r="D280" i="7"/>
  <c r="C219" i="7"/>
  <c r="C277" i="7"/>
  <c r="C280" i="7"/>
  <c r="L279" i="7"/>
  <c r="K279" i="7"/>
  <c r="J279" i="7"/>
  <c r="I279" i="7"/>
  <c r="H279" i="7"/>
  <c r="G279" i="7"/>
  <c r="F279" i="7"/>
  <c r="E279" i="7"/>
  <c r="D279" i="7"/>
  <c r="C279" i="7"/>
  <c r="L278" i="7"/>
  <c r="K278" i="7"/>
  <c r="J278" i="7"/>
  <c r="I278" i="7"/>
  <c r="H278" i="7"/>
  <c r="G278" i="7"/>
  <c r="F278" i="7"/>
  <c r="E278" i="7"/>
  <c r="D278" i="7"/>
  <c r="C278" i="7"/>
  <c r="H218" i="7"/>
  <c r="H268" i="7"/>
  <c r="G218" i="7"/>
  <c r="G268" i="7"/>
  <c r="I268" i="7"/>
  <c r="J268" i="7"/>
  <c r="K268" i="7"/>
  <c r="L268" i="7"/>
  <c r="L276" i="7"/>
  <c r="K276" i="7"/>
  <c r="J276" i="7"/>
  <c r="I276" i="7"/>
  <c r="H276" i="7"/>
  <c r="G276" i="7"/>
  <c r="F218" i="7"/>
  <c r="F268" i="7"/>
  <c r="F276" i="7"/>
  <c r="E218" i="7"/>
  <c r="E268" i="7"/>
  <c r="E276" i="7"/>
  <c r="D218" i="7"/>
  <c r="D268" i="7"/>
  <c r="D276" i="7"/>
  <c r="C218" i="7"/>
  <c r="C268" i="7"/>
  <c r="C276" i="7"/>
  <c r="L275" i="7"/>
  <c r="K275" i="7"/>
  <c r="J275" i="7"/>
  <c r="I275" i="7"/>
  <c r="H275" i="7"/>
  <c r="G275" i="7"/>
  <c r="F275" i="7"/>
  <c r="E275" i="7"/>
  <c r="D275" i="7"/>
  <c r="C275" i="7"/>
  <c r="L274" i="7"/>
  <c r="K274" i="7"/>
  <c r="J274" i="7"/>
  <c r="I274" i="7"/>
  <c r="H274" i="7"/>
  <c r="G274" i="7"/>
  <c r="F274" i="7"/>
  <c r="E274" i="7"/>
  <c r="D274" i="7"/>
  <c r="C274" i="7"/>
  <c r="L273" i="7"/>
  <c r="K273" i="7"/>
  <c r="J273" i="7"/>
  <c r="I273" i="7"/>
  <c r="H273" i="7"/>
  <c r="G273" i="7"/>
  <c r="F273" i="7"/>
  <c r="E273" i="7"/>
  <c r="D273" i="7"/>
  <c r="C273" i="7"/>
  <c r="L272" i="7"/>
  <c r="K272" i="7"/>
  <c r="J272" i="7"/>
  <c r="I272" i="7"/>
  <c r="H272" i="7"/>
  <c r="G272" i="7"/>
  <c r="F272" i="7"/>
  <c r="E272" i="7"/>
  <c r="D272" i="7"/>
  <c r="C272" i="7"/>
  <c r="L271" i="7"/>
  <c r="K271" i="7"/>
  <c r="J271" i="7"/>
  <c r="I271" i="7"/>
  <c r="H271" i="7"/>
  <c r="G271" i="7"/>
  <c r="F271" i="7"/>
  <c r="E271" i="7"/>
  <c r="D271" i="7"/>
  <c r="C271" i="7"/>
  <c r="L270" i="7"/>
  <c r="K270" i="7"/>
  <c r="J270" i="7"/>
  <c r="I270" i="7"/>
  <c r="H270" i="7"/>
  <c r="G270" i="7"/>
  <c r="F270" i="7"/>
  <c r="E270" i="7"/>
  <c r="D270" i="7"/>
  <c r="C270" i="7"/>
  <c r="L269" i="7"/>
  <c r="K269" i="7"/>
  <c r="J269" i="7"/>
  <c r="I269" i="7"/>
  <c r="H269" i="7"/>
  <c r="G269" i="7"/>
  <c r="F269" i="7"/>
  <c r="E269" i="7"/>
  <c r="D269" i="7"/>
  <c r="C269" i="7"/>
  <c r="L217" i="7"/>
  <c r="L263" i="7"/>
  <c r="L267" i="7"/>
  <c r="K217" i="7"/>
  <c r="K263" i="7"/>
  <c r="K267" i="7"/>
  <c r="J217" i="7"/>
  <c r="J263" i="7"/>
  <c r="J267" i="7"/>
  <c r="I217" i="7"/>
  <c r="I263" i="7"/>
  <c r="I267" i="7"/>
  <c r="H217" i="7"/>
  <c r="H263" i="7"/>
  <c r="H267" i="7"/>
  <c r="G217" i="7"/>
  <c r="G263" i="7"/>
  <c r="G267" i="7"/>
  <c r="F217" i="7"/>
  <c r="F263" i="7"/>
  <c r="F267" i="7"/>
  <c r="E217" i="7"/>
  <c r="E263" i="7"/>
  <c r="E267" i="7"/>
  <c r="D217" i="7"/>
  <c r="D263" i="7"/>
  <c r="D267" i="7"/>
  <c r="C217" i="7"/>
  <c r="C263" i="7"/>
  <c r="C267" i="7"/>
  <c r="L266" i="7"/>
  <c r="K266" i="7"/>
  <c r="J266" i="7"/>
  <c r="I266" i="7"/>
  <c r="H266" i="7"/>
  <c r="G266" i="7"/>
  <c r="F266" i="7"/>
  <c r="E266" i="7"/>
  <c r="D266" i="7"/>
  <c r="C266" i="7"/>
  <c r="L265" i="7"/>
  <c r="K265" i="7"/>
  <c r="J265" i="7"/>
  <c r="I265" i="7"/>
  <c r="H265" i="7"/>
  <c r="G265" i="7"/>
  <c r="F265" i="7"/>
  <c r="E265" i="7"/>
  <c r="D265" i="7"/>
  <c r="C265" i="7"/>
  <c r="L264" i="7"/>
  <c r="K264" i="7"/>
  <c r="J264" i="7"/>
  <c r="I264" i="7"/>
  <c r="H264" i="7"/>
  <c r="G264" i="7"/>
  <c r="F264" i="7"/>
  <c r="E264" i="7"/>
  <c r="D264" i="7"/>
  <c r="C264" i="7"/>
  <c r="L215" i="7"/>
  <c r="L256" i="7"/>
  <c r="L261" i="7"/>
  <c r="K215" i="7"/>
  <c r="K256" i="7"/>
  <c r="K261" i="7"/>
  <c r="J215" i="7"/>
  <c r="J256" i="7"/>
  <c r="J261" i="7"/>
  <c r="I215" i="7"/>
  <c r="I256" i="7"/>
  <c r="I261" i="7"/>
  <c r="H215" i="7"/>
  <c r="H256" i="7"/>
  <c r="H261" i="7"/>
  <c r="G215" i="7"/>
  <c r="G256" i="7"/>
  <c r="G261" i="7"/>
  <c r="F215" i="7"/>
  <c r="F256" i="7"/>
  <c r="F261" i="7"/>
  <c r="E215" i="7"/>
  <c r="E256" i="7"/>
  <c r="E261" i="7"/>
  <c r="D215" i="7"/>
  <c r="D256" i="7"/>
  <c r="D261" i="7"/>
  <c r="C215" i="7"/>
  <c r="C256" i="7"/>
  <c r="C261" i="7"/>
  <c r="L260" i="7"/>
  <c r="K260" i="7"/>
  <c r="J260" i="7"/>
  <c r="I260" i="7"/>
  <c r="H260" i="7"/>
  <c r="G260" i="7"/>
  <c r="F260" i="7"/>
  <c r="E260" i="7"/>
  <c r="D260" i="7"/>
  <c r="C260" i="7"/>
  <c r="L259" i="7"/>
  <c r="K259" i="7"/>
  <c r="J259" i="7"/>
  <c r="I259" i="7"/>
  <c r="H259" i="7"/>
  <c r="G259" i="7"/>
  <c r="F259" i="7"/>
  <c r="E259" i="7"/>
  <c r="D259" i="7"/>
  <c r="C259" i="7"/>
  <c r="L258" i="7"/>
  <c r="K258" i="7"/>
  <c r="J258" i="7"/>
  <c r="I258" i="7"/>
  <c r="H258" i="7"/>
  <c r="G258" i="7"/>
  <c r="F258" i="7"/>
  <c r="E258" i="7"/>
  <c r="D258" i="7"/>
  <c r="C258" i="7"/>
  <c r="L257" i="7"/>
  <c r="K257" i="7"/>
  <c r="J257" i="7"/>
  <c r="I257" i="7"/>
  <c r="H257" i="7"/>
  <c r="G257" i="7"/>
  <c r="F257" i="7"/>
  <c r="E257" i="7"/>
  <c r="D257" i="7"/>
  <c r="C257" i="7"/>
  <c r="L214" i="7"/>
  <c r="L254" i="7"/>
  <c r="L255" i="7"/>
  <c r="K214" i="7"/>
  <c r="K254" i="7"/>
  <c r="K255" i="7"/>
  <c r="J214" i="7"/>
  <c r="J254" i="7"/>
  <c r="J255" i="7"/>
  <c r="I214" i="7"/>
  <c r="I254" i="7"/>
  <c r="I255" i="7"/>
  <c r="H214" i="7"/>
  <c r="H254" i="7"/>
  <c r="H255" i="7"/>
  <c r="G214" i="7"/>
  <c r="G254" i="7"/>
  <c r="G255" i="7"/>
  <c r="F214" i="7"/>
  <c r="F254" i="7"/>
  <c r="F255" i="7"/>
  <c r="E214" i="7"/>
  <c r="E254" i="7"/>
  <c r="E255" i="7"/>
  <c r="D214" i="7"/>
  <c r="D254" i="7"/>
  <c r="D255" i="7"/>
  <c r="C214" i="7"/>
  <c r="C254" i="7"/>
  <c r="C255" i="7"/>
  <c r="L213" i="7"/>
  <c r="L251" i="7"/>
  <c r="L253" i="7"/>
  <c r="K213" i="7"/>
  <c r="K251" i="7"/>
  <c r="K253" i="7"/>
  <c r="J213" i="7"/>
  <c r="J251" i="7"/>
  <c r="J253" i="7"/>
  <c r="I213" i="7"/>
  <c r="I251" i="7"/>
  <c r="I253" i="7"/>
  <c r="H213" i="7"/>
  <c r="H251" i="7"/>
  <c r="H253" i="7"/>
  <c r="G213" i="7"/>
  <c r="G251" i="7"/>
  <c r="G253" i="7"/>
  <c r="F213" i="7"/>
  <c r="F251" i="7"/>
  <c r="F253" i="7"/>
  <c r="E213" i="7"/>
  <c r="E251" i="7"/>
  <c r="E253" i="7"/>
  <c r="D213" i="7"/>
  <c r="D251" i="7"/>
  <c r="D253" i="7"/>
  <c r="C213" i="7"/>
  <c r="C251" i="7"/>
  <c r="C253" i="7"/>
  <c r="L252" i="7"/>
  <c r="K252" i="7"/>
  <c r="J252" i="7"/>
  <c r="I252" i="7"/>
  <c r="H252" i="7"/>
  <c r="G252" i="7"/>
  <c r="F252" i="7"/>
  <c r="E252" i="7"/>
  <c r="D252" i="7"/>
  <c r="C252" i="7"/>
  <c r="L212" i="7"/>
  <c r="L247" i="7"/>
  <c r="L250" i="7"/>
  <c r="K212" i="7"/>
  <c r="K247" i="7"/>
  <c r="K250" i="7"/>
  <c r="J212" i="7"/>
  <c r="J247" i="7"/>
  <c r="J250" i="7"/>
  <c r="I212" i="7"/>
  <c r="I247" i="7"/>
  <c r="I250" i="7"/>
  <c r="H212" i="7"/>
  <c r="H247" i="7"/>
  <c r="H250" i="7"/>
  <c r="G212" i="7"/>
  <c r="G247" i="7"/>
  <c r="G250" i="7"/>
  <c r="F212" i="7"/>
  <c r="F247" i="7"/>
  <c r="F250" i="7"/>
  <c r="E212" i="7"/>
  <c r="E247" i="7"/>
  <c r="E250" i="7"/>
  <c r="D212" i="7"/>
  <c r="D247" i="7"/>
  <c r="D250" i="7"/>
  <c r="C212" i="7"/>
  <c r="C247" i="7"/>
  <c r="C250" i="7"/>
  <c r="L249" i="7"/>
  <c r="K249" i="7"/>
  <c r="J249" i="7"/>
  <c r="I249" i="7"/>
  <c r="H249" i="7"/>
  <c r="G249" i="7"/>
  <c r="F249" i="7"/>
  <c r="E249" i="7"/>
  <c r="D249" i="7"/>
  <c r="C249" i="7"/>
  <c r="L248" i="7"/>
  <c r="K248" i="7"/>
  <c r="J248" i="7"/>
  <c r="I248" i="7"/>
  <c r="H248" i="7"/>
  <c r="G248" i="7"/>
  <c r="F248" i="7"/>
  <c r="E248" i="7"/>
  <c r="D248" i="7"/>
  <c r="C248" i="7"/>
  <c r="L211" i="7"/>
  <c r="L243" i="7"/>
  <c r="L246" i="7"/>
  <c r="K211" i="7"/>
  <c r="K243" i="7"/>
  <c r="K246" i="7"/>
  <c r="J211" i="7"/>
  <c r="J243" i="7"/>
  <c r="J246" i="7"/>
  <c r="I211" i="7"/>
  <c r="I243" i="7"/>
  <c r="I246" i="7"/>
  <c r="H211" i="7"/>
  <c r="H243" i="7"/>
  <c r="H246" i="7"/>
  <c r="G211" i="7"/>
  <c r="G243" i="7"/>
  <c r="G246" i="7"/>
  <c r="F211" i="7"/>
  <c r="F243" i="7"/>
  <c r="F246" i="7"/>
  <c r="E211" i="7"/>
  <c r="E243" i="7"/>
  <c r="E246" i="7"/>
  <c r="D211" i="7"/>
  <c r="D243" i="7"/>
  <c r="D246" i="7"/>
  <c r="C211" i="7"/>
  <c r="C243" i="7"/>
  <c r="C246" i="7"/>
  <c r="L245" i="7"/>
  <c r="K245" i="7"/>
  <c r="J245" i="7"/>
  <c r="I245" i="7"/>
  <c r="H245" i="7"/>
  <c r="G245" i="7"/>
  <c r="F245" i="7"/>
  <c r="E245" i="7"/>
  <c r="D245" i="7"/>
  <c r="C245" i="7"/>
  <c r="L244" i="7"/>
  <c r="K244" i="7"/>
  <c r="J244" i="7"/>
  <c r="I244" i="7"/>
  <c r="H244" i="7"/>
  <c r="G244" i="7"/>
  <c r="F244" i="7"/>
  <c r="E244" i="7"/>
  <c r="D244" i="7"/>
  <c r="C244" i="7"/>
  <c r="L210" i="7"/>
  <c r="L239" i="7"/>
  <c r="L242" i="7"/>
  <c r="K210" i="7"/>
  <c r="K239" i="7"/>
  <c r="K242" i="7"/>
  <c r="J210" i="7"/>
  <c r="J239" i="7"/>
  <c r="J242" i="7"/>
  <c r="I210" i="7"/>
  <c r="I239" i="7"/>
  <c r="I242" i="7"/>
  <c r="H210" i="7"/>
  <c r="H239" i="7"/>
  <c r="H242" i="7"/>
  <c r="G210" i="7"/>
  <c r="G239" i="7"/>
  <c r="G242" i="7"/>
  <c r="F210" i="7"/>
  <c r="F239" i="7"/>
  <c r="F242" i="7"/>
  <c r="E210" i="7"/>
  <c r="E239" i="7"/>
  <c r="E242" i="7"/>
  <c r="D210" i="7"/>
  <c r="D239" i="7"/>
  <c r="D242" i="7"/>
  <c r="C210" i="7"/>
  <c r="C239" i="7"/>
  <c r="C242" i="7"/>
  <c r="L241" i="7"/>
  <c r="K241" i="7"/>
  <c r="J241" i="7"/>
  <c r="I241" i="7"/>
  <c r="H241" i="7"/>
  <c r="G241" i="7"/>
  <c r="F241" i="7"/>
  <c r="E241" i="7"/>
  <c r="D241" i="7"/>
  <c r="C241" i="7"/>
  <c r="L240" i="7"/>
  <c r="K240" i="7"/>
  <c r="J240" i="7"/>
  <c r="I240" i="7"/>
  <c r="H240" i="7"/>
  <c r="G240" i="7"/>
  <c r="F240" i="7"/>
  <c r="E240" i="7"/>
  <c r="D240" i="7"/>
  <c r="C240" i="7"/>
  <c r="L209" i="7"/>
  <c r="L236" i="7"/>
  <c r="L238" i="7"/>
  <c r="K209" i="7"/>
  <c r="K236" i="7"/>
  <c r="K238" i="7"/>
  <c r="J209" i="7"/>
  <c r="J236" i="7"/>
  <c r="J238" i="7"/>
  <c r="I209" i="7"/>
  <c r="I236" i="7"/>
  <c r="I238" i="7"/>
  <c r="H209" i="7"/>
  <c r="H236" i="7"/>
  <c r="H238" i="7"/>
  <c r="G209" i="7"/>
  <c r="G236" i="7"/>
  <c r="G238" i="7"/>
  <c r="F209" i="7"/>
  <c r="F236" i="7"/>
  <c r="F238" i="7"/>
  <c r="E209" i="7"/>
  <c r="E236" i="7"/>
  <c r="E238" i="7"/>
  <c r="D209" i="7"/>
  <c r="D236" i="7"/>
  <c r="D238" i="7"/>
  <c r="C209" i="7"/>
  <c r="C236" i="7"/>
  <c r="C238" i="7"/>
  <c r="L237" i="7"/>
  <c r="K237" i="7"/>
  <c r="J237" i="7"/>
  <c r="I237" i="7"/>
  <c r="H237" i="7"/>
  <c r="G237" i="7"/>
  <c r="F237" i="7"/>
  <c r="E237" i="7"/>
  <c r="D237" i="7"/>
  <c r="C237" i="7"/>
  <c r="L208" i="7"/>
  <c r="L233" i="7"/>
  <c r="L235" i="7"/>
  <c r="K208" i="7"/>
  <c r="K233" i="7"/>
  <c r="K235" i="7"/>
  <c r="J208" i="7"/>
  <c r="J233" i="7"/>
  <c r="J235" i="7"/>
  <c r="I208" i="7"/>
  <c r="I233" i="7"/>
  <c r="I235" i="7"/>
  <c r="H208" i="7"/>
  <c r="H233" i="7"/>
  <c r="H235" i="7"/>
  <c r="G208" i="7"/>
  <c r="G233" i="7"/>
  <c r="G235" i="7"/>
  <c r="F208" i="7"/>
  <c r="F233" i="7"/>
  <c r="F235" i="7"/>
  <c r="E208" i="7"/>
  <c r="E233" i="7"/>
  <c r="E235" i="7"/>
  <c r="D208" i="7"/>
  <c r="D233" i="7"/>
  <c r="D235" i="7"/>
  <c r="C208" i="7"/>
  <c r="C233" i="7"/>
  <c r="C235" i="7"/>
  <c r="L234" i="7"/>
  <c r="K234" i="7"/>
  <c r="J234" i="7"/>
  <c r="I234" i="7"/>
  <c r="H234" i="7"/>
  <c r="G234" i="7"/>
  <c r="F234" i="7"/>
  <c r="E234" i="7"/>
  <c r="D234" i="7"/>
  <c r="C234" i="7"/>
  <c r="L207" i="7"/>
  <c r="L230" i="7"/>
  <c r="L232" i="7"/>
  <c r="K207" i="7"/>
  <c r="K230" i="7"/>
  <c r="K232" i="7"/>
  <c r="J207" i="7"/>
  <c r="J230" i="7"/>
  <c r="J232" i="7"/>
  <c r="I207" i="7"/>
  <c r="I230" i="7"/>
  <c r="I232" i="7"/>
  <c r="H207" i="7"/>
  <c r="H230" i="7"/>
  <c r="H232" i="7"/>
  <c r="G207" i="7"/>
  <c r="G230" i="7"/>
  <c r="G232" i="7"/>
  <c r="F207" i="7"/>
  <c r="F230" i="7"/>
  <c r="F232" i="7"/>
  <c r="E207" i="7"/>
  <c r="E230" i="7"/>
  <c r="E232" i="7"/>
  <c r="D207" i="7"/>
  <c r="D230" i="7"/>
  <c r="D232" i="7"/>
  <c r="L231" i="7"/>
  <c r="K231" i="7"/>
  <c r="J231" i="7"/>
  <c r="I231" i="7"/>
  <c r="H231" i="7"/>
  <c r="G231" i="7"/>
  <c r="F231" i="7"/>
  <c r="E231" i="7"/>
  <c r="D231" i="7"/>
  <c r="L221" i="7"/>
  <c r="K221" i="7"/>
  <c r="J221" i="7"/>
  <c r="I221" i="7"/>
  <c r="L218" i="7"/>
  <c r="K218" i="7"/>
  <c r="J218" i="7"/>
  <c r="I218" i="7"/>
  <c r="L216" i="7"/>
  <c r="K216" i="7"/>
  <c r="J216" i="7"/>
  <c r="I216" i="7"/>
  <c r="H216" i="7"/>
  <c r="G216" i="7"/>
  <c r="F216" i="7"/>
  <c r="E216" i="7"/>
  <c r="D216" i="7"/>
  <c r="C216" i="7"/>
  <c r="E4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E3" i="5"/>
  <c r="C232" i="7" l="1"/>
  <c r="C231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tc={650C5273-0796-4B0C-9029-487A047481E4}</author>
    <author>tc={A449FE3D-354F-4320-8634-EB58B9F79095}</author>
    <author>tc={14C627C8-5A45-45BF-AE56-45724935EA3E}</author>
    <author>tc={116FFB67-439E-478A-BCEB-3EABAD153A6C}</author>
  </authors>
  <commentList>
    <comment ref="T1" authorId="0" shapeId="0" xr:uid="{650C5273-0796-4B0C-9029-487A047481E4}">
      <text>
        <t>[Threaded comment]
Your version of Excel allows you to read this threaded comment; however, any edits to it will get removed if the file is opened in a newer version of Excel. Learn more: https://go.microsoft.com/fwlink/?linkid=870924
Comment:
    Nigerian company, added for sensitivity. Numbers are synthetic, and represent possible scenario near the end of the decade</t>
      </text>
    </comment>
    <comment ref="F4" authorId="1" shapeId="0" xr:uid="{A449FE3D-354F-4320-8634-EB58B9F790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Pricing data not available</t>
      </text>
    </comment>
    <comment ref="A12" authorId="2" shapeId="0" xr:uid="{14C627C8-5A45-45BF-AE56-45724935EA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DATA NOT AVAILABLE YET</t>
      </text>
    </comment>
    <comment ref="G13" authorId="3" shapeId="0" xr:uid="{116FFB67-439E-478A-BCEB-3EABAD153A6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data beyond 2016, removed from price list;
Countries listed not GAVT countries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tc={6CAE4649-0194-466D-8026-460AD20BCA63}</author>
    <author>tc={B2DD65A9-F0E8-4BCF-BFF0-4845B3C2527D}</author>
    <author>tc={8E229D49-F9BB-4443-A642-4C296846BFCC}</author>
    <author>tc={5C1EDFAD-5AB7-468F-976A-8C0E28C6B70D}</author>
    <author>tc={536B0C6E-E319-4703-9B53-DAF82190CD5B}</author>
    <author>tc={EB818986-AF42-4397-82FB-2DF1B29BDE64}</author>
    <author>tc={67C96ADF-AD13-4A40-9115-06FF454E7D53}</author>
  </authors>
  <commentList>
    <comment ref="A213" authorId="0" shapeId="0" xr:uid="{6CAE4649-0194-466D-8026-460AD20BCA63}">
      <text>
        <t>[Threaded comment]
Your version of Excel allows you to read this threaded comment; however, any edits to it will get removed if the file is opened in a newer version of Excel. Learn more: https://go.microsoft.com/fwlink/?linkid=870924
Comment:
    DTaP removed due to phase out</t>
      </text>
    </comment>
    <comment ref="B219" authorId="1" shapeId="0" xr:uid="{B2DD65A9-F0E8-4BCF-BFF0-4845B3C2527D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across all</t>
      </text>
    </comment>
    <comment ref="B222" authorId="2" shapeId="0" xr:uid="{8E229D49-F9BB-4443-A642-4C296846BFCC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across all</t>
      </text>
    </comment>
    <comment ref="A251" authorId="3" shapeId="0" xr:uid="{5C1EDFAD-5AB7-468F-976A-8C0E28C6B70D}">
      <text>
        <t>[Threaded comment]
Your version of Excel allows you to read this threaded comment; however, any edits to it will get removed if the file is opened in a newer version of Excel. Learn more: https://go.microsoft.com/fwlink/?linkid=870924
Comment:
    DTaP removed due to phase out</t>
      </text>
    </comment>
    <comment ref="I268" authorId="4" shapeId="0" xr:uid="{536B0C6E-E319-4703-9B53-DAF82190CD5B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period MA for missing data</t>
      </text>
    </comment>
    <comment ref="A281" authorId="5" shapeId="0" xr:uid="{EB818986-AF42-4397-82FB-2DF1B29BDE64}">
      <text>
        <t>[Threaded comment]
Your version of Excel allows you to read this threaded comment; however, any edits to it will get removed if the file is opened in a newer version of Excel. Learn more: https://go.microsoft.com/fwlink/?linkid=870924
Comment:
    Nigerian company, added for sensitivity. Numbers are synthetic, and represent possible scenario near the end of the decade</t>
      </text>
    </comment>
    <comment ref="I285" authorId="6" shapeId="0" xr:uid="{67C96ADF-AD13-4A40-9115-06FF454E7D53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period MA for missing data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tc={C1098999-8042-465E-9ACB-457F7828CEE0}</author>
  </authors>
  <commentList>
    <comment ref="A20" authorId="0" shapeId="0" xr:uid="{C1098999-8042-465E-9ACB-457F7828CEE0}">
      <text>
        <t>[Threaded comment]
Your version of Excel allows you to read this threaded comment; however, any edits to it will get removed if the file is opened in a newer version of Excel. Learn more: https://go.microsoft.com/fwlink/?linkid=870924
Comment:
    Nigerian company, added for sensitivity. Numbers are synthetic, and represent possible scenario near the end of the decade</t>
      </text>
    </comment>
  </commentList>
</comments>
</file>

<file path=xl/sharedStrings.xml><?xml version="1.0" encoding="utf-8"?>
<sst xmlns="http://schemas.openxmlformats.org/spreadsheetml/2006/main" count="757" uniqueCount="171">
  <si>
    <t>Vaccine</t>
  </si>
  <si>
    <t>wb_status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</si>
  <si>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</si>
  <si>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</si>
  <si>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</si>
  <si>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</si>
  <si>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</si>
  <si>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</si>
  <si>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</si>
  <si>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</si>
  <si>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</si>
  <si>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</si>
  <si>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BCG</t>
  </si>
  <si>
    <t>--</t>
  </si>
  <si>
    <t>High Income</t>
  </si>
  <si>
    <t>Low Income</t>
  </si>
  <si>
    <t>Lower Middle Income</t>
  </si>
  <si>
    <t>Upper Middle Income</t>
  </si>
  <si>
    <t>bOPV</t>
  </si>
  <si>
    <t>Covid-19</t>
  </si>
  <si>
    <t>Dengue</t>
  </si>
  <si>
    <t>Diphtheria</t>
  </si>
  <si>
    <t>DT</t>
  </si>
  <si>
    <t>DTaP</t>
  </si>
  <si>
    <t>DTaP-HepB</t>
  </si>
  <si>
    <t>DTaP-HepB-Hib</t>
  </si>
  <si>
    <t>DTaP-HepB-Hib-IPV</t>
  </si>
  <si>
    <t>DTaP-HepB-IPV</t>
  </si>
  <si>
    <t>DTaP-Hib</t>
  </si>
  <si>
    <t>DTaP-Hib-IPV</t>
  </si>
  <si>
    <t>DTaP-IPV</t>
  </si>
  <si>
    <t>DTwP</t>
  </si>
  <si>
    <t>DTwP-HepB</t>
  </si>
  <si>
    <t>DTwP-HepB-Hib</t>
  </si>
  <si>
    <t>DTwP-Hib</t>
  </si>
  <si>
    <t>HepA</t>
  </si>
  <si>
    <t>HepB</t>
  </si>
  <si>
    <t>Hib</t>
  </si>
  <si>
    <t>Hib-MenAC</t>
  </si>
  <si>
    <t>Hib-MenC</t>
  </si>
  <si>
    <t>HPV</t>
  </si>
  <si>
    <t>IPV</t>
  </si>
  <si>
    <t>JE</t>
  </si>
  <si>
    <t>Measles</t>
  </si>
  <si>
    <t>MenA</t>
  </si>
  <si>
    <t>MenA Ps</t>
  </si>
  <si>
    <t>MenAC</t>
  </si>
  <si>
    <t>MenAC Ps</t>
  </si>
  <si>
    <t>MenACW-135 Ps</t>
  </si>
  <si>
    <t>MenACYW-135</t>
  </si>
  <si>
    <t>MenACYW-135 Ps</t>
  </si>
  <si>
    <t>MenB</t>
  </si>
  <si>
    <t>MenBC</t>
  </si>
  <si>
    <t>MenC</t>
  </si>
  <si>
    <t>MM</t>
  </si>
  <si>
    <t>MMR</t>
  </si>
  <si>
    <t>MMRV</t>
  </si>
  <si>
    <t>MR</t>
  </si>
  <si>
    <t>Mumps</t>
  </si>
  <si>
    <t>OCV</t>
  </si>
  <si>
    <t>PCV</t>
  </si>
  <si>
    <t>PPSV</t>
  </si>
  <si>
    <t>Rota</t>
  </si>
  <si>
    <t>RSV</t>
  </si>
  <si>
    <t>Rubella</t>
  </si>
  <si>
    <t>TCV</t>
  </si>
  <si>
    <t>Td</t>
  </si>
  <si>
    <t>Td-IPV</t>
  </si>
  <si>
    <t>Tdap</t>
  </si>
  <si>
    <t>Tdap-IPV</t>
  </si>
  <si>
    <t>tOPV</t>
  </si>
  <si>
    <t>TT</t>
  </si>
  <si>
    <t>Typhoid Ps</t>
  </si>
  <si>
    <t>Varicella</t>
  </si>
  <si>
    <t>YF</t>
  </si>
  <si>
    <t>Serum Institute of India Pvt. Ltd.</t>
  </si>
  <si>
    <t>PT Bio Farma (Persero)</t>
  </si>
  <si>
    <t>GlaxoSmithKline Biologicals SA</t>
  </si>
  <si>
    <t>Biological E. Limited</t>
  </si>
  <si>
    <t>Merck Sharp &amp; Dohme LLC</t>
  </si>
  <si>
    <t>Sanofi Pasteur</t>
  </si>
  <si>
    <t>BB- NCIPD Ltd. (Bulgaria)</t>
  </si>
  <si>
    <t>LG Chem Ltd</t>
  </si>
  <si>
    <t>Panacea Biotec Ltd.</t>
  </si>
  <si>
    <t>AJ Vaccines A/S</t>
  </si>
  <si>
    <t>Bilthoven Biologicals B.V.</t>
  </si>
  <si>
    <t>Sanofi Healthcare India Private Limited</t>
  </si>
  <si>
    <t>Beijing Institute of Biological Products Co., Ltd.</t>
  </si>
  <si>
    <t>Bharat Biotech International Limited</t>
  </si>
  <si>
    <t>Haffkine Bio Pharmaceutical Corporation Ltd</t>
  </si>
  <si>
    <t>Xiamen Innovax Biotech Co. Ltd.</t>
  </si>
  <si>
    <t>Centro de Ingenieria Genetica y Biotecnologia</t>
  </si>
  <si>
    <t>Measles and Rubella</t>
  </si>
  <si>
    <t>Measles, Mumps and Rubella</t>
  </si>
  <si>
    <t>Tetanus Toxoid</t>
  </si>
  <si>
    <t>Tetanus-Diphtheria (Td)</t>
  </si>
  <si>
    <t>Diphtheria-Tetanus (DT)</t>
  </si>
  <si>
    <t>Diphtheria-Tetanus-Pertussis (acellular) + (whole cell)</t>
  </si>
  <si>
    <t>Diphtheria-Tetanus-Pertussis (whole cell)-Haemophilus influenzae type b</t>
  </si>
  <si>
    <t>Diphtheria-Tetanus-Pertussis (whole cell)-Hepatitis B-Haemophilus influenzae type b</t>
  </si>
  <si>
    <t>Diphtheria-Tetanus-Pertussis (acellular)-Hepatitis B-Haemophilus influenzae type b-Polio (Inactivated)</t>
  </si>
  <si>
    <t>Polio Vaccine - Inactivated (IPV)</t>
  </si>
  <si>
    <t>Polio Vaccine - Oral (OPV) Bivalent Types 1 and 3</t>
  </si>
  <si>
    <t>Human Papillomavirus (Bivalent) + (Quadrivalent)</t>
  </si>
  <si>
    <t>Hepatitis B (Pediatric or non-adult specific)</t>
  </si>
  <si>
    <t>Haemophilus influenzae type b</t>
  </si>
  <si>
    <t>Very Limited Supply = 70</t>
  </si>
  <si>
    <t>% not avail, assumed satisfied</t>
  </si>
  <si>
    <t>Diphtheria-Tetanus</t>
  </si>
  <si>
    <t>Diphtheria-Tetanus-Pertussis (whole cell)</t>
  </si>
  <si>
    <t>NP</t>
  </si>
  <si>
    <t>Exceeds</t>
  </si>
  <si>
    <t>Not listed</t>
  </si>
  <si>
    <t>Suppply Exceeds Demand = 110%</t>
  </si>
  <si>
    <t>Needs Planning = 90%</t>
  </si>
  <si>
    <t>Market Share %</t>
  </si>
  <si>
    <t>GSK</t>
  </si>
  <si>
    <t>Serum Institute of India</t>
  </si>
  <si>
    <t>PT Bio Pharma</t>
  </si>
  <si>
    <t>Biological E Limited</t>
  </si>
  <si>
    <t>Producer</t>
  </si>
  <si>
    <t>Row Labels</t>
  </si>
  <si>
    <t>Grand Total</t>
  </si>
  <si>
    <t>AJ_Vaccines</t>
  </si>
  <si>
    <t>"AJ_Vaccines"</t>
  </si>
  <si>
    <t>"BB_NCIPD"</t>
  </si>
  <si>
    <t>"Beijing_Institute"</t>
  </si>
  <si>
    <t>"Bharat_Biotech"</t>
  </si>
  <si>
    <t>"Biological_E"</t>
  </si>
  <si>
    <t>"Centro_de"</t>
  </si>
  <si>
    <t>"Haffkine_Bio"</t>
  </si>
  <si>
    <t>"LG_Chem"</t>
  </si>
  <si>
    <t>"Merck_Sharp"</t>
  </si>
  <si>
    <t>"Panacea_Biotec"</t>
  </si>
  <si>
    <t>"PT_Bio"</t>
  </si>
  <si>
    <t>"Sanofi_Pasteur"</t>
  </si>
  <si>
    <t>"Serum_Institute"</t>
  </si>
  <si>
    <t>"Xiamen_Innovax"</t>
  </si>
  <si>
    <t>"Bilthoven"</t>
  </si>
  <si>
    <t>"GSK"</t>
  </si>
  <si>
    <t>BB_NCIPD</t>
  </si>
  <si>
    <t>Beijing_Institute</t>
  </si>
  <si>
    <t>Bharat_Biotech</t>
  </si>
  <si>
    <t>Bilthoven</t>
  </si>
  <si>
    <t>Biological_E</t>
  </si>
  <si>
    <t>Centro_de</t>
  </si>
  <si>
    <t>Haffkine_Bio</t>
  </si>
  <si>
    <t>LG_Chem</t>
  </si>
  <si>
    <t>Merck_Sharp</t>
  </si>
  <si>
    <t>Panacea_Biotec</t>
  </si>
  <si>
    <t>PT_Bio</t>
  </si>
  <si>
    <t>Sanofi_Pasteur</t>
  </si>
  <si>
    <t>Serum_Institute</t>
  </si>
  <si>
    <t>Xiamen_Innovax</t>
  </si>
  <si>
    <t>Innovative Biotech</t>
  </si>
  <si>
    <t>Pneumococcal Conjugate vaccine</t>
  </si>
  <si>
    <t>Pfizer</t>
  </si>
  <si>
    <t>Diphtheria-Tetanus (reduced antigen content)</t>
  </si>
  <si>
    <t>Rotavirus</t>
  </si>
  <si>
    <t>"Pfizer"</t>
  </si>
  <si>
    <t>"Innovative_Biotech"</t>
  </si>
  <si>
    <t>Sum of 1</t>
  </si>
  <si>
    <t>Sum of 2</t>
  </si>
  <si>
    <t>Sum of 3</t>
  </si>
  <si>
    <t>Sum of 4</t>
  </si>
  <si>
    <t>Sum of 5</t>
  </si>
  <si>
    <t>Sum of 6</t>
  </si>
  <si>
    <t>Sum of 7</t>
  </si>
  <si>
    <t>Sum of 8</t>
  </si>
  <si>
    <t>Sum of 9</t>
  </si>
  <si>
    <t>Sum of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</si>
</sst>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460023"/>
      <name val="Calibri"/>
      <family val="2"/>
    </font>
    <font>
      <sz val="11"/>
      <color rgb="FF464646"/>
      <name val="Calibri"/>
      <family val="2"/>
    </font>
    <font>
      <b/>
      <u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98658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rgb="FF4081C5"/>
      </patternFill>
    </fill>
    <fill>
      <patternFill patternType="solid">
        <fgColor rgb="FFFFBB00"/>
      </patternFill>
    </fill>
    <fill>
      <patternFill patternType="solid">
        <fgColor rgb="FF5783A8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43" fontId="9" fillId="0" borderId="0" applyFont="0" applyFill="0" applyBorder="0" applyAlignment="0" applyProtection="0"/>
  </cellStyleXfs>
  <cellXfs count="47">
    <xf numFmtId="0" fontId="0" fillId="0" borderId="0" xfId="0"/>
    <xf numFmtId="0" fontId="4" fillId="2" borderId="1" xfId="1" applyFont="1" applyFill="1" applyBorder="1" applyAlignment="1">
      <alignment vertical="top"/>
    </xf>
    <xf numFmtId="0" fontId="3" fillId="0" borderId="0" xfId="1"/>
    <xf numFmtId="0" fontId="5" fillId="3" borderId="1" xfId="1" applyFont="1" applyFill="1" applyBorder="1" applyAlignment="1">
      <alignment vertical="top"/>
    </xf>
    <xf numFmtId="0" fontId="4" fillId="4" borderId="1" xfId="1" applyFont="1" applyFill="1" applyBorder="1" applyAlignment="1">
      <alignment vertical="top"/>
    </xf>
    <xf numFmtId="4" fontId="3" fillId="0" borderId="1" xfId="1" applyNumberFormat="1" applyBorder="1" applyAlignment="1">
      <alignment vertical="top"/>
    </xf>
    <xf numFmtId="0" fontId="3" fillId="0" borderId="1" xfId="1" applyBorder="1" applyAlignment="1">
      <alignment vertical="top"/>
    </xf>
    <xf numFmtId="4" fontId="3" fillId="5" borderId="1" xfId="1" applyNumberFormat="1" applyFill="1" applyBorder="1" applyAlignment="1">
      <alignment vertical="top"/>
    </xf>
    <xf numFmtId="4" fontId="3" fillId="0" borderId="0" xfId="1" applyNumberFormat="1"/>
    <xf numFmtId="0" fontId="6" fillId="0" borderId="0" xfId="0" applyFont="1"/>
    <xf numFmtId="0" fontId="0" fillId="0" borderId="1" xfId="0" applyBorder="1" applyAlignment="1">
      <alignment wrapText="1"/>
    </xf>
    <xf numFmtId="0" fontId="2" fillId="0" borderId="1" xfId="0" applyFont="1" applyBorder="1"/>
    <xf numFmtId="0" fontId="2" fillId="5" borderId="1" xfId="0" applyFont="1" applyFill="1" applyBorder="1"/>
    <xf numFmtId="0" fontId="0" fillId="0" borderId="0" xfId="0" applyAlignment="1">
      <alignment wrapText="1"/>
    </xf>
    <xf numFmtId="0" fontId="2" fillId="0" borderId="0" xfId="0" applyFont="1"/>
    <xf numFmtId="0" fontId="3" fillId="0" borderId="2" xfId="1" applyBorder="1" applyAlignment="1">
      <alignment vertical="top"/>
    </xf>
    <xf numFmtId="0" fontId="1" fillId="0" borderId="0" xfId="1" applyFont="1"/>
    <xf numFmtId="0" fontId="3" fillId="5" borderId="0" xfId="1" applyFill="1"/>
    <xf numFmtId="0" fontId="7" fillId="6" borderId="5" xfId="1" applyFont="1" applyFill="1" applyBorder="1"/>
    <xf numFmtId="0" fontId="3" fillId="6" borderId="6" xfId="1" applyFill="1" applyBorder="1"/>
    <xf numFmtId="4" fontId="3" fillId="6" borderId="6" xfId="1" applyNumberFormat="1" applyFill="1" applyBorder="1"/>
    <xf numFmtId="0" fontId="3" fillId="7" borderId="6" xfId="1" applyFill="1" applyBorder="1"/>
    <xf numFmtId="0" fontId="0" fillId="0" borderId="0" xfId="0" applyAlignment="1">
      <alignment horizontal="left"/>
    </xf>
    <xf numFmtId="0" fontId="8" fillId="7" borderId="5" xfId="1" applyFont="1" applyFill="1" applyBorder="1"/>
    <xf numFmtId="0" fontId="0" fillId="0" borderId="0" xfId="0" pivotButton="1"/>
    <xf numFmtId="164" fontId="0" fillId="0" borderId="0" xfId="0" applyNumberFormat="1"/>
    <xf numFmtId="0" fontId="0" fillId="8" borderId="0" xfId="0" applyFill="1"/>
    <xf numFmtId="0" fontId="3" fillId="0" borderId="7" xfId="1" applyBorder="1" applyAlignment="1">
      <alignment vertical="top"/>
    </xf>
    <xf numFmtId="0" fontId="1" fillId="5" borderId="0" xfId="0" applyFont="1" applyFill="1" applyAlignment="1">
      <alignment wrapText="1"/>
    </xf>
    <xf numFmtId="0" fontId="7" fillId="9" borderId="5" xfId="1" applyFont="1" applyFill="1" applyBorder="1"/>
    <xf numFmtId="0" fontId="3" fillId="9" borderId="6" xfId="1" applyFill="1" applyBorder="1"/>
    <xf numFmtId="4" fontId="3" fillId="9" borderId="6" xfId="1" applyNumberFormat="1" applyFill="1" applyBorder="1"/>
    <xf numFmtId="0" fontId="0" fillId="0" borderId="3" xfId="0" applyBorder="1" applyAlignment="1">
      <alignment wrapText="1"/>
    </xf>
    <xf numFmtId="0" fontId="1" fillId="0" borderId="0" xfId="0" applyFont="1" applyAlignment="1">
      <alignment wrapText="1"/>
    </xf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horizontal="center"/>
    </xf>
    <xf numFmtId="164" fontId="0" fillId="0" borderId="0" xfId="2" applyNumberFormat="1" applyFont="1" applyFill="1"/>
    <xf numFmtId="1" fontId="0" fillId="0" borderId="0" xfId="2" applyNumberFormat="1" applyFont="1" applyFill="1"/>
    <xf numFmtId="3" fontId="3" fillId="0" borderId="0" xfId="1" applyNumberFormat="1"/>
    <xf numFmtId="43" fontId="0" fillId="0" borderId="0" xfId="0" applyNumberFormat="1"/>
    <xf numFmtId="0" fontId="10" fillId="0" borderId="0" xfId="0" applyFont="1" applyAlignment="1">
      <alignment vertical="center"/>
    </xf>
    <xf numFmtId="164" fontId="10" fillId="0" borderId="0" xfId="0" applyNumberFormat="1" applyFont="1" applyAlignment="1">
      <alignment vertical="center"/>
    </xf>
    <xf numFmtId="0" fontId="5" fillId="3" borderId="1" xfId="1" applyFont="1" applyFill="1" applyBorder="1" applyAlignment="1">
      <alignment vertical="top"/>
    </xf>
    <xf numFmtId="0" fontId="5" fillId="3" borderId="2" xfId="1" applyFont="1" applyFill="1" applyBorder="1" applyAlignment="1">
      <alignment vertical="top"/>
    </xf>
    <xf numFmtId="0" fontId="5" fillId="3" borderId="3" xfId="1" applyFont="1" applyFill="1" applyBorder="1" applyAlignment="1">
      <alignment vertical="top"/>
    </xf>
    <xf numFmtId="0" fontId="5" fillId="3" borderId="4" xfId="1" applyFont="1" applyFill="1" applyBorder="1" applyAlignment="1">
      <alignment vertical="top"/>
    </xf>
  </cellXfs>
  <cellStyles count="3">
    <cellStyle name="Comma" xfId="2" builtinId="3"/>
    <cellStyle name="Normal" xfId="0" builtinId="0"/>
    <cellStyle name="Normal 2" xfId="1" xr:uid="{B709C06A-42FA-426B-B196-983D0307D8EF}"/>
  </cellStyles>
  <dxfs count="4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icholas uhorchak" id="{E6293415-C8D6-4C48-A35A-5D150AA40776}" userId="5e6b18ad1acc1266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tih Çengil" refreshedDate="45232.969675925924" createdVersion="8" refreshedVersion="8" minRefreshableVersion="3" recordCount="50" xr:uid="{F09026E1-13BF-4984-8877-A77ADA8009AB}">
  <cacheSource type="worksheet">
    <worksheetSource ref="A1:K51" sheet="Prod_capacity_agg"/>
  </cacheSource>
  <cacheFields count="11">
    <cacheField name="Producer" numFmtId="0">
      <sharedItems count="18">
        <s v="AJ_Vaccines"/>
        <s v="BB_NCIPD"/>
        <s v="Beijing_Institute"/>
        <s v="Bharat_Biotech"/>
        <s v="Bilthoven"/>
        <s v="Biological_E"/>
        <s v="Centro_de"/>
        <s v="GSK"/>
        <s v="Haffkine_Bio"/>
        <s v="Innovative Biotech"/>
        <s v="LG_Chem"/>
        <s v="Merck_Sharp"/>
        <s v="Panacea_Biotec"/>
        <s v="Pfizer"/>
        <s v="PT_Bio"/>
        <s v="Sanofi_Pasteur"/>
        <s v="Serum_Institute"/>
        <s v="Xiamen_Innovax"/>
      </sharedItems>
    </cacheField>
    <cacheField name="1" numFmtId="0">
      <sharedItems containsSemiMixedTypes="0" containsString="0" containsNumber="1" minValue="0" maxValue="215902618.06959575"/>
    </cacheField>
    <cacheField name="2" numFmtId="0">
      <sharedItems containsSemiMixedTypes="0" containsString="0" containsNumber="1" minValue="0" maxValue="196918397.69986716"/>
    </cacheField>
    <cacheField name="3" numFmtId="0">
      <sharedItems containsSemiMixedTypes="0" containsString="0" containsNumber="1" minValue="0" maxValue="198227095.11624569"/>
    </cacheField>
    <cacheField name="4" numFmtId="0">
      <sharedItems containsSemiMixedTypes="0" containsString="0" containsNumber="1" minValue="0" maxValue="186969555.75432724"/>
    </cacheField>
    <cacheField name="5" numFmtId="0">
      <sharedItems containsSemiMixedTypes="0" containsString="0" containsNumber="1" minValue="0" maxValue="188840526.82839212"/>
    </cacheField>
    <cacheField name="6" numFmtId="0">
      <sharedItems containsSemiMixedTypes="0" containsString="0" containsNumber="1" minValue="132.92279063042221" maxValue="241357744.3884052"/>
    </cacheField>
    <cacheField name="7" numFmtId="0">
      <sharedItems containsSemiMixedTypes="0" containsString="0" containsNumber="1" minValue="128.82918305378831" maxValue="189565938.42285609"/>
    </cacheField>
    <cacheField name="8" numFmtId="0">
      <sharedItems containsSemiMixedTypes="0" containsString="0" containsNumber="1" minValue="130.87598684210525" maxValue="245557787.33634999"/>
    </cacheField>
    <cacheField name="9" numFmtId="0">
      <sharedItems containsSemiMixedTypes="0" containsString="0" containsNumber="1" minValue="129.85258494794678" maxValue="190532747.06290975"/>
    </cacheField>
    <cacheField name="10" numFmtId="0">
      <sharedItems containsSemiMixedTypes="0" containsString="0" containsNumber="1" minValue="130.36428589502603" maxValue="203910767.490051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n v="12566857.027123008"/>
    <n v="16786645.072634533"/>
    <n v="19622738.721218631"/>
    <n v="19547910.688137654"/>
    <n v="19513740.32024017"/>
    <n v="19229065.34630207"/>
    <n v="19580656.360801902"/>
    <n v="19277437.283300642"/>
    <n v="19621091.640760202"/>
    <n v="19943396.373611137"/>
  </r>
  <r>
    <x v="1"/>
    <n v="675767.59996722266"/>
    <n v="641039.03857184667"/>
    <n v="642172.02359964885"/>
    <n v="643403.45900146326"/>
    <n v="272252.02996078425"/>
    <n v="276410.46588235296"/>
    <n v="280430.43905882351"/>
    <n v="284143.31043137249"/>
    <n v="287741.05788235296"/>
    <n v="290773.66321568622"/>
  </r>
  <r>
    <x v="1"/>
    <n v="22916000.80854011"/>
    <n v="25005510.819030747"/>
    <n v="25171694.617935959"/>
    <n v="23742165.810073297"/>
    <n v="23979749.438525982"/>
    <n v="23778735.116071638"/>
    <n v="24071865.196553152"/>
    <n v="23860728.270213004"/>
    <n v="24194634.547671076"/>
    <n v="24434145.304614648"/>
  </r>
  <r>
    <x v="1"/>
    <n v="663095.73231578956"/>
    <n v="666971.61835583078"/>
    <n v="677244.66920000012"/>
    <n v="648027.2883719299"/>
    <n v="656387.32683219819"/>
    <n v="664491.06015232205"/>
    <n v="629837.00125448918"/>
    <n v="634112.88690361194"/>
    <n v="639516.90872280707"/>
    <n v="645421.88133993803"/>
  </r>
  <r>
    <x v="2"/>
    <n v="7997891.8751373701"/>
    <n v="8579273.9918906316"/>
    <n v="8716868.0299270917"/>
    <n v="8393569.6817347892"/>
    <n v="8416919.6268051323"/>
    <n v="8100477.9874988934"/>
    <n v="8258698.8071520114"/>
    <n v="8179588.3973254524"/>
    <n v="8219143.6022387315"/>
    <n v="8199365.9997820929"/>
  </r>
  <r>
    <x v="3"/>
    <n v="26659639.583791237"/>
    <n v="28597579.97296878"/>
    <n v="29056226.766423646"/>
    <n v="27978565.605782636"/>
    <n v="28056398.756017111"/>
    <n v="27001593.29166298"/>
    <n v="27528996.023840044"/>
    <n v="27265294.657751512"/>
    <n v="27397145.340795778"/>
    <n v="27331219.999273647"/>
  </r>
  <r>
    <x v="3"/>
    <n v="9372372.9790105261"/>
    <n v="10947366.239788387"/>
    <n v="11429493.783821849"/>
    <n v="12256816.359953357"/>
    <n v="13002764.434845837"/>
    <n v="13527960.356590867"/>
    <n v="13784539.268500788"/>
    <n v="13639999.641757561"/>
    <n v="13788054.813323049"/>
    <n v="13932545.477990292"/>
  </r>
  <r>
    <x v="4"/>
    <n v="8377904.6847486729"/>
    <n v="11191096.71508969"/>
    <n v="13081825.814145755"/>
    <n v="13031940.458758438"/>
    <n v="13009160.213493448"/>
    <n v="12819376.897534715"/>
    <n v="13053770.90720127"/>
    <n v="12851624.855533762"/>
    <n v="13080727.760506803"/>
    <n v="13295597.582407426"/>
  </r>
  <r>
    <x v="5"/>
    <n v="82248616.407465041"/>
    <n v="56454212.36705222"/>
    <n v="69228245.962245733"/>
    <n v="62472587.406313032"/>
    <n v="66491023.87039607"/>
    <n v="91945807.38605912"/>
    <n v="59691517.719514787"/>
    <n v="93545823.747180954"/>
    <n v="69237661.745399028"/>
    <n v="77680292.377162561"/>
  </r>
  <r>
    <x v="5"/>
    <n v="18830225.288443211"/>
    <n v="19849761.558783047"/>
    <n v="19979593.390792638"/>
    <n v="18799448.570805367"/>
    <n v="18364583.903488208"/>
    <n v="17599569.449139744"/>
    <n v="17635775.197586205"/>
    <n v="17567628.364"/>
    <n v="17523783.339586206"/>
    <n v="17477558.005448274"/>
  </r>
  <r>
    <x v="5"/>
    <n v="59057036.736497447"/>
    <n v="64524263.438734949"/>
    <n v="65595391.009341031"/>
    <n v="62577177.971128061"/>
    <n v="62642628.257804386"/>
    <n v="61631182.345408469"/>
    <n v="62341707.950979054"/>
    <n v="61766782.559826747"/>
    <n v="62525181.911871448"/>
    <n v="63212725.230055898"/>
  </r>
  <r>
    <x v="6"/>
    <n v="30581.467053209944"/>
    <n v="25617.592647484089"/>
    <n v="20774.27764459225"/>
    <n v="116.82515326778481"/>
    <n v="124.7355754771544"/>
    <n v="132.92279063042221"/>
    <n v="128.82918305378831"/>
    <n v="130.87598684210525"/>
    <n v="129.85258494794678"/>
    <n v="130.36428589502603"/>
  </r>
  <r>
    <x v="7"/>
    <n v="69315062.917857215"/>
    <n v="74353707.929718822"/>
    <n v="75546189.59270148"/>
    <n v="72744270.575034857"/>
    <n v="72946636.765644491"/>
    <n v="70204142.558323756"/>
    <n v="71575389.661984116"/>
    <n v="70889766.110153928"/>
    <n v="71232577.886069015"/>
    <n v="71061171.998111486"/>
  </r>
  <r>
    <x v="7"/>
    <n v="13464366.893311849"/>
    <n v="13316610.175113982"/>
    <n v="19471619.780264311"/>
    <n v="51656909.241703324"/>
    <n v="65711883.688696265"/>
    <n v="45880857.7386254"/>
    <n v="29949854.769684635"/>
    <n v="30043071.521664582"/>
    <n v="23917967.414588474"/>
    <n v="24845513.725797206"/>
  </r>
  <r>
    <x v="7"/>
    <n v="33676855.341476761"/>
    <n v="39336128.646732755"/>
    <n v="41068511.640123874"/>
    <n v="44041251.071163908"/>
    <n v="46721595.255786747"/>
    <n v="48608731.749623574"/>
    <n v="49530672.321068496"/>
    <n v="49011311.844074696"/>
    <n v="49543304.393510647"/>
    <n v="50062488.939739235"/>
  </r>
  <r>
    <x v="7"/>
    <n v="49987898.528865829"/>
    <n v="58131395.231986806"/>
    <n v="65023177.441798247"/>
    <n v="64019996.807927258"/>
    <n v="68701759.971301585"/>
    <n v="68113567.794233501"/>
    <n v="69097325.317643315"/>
    <n v="67563014.619991347"/>
    <n v="68007247.001834854"/>
    <n v="68464125.896900132"/>
  </r>
  <r>
    <x v="7"/>
    <n v="6849667.9757668339"/>
    <n v="7000648.6415283009"/>
    <n v="6779538.7080024509"/>
    <n v="6643523.0637047403"/>
    <n v="6188180.2448286749"/>
    <n v="4260749.8200949151"/>
    <n v="4903596.1027846169"/>
    <n v="2342531.7887830962"/>
    <n v="2818111.9203706598"/>
    <n v="3412103.5325395376"/>
  </r>
  <r>
    <x v="8"/>
    <n v="7997891.8751373701"/>
    <n v="8579273.9918906316"/>
    <n v="8716868.0299270917"/>
    <n v="8393569.6817347892"/>
    <n v="8416919.6268051323"/>
    <n v="8100477.9874988934"/>
    <n v="8258698.8071520114"/>
    <n v="8179588.3973254524"/>
    <n v="8219143.6022387315"/>
    <n v="8199365.9997820929"/>
  </r>
  <r>
    <x v="9"/>
    <n v="0"/>
    <n v="0"/>
    <n v="0"/>
    <n v="0"/>
    <n v="0"/>
    <n v="1764648.3745625152"/>
    <n v="1151917.4911417167"/>
    <n v="1155502.7508332531"/>
    <n v="919921.8236380181"/>
    <n v="955596.68176143104"/>
  </r>
  <r>
    <x v="10"/>
    <n v="19685678.912165817"/>
    <n v="21508087.812911652"/>
    <n v="21865130.336447015"/>
    <n v="20859059.323709358"/>
    <n v="20880876.085934799"/>
    <n v="20543727.448469494"/>
    <n v="20780569.31699302"/>
    <n v="20588927.519942254"/>
    <n v="20841727.303957153"/>
    <n v="21070908.410018638"/>
  </r>
  <r>
    <x v="10"/>
    <n v="33511618.738994692"/>
    <n v="44764386.86035876"/>
    <n v="52327303.25658302"/>
    <n v="52127761.835033752"/>
    <n v="52036640.853973791"/>
    <n v="51277507.59013886"/>
    <n v="52215083.628805079"/>
    <n v="51406499.422135048"/>
    <n v="52322911.042027213"/>
    <n v="53182390.329629704"/>
  </r>
  <r>
    <x v="10"/>
    <n v="7374964.2094078707"/>
    <n v="8282505.0060667126"/>
    <n v="8793756.8126885407"/>
    <n v="8285153.8339638226"/>
    <n v="8185998.2883602642"/>
    <n v="7975400.0371223092"/>
    <n v="8078782.1709369877"/>
    <n v="7910079.5446315762"/>
    <n v="8005300.6904625613"/>
    <n v="8050860.485618975"/>
  </r>
  <r>
    <x v="11"/>
    <n v="3107161.590764272"/>
    <n v="3073063.8865647642"/>
    <n v="4493450.7185225328"/>
    <n v="11920825.209623842"/>
    <n v="15164280.851237595"/>
    <n v="10587890.24737509"/>
    <n v="6911504.9468502989"/>
    <n v="6933016.5049995175"/>
    <n v="5519530.9418281084"/>
    <n v="5733580.0905685853"/>
  </r>
  <r>
    <x v="12"/>
    <n v="9842839.4560829084"/>
    <n v="10754043.906455826"/>
    <n v="10932565.168223508"/>
    <n v="10429529.661854679"/>
    <n v="10440438.0429674"/>
    <n v="10271863.724234747"/>
    <n v="10390284.65849651"/>
    <n v="10294463.759971127"/>
    <n v="10420863.651978577"/>
    <n v="10535454.205009319"/>
  </r>
  <r>
    <x v="12"/>
    <n v="10663855.833516495"/>
    <n v="11439031.989187513"/>
    <n v="11622490.706569457"/>
    <n v="11191426.242313053"/>
    <n v="11222559.502406845"/>
    <n v="10800637.316665193"/>
    <n v="11011598.409536017"/>
    <n v="10906117.863100605"/>
    <n v="10958858.136318311"/>
    <n v="10932487.999709459"/>
  </r>
  <r>
    <x v="13"/>
    <n v="5767834.4456383651"/>
    <n v="6707468.6806138624"/>
    <n v="7502674.3202074906"/>
    <n v="7386922.7086069919"/>
    <n v="7927126.1505347984"/>
    <n v="7859257.8224115577"/>
    <n v="7972768.3058819221"/>
    <n v="7795732.456152847"/>
    <n v="7846990.0386732519"/>
    <n v="7899706.834257707"/>
  </r>
  <r>
    <x v="14"/>
    <n v="37323495.417307734"/>
    <n v="40036611.962156288"/>
    <n v="40678717.472993106"/>
    <n v="39169991.848095685"/>
    <n v="39278958.258423954"/>
    <n v="37802230.608328171"/>
    <n v="38540594.433376059"/>
    <n v="38171412.520852119"/>
    <n v="38356003.477114089"/>
    <n v="38263707.998983108"/>
  </r>
  <r>
    <x v="14"/>
    <n v="2418084.364583971"/>
    <n v="6209872.5667232042"/>
    <n v="2871457.5014351192"/>
    <n v="3485962.5853742929"/>
    <n v="3656898.4127700785"/>
    <n v="3427685.9273066977"/>
    <n v="3253871.3244933011"/>
    <n v="3407584.9481842094"/>
    <n v="3581123.7935296642"/>
    <n v="3749479.9648090904"/>
  </r>
  <r>
    <x v="14"/>
    <n v="1182593.2999426399"/>
    <n v="1121818.3175007319"/>
    <n v="1123801.0412993857"/>
    <n v="1125956.053252561"/>
    <n v="476441.05243137258"/>
    <n v="483718.31529411772"/>
    <n v="490753.26835294126"/>
    <n v="497250.79325490195"/>
    <n v="503546.85129411775"/>
    <n v="508853.91062745103"/>
  </r>
  <r>
    <x v="14"/>
    <n v="40103001.4149452"/>
    <n v="43759643.933303818"/>
    <n v="44050465.581387937"/>
    <n v="41548790.167628273"/>
    <n v="41964561.517420478"/>
    <n v="41612786.453125373"/>
    <n v="42125764.093968019"/>
    <n v="41756274.472872764"/>
    <n v="42340610.458424389"/>
    <n v="42759754.283075638"/>
  </r>
  <r>
    <x v="14"/>
    <n v="1160417.5315526319"/>
    <n v="1167200.332122704"/>
    <n v="1185178.1711000004"/>
    <n v="1134047.7546508776"/>
    <n v="1148677.821956347"/>
    <n v="1162859.3552665638"/>
    <n v="1102214.7521953564"/>
    <n v="1109697.5520813211"/>
    <n v="1119154.5902649125"/>
    <n v="1129488.2923448917"/>
  </r>
  <r>
    <x v="14"/>
    <n v="34449938.096290179"/>
    <n v="37639153.672595389"/>
    <n v="38263978.088782273"/>
    <n v="36503353.816491373"/>
    <n v="36541533.150385894"/>
    <n v="35951523.034821615"/>
    <n v="36365996.304737784"/>
    <n v="36030623.159898944"/>
    <n v="36473022.781925015"/>
    <n v="36874089.717532612"/>
  </r>
  <r>
    <x v="15"/>
    <n v="37700571.081369027"/>
    <n v="50359935.217903607"/>
    <n v="58868216.163655899"/>
    <n v="58643732.064412974"/>
    <n v="58541220.960720517"/>
    <n v="57687196.038906217"/>
    <n v="58741969.082405709"/>
    <n v="57832311.849901937"/>
    <n v="58863274.922280617"/>
    <n v="59830189.120833419"/>
  </r>
  <r>
    <x v="15"/>
    <n v="66649098.959478103"/>
    <n v="71493949.932421952"/>
    <n v="72640566.916059121"/>
    <n v="69946414.014456585"/>
    <n v="70140996.890042782"/>
    <n v="67503983.229157463"/>
    <n v="68822490.059600115"/>
    <n v="68163236.644378781"/>
    <n v="68492863.351989448"/>
    <n v="68328049.998184115"/>
  </r>
  <r>
    <x v="15"/>
    <n v="254845.55877674953"/>
    <n v="213479.9387290341"/>
    <n v="173118.98037160208"/>
    <n v="973.54294389820689"/>
    <n v="1039.4631289762867"/>
    <n v="1107.689921920185"/>
    <n v="1073.576525448236"/>
    <n v="1090.6332236842106"/>
    <n v="1082.1048745662231"/>
    <n v="1086.3690491252169"/>
  </r>
  <r>
    <x v="16"/>
    <n v="16597272.402819633"/>
    <n v="16963110.169857033"/>
    <n v="16427343.792467473"/>
    <n v="16097767.423592251"/>
    <n v="14994436.747084863"/>
    <n v="10324124.564076139"/>
    <n v="11881790.556747338"/>
    <n v="5676134.7189744245"/>
    <n v="6828501.9608981358"/>
    <n v="8267789.3288458008"/>
  </r>
  <r>
    <x v="16"/>
    <n v="10881379.640627872"/>
    <n v="27944426.550254427"/>
    <n v="12921558.75645804"/>
    <n v="15686831.634184323"/>
    <n v="16456042.857465358"/>
    <n v="15424586.672880145"/>
    <n v="14642420.96021986"/>
    <n v="15334132.266828949"/>
    <n v="16115057.070883494"/>
    <n v="16872659.841640912"/>
  </r>
  <r>
    <x v="16"/>
    <n v="215902618.06959575"/>
    <n v="148192307.46351206"/>
    <n v="181724145.65089503"/>
    <n v="163990541.94157171"/>
    <n v="174538937.65978968"/>
    <n v="241357744.3884052"/>
    <n v="156690234.01372632"/>
    <n v="245557787.33634999"/>
    <n v="181748862.08167243"/>
    <n v="203910767.49005172"/>
  </r>
  <r>
    <x v="16"/>
    <n v="5321669.8497418789"/>
    <n v="5048182.4287532931"/>
    <n v="5057104.6858472349"/>
    <n v="5066802.2396365236"/>
    <n v="2143984.7359411763"/>
    <n v="2176732.4188235295"/>
    <n v="2208389.7075882354"/>
    <n v="2237628.5696470584"/>
    <n v="2265960.8308235295"/>
    <n v="2289842.5978235295"/>
  </r>
  <r>
    <x v="16"/>
    <n v="180463506.36725339"/>
    <n v="196918397.69986716"/>
    <n v="198227095.11624569"/>
    <n v="186969555.75432724"/>
    <n v="188840526.82839212"/>
    <n v="187257539.03906417"/>
    <n v="189565938.42285609"/>
    <n v="187903235.12792742"/>
    <n v="190532747.06290975"/>
    <n v="192418894.27384037"/>
  </r>
  <r>
    <x v="16"/>
    <n v="5221878.8919868432"/>
    <n v="5252401.4945521681"/>
    <n v="5333301.7699500006"/>
    <n v="5103214.8959289482"/>
    <n v="5169050.1988035608"/>
    <n v="5232867.0986995362"/>
    <n v="4959966.3848791029"/>
    <n v="4993638.9843659448"/>
    <n v="5036195.6561921053"/>
    <n v="5082697.3155520121"/>
  </r>
  <r>
    <x v="16"/>
    <n v="49429341.382163428"/>
    <n v="52105624.091805495"/>
    <n v="52446432.650830671"/>
    <n v="49348552.498364091"/>
    <n v="48207032.746656545"/>
    <n v="46198869.803991832"/>
    <n v="46293909.893663786"/>
    <n v="46115024.455499999"/>
    <n v="45999931.266413793"/>
    <n v="45878589.764301717"/>
  </r>
  <r>
    <x v="16"/>
    <n v="5826576.9305263162"/>
    <n v="5816636.375"/>
    <n v="5854584.8755263165"/>
    <n v="5896821.9957894739"/>
    <n v="5926170.5989473686"/>
    <n v="5954082.8915789481"/>
    <n v="5991783.4488157891"/>
    <n v="6035049.5778947361"/>
    <n v="6086680.1910526324"/>
    <n v="6145863.4007894751"/>
  </r>
  <r>
    <x v="16"/>
    <n v="155024721.43330583"/>
    <n v="169376191.52667928"/>
    <n v="172187901.39952025"/>
    <n v="164265092.17421117"/>
    <n v="164436899.17673653"/>
    <n v="161781853.65669727"/>
    <n v="163646983.37132004"/>
    <n v="162137804.21954525"/>
    <n v="164128602.51866257"/>
    <n v="165933403.72889677"/>
  </r>
  <r>
    <x v="16"/>
    <n v="167955729.37788481"/>
    <n v="180164753.82970333"/>
    <n v="183054228.62846896"/>
    <n v="176264963.3164306"/>
    <n v="176755312.16290781"/>
    <n v="170110037.7374768"/>
    <n v="173432674.95019227"/>
    <n v="171771356.34383455"/>
    <n v="172602015.6470134"/>
    <n v="172186685.99542397"/>
  </r>
  <r>
    <x v="16"/>
    <n v="58077843.149087004"/>
    <n v="65224726.922775388"/>
    <n v="69250834.899922282"/>
    <n v="65245586.442465127"/>
    <n v="64464736.520837106"/>
    <n v="62806275.292338207"/>
    <n v="63620409.596128806"/>
    <n v="62291876.413973682"/>
    <n v="63041742.937392697"/>
    <n v="63400526.324249454"/>
  </r>
  <r>
    <x v="16"/>
    <n v="642210.80811740889"/>
    <n v="537969.44559716596"/>
    <n v="436259.83053643728"/>
    <n v="2453.3282186234815"/>
    <n v="2619.4470850202429"/>
    <n v="2791.3786032388666"/>
    <n v="2705.4128441295547"/>
    <n v="2748.3957236842107"/>
    <n v="2726.9042839068825"/>
    <n v="2737.650003795547"/>
  </r>
  <r>
    <x v="16"/>
    <n v="81601611.019732162"/>
    <n v="95314465.56708321"/>
    <n v="99512162.820300162"/>
    <n v="106715339.13397409"/>
    <n v="113210019.27363713"/>
    <n v="117782696.16254944"/>
    <n v="120016629.08566597"/>
    <n v="118758178.69910409"/>
    <n v="120047237.5688912"/>
    <n v="121305261.66167584"/>
  </r>
  <r>
    <x v="16"/>
    <n v="121124523.35840566"/>
    <n v="140856842.29289109"/>
    <n v="157556160.72435731"/>
    <n v="155125376.88074681"/>
    <n v="166469649.16123077"/>
    <n v="165044414.2706427"/>
    <n v="167428134.42352036"/>
    <n v="163710381.57920977"/>
    <n v="164786790.81213829"/>
    <n v="165893843.51941183"/>
  </r>
  <r>
    <x v="17"/>
    <n v="517860.26512737875"/>
    <n v="512177.31442746078"/>
    <n v="748908.45308708877"/>
    <n v="1986804.2016039738"/>
    <n v="2527380.1418729327"/>
    <n v="1764648.3745625152"/>
    <n v="1151917.4911417165"/>
    <n v="1155502.7508332529"/>
    <n v="919921.82363801799"/>
    <n v="955596.681761430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5A2301-B56D-4CF8-964C-AEC6E5E6111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3:W22" firstHeaderRow="0" firstDataRow="1" firstDataCol="1"/>
  <pivotFields count="11"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um of 1" fld="1" baseField="0" baseItem="0"/>
    <dataField name="Sum of 2" fld="2" baseField="0" baseItem="0"/>
    <dataField name="Sum of 3" fld="3" baseField="0" baseItem="0"/>
    <dataField name="Sum of 4" fld="4" baseField="0" baseItem="0"/>
    <dataField name="Sum of 5" fld="5" baseField="0" baseItem="0"/>
    <dataField name="Sum of 6" fld="6" baseField="0" baseItem="0"/>
    <dataField name="Sum of 7" fld="7" baseField="0" baseItem="0"/>
    <dataField name="Sum of 8" fld="8" baseField="0" baseItem="0"/>
    <dataField name="Sum of 9" fld="9" baseField="0" baseItem="0"/>
    <dataField name="Sum of 10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" dT="2023-11-02T14:14:51.18" personId="{E6293415-C8D6-4C48-A35A-5D150AA40776}" id="{650C5273-0796-4B0C-9029-487A047481E4}">
    <text>Nigerian company, added for sensitivity. Numbers are synthetic, and represent possible scenario near the end of the decade</text>
  </threadedComment>
  <threadedComment ref="F4" dT="2023-09-28T18:44:41.91" personId="{E6293415-C8D6-4C48-A35A-5D150AA40776}" id="{A449FE3D-354F-4320-8634-EB58B9F79095}">
    <text>Pricing data not available</text>
  </threadedComment>
  <threadedComment ref="A12" dT="2023-10-05T18:23:31.22" personId="{E6293415-C8D6-4C48-A35A-5D150AA40776}" id="{14C627C8-5A45-45BF-AE56-45724935EA3E}">
    <text>PRICE DATA NOT AVAILABLE YET</text>
  </threadedComment>
  <threadedComment ref="G13" dT="2023-10-05T17:12:10.01" personId="{E6293415-C8D6-4C48-A35A-5D150AA40776}" id="{116FFB67-439E-478A-BCEB-3EABAD153A6C}">
    <text>No data beyond 2016, removed from price list;
Countries listed not GAVT countries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213" dT="2023-10-25T01:14:44.68" personId="{E6293415-C8D6-4C48-A35A-5D150AA40776}" id="{6CAE4649-0194-466D-8026-460AD20BCA63}">
    <text>DTaP removed due to phase out</text>
  </threadedComment>
  <threadedComment ref="B219" dT="2023-10-25T01:41:54.83" personId="{E6293415-C8D6-4C48-A35A-5D150AA40776}" id="{B2DD65A9-F0E8-4BCF-BFF0-4845B3C2527D}">
    <text>Average across all</text>
  </threadedComment>
  <threadedComment ref="B222" dT="2023-10-25T01:41:54.83" personId="{E6293415-C8D6-4C48-A35A-5D150AA40776}" id="{8E229D49-F9BB-4443-A642-4C296846BFCC}">
    <text>Average across all</text>
  </threadedComment>
  <threadedComment ref="A251" dT="2023-10-25T01:14:44.68" personId="{E6293415-C8D6-4C48-A35A-5D150AA40776}" id="{5C1EDFAD-5AB7-468F-976A-8C0E28C6B70D}">
    <text>DTaP removed due to phase out</text>
  </threadedComment>
  <threadedComment ref="I268" dT="2023-10-30T13:42:00.03" personId="{E6293415-C8D6-4C48-A35A-5D150AA40776}" id="{536B0C6E-E319-4703-9B53-DAF82190CD5B}">
    <text>2 period MA for missing data</text>
  </threadedComment>
  <threadedComment ref="A281" dT="2023-11-02T14:14:51.18" personId="{E6293415-C8D6-4C48-A35A-5D150AA40776}" id="{EB818986-AF42-4397-82FB-2DF1B29BDE64}">
    <text>Nigerian company, added for sensitivity. Numbers are synthetic, and represent possible scenario near the end of the decade</text>
  </threadedComment>
  <threadedComment ref="I285" dT="2023-10-30T13:41:26.16" personId="{E6293415-C8D6-4C48-A35A-5D150AA40776}" id="{67C96ADF-AD13-4A40-9115-06FF454E7D53}">
    <text>2 period MA for missing data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20" dT="2023-11-02T14:14:51.18" personId="{E6293415-C8D6-4C48-A35A-5D150AA40776}" id="{C1098999-8042-465E-9ACB-457F7828CEE0}">
    <text>Nigerian company, added for sensitivity. Numbers are synthetic, and represent possible scenario near the end of the decade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ivotTable" Target="../pivotTables/pivotTable1.xml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94F37-B2B5-4F9D-9ACD-67519624FADB}">
  <dimension ref="A1:T54"/>
  <sheetViews>
    <sheetView zoomScale="79" zoomScaleNormal="100" workbookViewId="0">
      <selection activeCell="B12" sqref="B12"/>
    </sheetView>
  </sheetViews>
  <sheetFormatPr defaultRowHeight="15" x14ac:dyDescent="0.25"/>
  <cols>
    <col min="1" max="1" width="91.140625" customWidth="1"/>
    <col min="2" max="18" width="15.7109375" customWidth="1"/>
    <col min="20" max="20" width="11.28515625" customWidth="1"/>
  </cols>
  <sheetData>
    <row r="1" spans="1:20" ht="60" x14ac:dyDescent="0.25">
      <c r="A1" s="9" t="s">
        <v>0</v>
      </c>
      <c r="B1" s="10" t="s">
        <v>75</v>
      </c>
      <c r="C1" s="10" t="s">
        <v>76</v>
      </c>
      <c r="D1" s="10" t="s">
        <v>77</v>
      </c>
      <c r="E1" s="10" t="s">
        <v>78</v>
      </c>
      <c r="F1" s="10" t="s">
        <v>79</v>
      </c>
      <c r="G1" s="10" t="s">
        <v>80</v>
      </c>
      <c r="H1" s="10" t="s">
        <v>81</v>
      </c>
      <c r="I1" s="10" t="s">
        <v>82</v>
      </c>
      <c r="J1" s="10" t="s">
        <v>83</v>
      </c>
      <c r="K1" s="10" t="s">
        <v>84</v>
      </c>
      <c r="L1" s="10" t="s">
        <v>85</v>
      </c>
      <c r="M1" s="10" t="s">
        <v>86</v>
      </c>
      <c r="N1" s="10" t="s">
        <v>87</v>
      </c>
      <c r="O1" s="10" t="s">
        <v>88</v>
      </c>
      <c r="P1" s="10" t="s">
        <v>89</v>
      </c>
      <c r="Q1" s="10" t="s">
        <v>90</v>
      </c>
      <c r="R1" s="10" t="s">
        <v>91</v>
      </c>
      <c r="S1" s="32" t="s">
        <v>156</v>
      </c>
      <c r="T1" s="33" t="s">
        <v>154</v>
      </c>
    </row>
    <row r="2" spans="1:20" x14ac:dyDescent="0.25">
      <c r="A2" s="11" t="s">
        <v>43</v>
      </c>
      <c r="B2" s="10">
        <v>1</v>
      </c>
      <c r="C2" s="10">
        <v>1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34"/>
      <c r="T2" s="34"/>
    </row>
    <row r="3" spans="1:20" x14ac:dyDescent="0.25">
      <c r="A3" s="11" t="s">
        <v>92</v>
      </c>
      <c r="B3" s="10">
        <v>1</v>
      </c>
      <c r="C3" s="10"/>
      <c r="D3" s="10"/>
      <c r="E3" s="10">
        <v>1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34"/>
      <c r="T3" s="34"/>
    </row>
    <row r="4" spans="1:20" x14ac:dyDescent="0.25">
      <c r="A4" s="11" t="s">
        <v>93</v>
      </c>
      <c r="B4" s="10">
        <v>1</v>
      </c>
      <c r="C4" s="10"/>
      <c r="D4" s="10">
        <v>1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34"/>
      <c r="T4" s="34"/>
    </row>
    <row r="5" spans="1:20" x14ac:dyDescent="0.25">
      <c r="A5" s="11" t="s">
        <v>94</v>
      </c>
      <c r="B5" s="10">
        <v>1</v>
      </c>
      <c r="C5" s="10">
        <v>1</v>
      </c>
      <c r="D5" s="10"/>
      <c r="E5" s="10"/>
      <c r="F5" s="10"/>
      <c r="G5" s="10"/>
      <c r="H5" s="10">
        <v>1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34"/>
      <c r="T5" s="34"/>
    </row>
    <row r="6" spans="1:20" x14ac:dyDescent="0.25">
      <c r="A6" s="11" t="s">
        <v>95</v>
      </c>
      <c r="B6" s="10">
        <v>1</v>
      </c>
      <c r="C6" s="10">
        <v>1</v>
      </c>
      <c r="D6" s="10"/>
      <c r="E6" s="10"/>
      <c r="F6" s="10"/>
      <c r="G6" s="10"/>
      <c r="H6" s="10">
        <v>1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34"/>
      <c r="T6" s="34"/>
    </row>
    <row r="7" spans="1:20" x14ac:dyDescent="0.25">
      <c r="A7" s="11" t="s">
        <v>96</v>
      </c>
      <c r="B7" s="10">
        <v>1</v>
      </c>
      <c r="C7" s="10">
        <v>1</v>
      </c>
      <c r="D7" s="10"/>
      <c r="E7" s="10"/>
      <c r="F7" s="10"/>
      <c r="G7" s="10"/>
      <c r="H7" s="10">
        <v>1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34"/>
      <c r="T7" s="34"/>
    </row>
    <row r="8" spans="1:20" x14ac:dyDescent="0.25">
      <c r="A8" s="11" t="s">
        <v>157</v>
      </c>
      <c r="B8" s="10">
        <v>1</v>
      </c>
      <c r="C8" s="10">
        <v>1</v>
      </c>
      <c r="D8" s="10"/>
      <c r="E8" s="10">
        <v>1</v>
      </c>
      <c r="F8" s="10"/>
      <c r="G8" s="10">
        <v>1</v>
      </c>
      <c r="H8" s="10">
        <v>1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34"/>
      <c r="T8" s="34"/>
    </row>
    <row r="9" spans="1:20" x14ac:dyDescent="0.25">
      <c r="A9" s="11" t="s">
        <v>97</v>
      </c>
      <c r="B9" s="10">
        <v>1</v>
      </c>
      <c r="C9" s="10"/>
      <c r="D9" s="10"/>
      <c r="E9" s="10">
        <v>1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34"/>
      <c r="T9" s="34"/>
    </row>
    <row r="10" spans="1:20" x14ac:dyDescent="0.25">
      <c r="A10" s="11" t="s">
        <v>98</v>
      </c>
      <c r="B10" s="10">
        <v>1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34"/>
      <c r="T10" s="34"/>
    </row>
    <row r="11" spans="1:20" x14ac:dyDescent="0.25">
      <c r="A11" s="11" t="s">
        <v>99</v>
      </c>
      <c r="B11" s="10">
        <v>1</v>
      </c>
      <c r="C11" s="10">
        <v>1</v>
      </c>
      <c r="D11" s="10"/>
      <c r="E11" s="10">
        <v>1</v>
      </c>
      <c r="F11" s="10"/>
      <c r="G11" s="10"/>
      <c r="H11" s="10"/>
      <c r="I11" s="10">
        <v>1</v>
      </c>
      <c r="J11" s="10">
        <v>1</v>
      </c>
      <c r="K11" s="10"/>
      <c r="L11" s="10"/>
      <c r="M11" s="10"/>
      <c r="N11" s="10"/>
      <c r="O11" s="10"/>
      <c r="P11" s="10"/>
      <c r="Q11" s="10"/>
      <c r="R11" s="10"/>
      <c r="S11" s="34"/>
      <c r="T11" s="34"/>
    </row>
    <row r="12" spans="1:20" x14ac:dyDescent="0.25">
      <c r="A12" s="12" t="s">
        <v>100</v>
      </c>
      <c r="B12" s="10"/>
      <c r="C12" s="10"/>
      <c r="D12" s="10"/>
      <c r="E12" s="10"/>
      <c r="F12" s="10"/>
      <c r="G12" s="10">
        <v>1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34"/>
      <c r="T12" s="34"/>
    </row>
    <row r="13" spans="1:20" x14ac:dyDescent="0.25">
      <c r="A13" s="11" t="s">
        <v>101</v>
      </c>
      <c r="B13" s="10"/>
      <c r="C13" s="10"/>
      <c r="D13" s="10"/>
      <c r="E13" s="10"/>
      <c r="F13" s="10"/>
      <c r="G13" s="10"/>
      <c r="H13" s="10"/>
      <c r="I13" s="10">
        <v>1</v>
      </c>
      <c r="J13" s="10"/>
      <c r="K13" s="10">
        <v>1</v>
      </c>
      <c r="L13" s="10">
        <v>1</v>
      </c>
      <c r="M13" s="10">
        <v>1</v>
      </c>
      <c r="N13" s="10"/>
      <c r="O13" s="10"/>
      <c r="P13" s="10"/>
      <c r="Q13" s="10"/>
      <c r="R13" s="10"/>
      <c r="S13" s="34"/>
      <c r="T13" s="34"/>
    </row>
    <row r="14" spans="1:20" x14ac:dyDescent="0.25">
      <c r="A14" s="11" t="s">
        <v>102</v>
      </c>
      <c r="B14" s="10">
        <v>1</v>
      </c>
      <c r="C14" s="10">
        <v>1</v>
      </c>
      <c r="D14" s="10">
        <v>1</v>
      </c>
      <c r="E14" s="10"/>
      <c r="F14" s="10"/>
      <c r="G14" s="10">
        <v>1</v>
      </c>
      <c r="H14" s="10"/>
      <c r="I14" s="10"/>
      <c r="J14" s="10">
        <v>1</v>
      </c>
      <c r="K14" s="10"/>
      <c r="L14" s="10"/>
      <c r="M14" s="10"/>
      <c r="N14" s="10">
        <v>1</v>
      </c>
      <c r="O14" s="10">
        <v>1</v>
      </c>
      <c r="P14" s="10">
        <v>1</v>
      </c>
      <c r="Q14" s="10"/>
      <c r="R14" s="10"/>
      <c r="S14" s="34"/>
      <c r="T14" s="34"/>
    </row>
    <row r="15" spans="1:20" x14ac:dyDescent="0.25">
      <c r="A15" s="11" t="s">
        <v>103</v>
      </c>
      <c r="B15" s="10"/>
      <c r="C15" s="10"/>
      <c r="D15" s="10">
        <v>1</v>
      </c>
      <c r="E15" s="10"/>
      <c r="F15" s="10">
        <v>1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>
        <v>1</v>
      </c>
      <c r="R15" s="10"/>
      <c r="S15" s="34"/>
      <c r="T15" s="35">
        <v>1</v>
      </c>
    </row>
    <row r="16" spans="1:20" x14ac:dyDescent="0.25">
      <c r="A16" s="11" t="s">
        <v>104</v>
      </c>
      <c r="B16" s="10">
        <v>1</v>
      </c>
      <c r="C16" s="10"/>
      <c r="D16" s="10"/>
      <c r="E16" s="10"/>
      <c r="F16" s="10"/>
      <c r="G16" s="10"/>
      <c r="H16" s="10"/>
      <c r="I16" s="10">
        <v>1</v>
      </c>
      <c r="J16" s="10"/>
      <c r="K16" s="10"/>
      <c r="L16" s="10"/>
      <c r="M16" s="10"/>
      <c r="N16" s="10"/>
      <c r="O16" s="10"/>
      <c r="P16" s="10"/>
      <c r="Q16" s="10"/>
      <c r="R16" s="10"/>
      <c r="S16" s="34"/>
      <c r="T16" s="34"/>
    </row>
    <row r="17" spans="1:20" x14ac:dyDescent="0.25">
      <c r="A17" s="11" t="s">
        <v>105</v>
      </c>
      <c r="B17" s="10">
        <v>1</v>
      </c>
      <c r="C17" s="10"/>
      <c r="D17" s="10"/>
      <c r="E17" s="10"/>
      <c r="F17" s="10"/>
      <c r="G17" s="10">
        <v>1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>
        <v>1</v>
      </c>
      <c r="S17" s="34"/>
      <c r="T17" s="34"/>
    </row>
    <row r="18" spans="1:20" x14ac:dyDescent="0.25">
      <c r="A18" s="12" t="s">
        <v>158</v>
      </c>
      <c r="B18" s="10">
        <v>1</v>
      </c>
      <c r="C18" s="10"/>
      <c r="D18" s="10">
        <v>1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>
        <v>1</v>
      </c>
      <c r="P18" s="10"/>
      <c r="Q18" s="10"/>
      <c r="R18" s="10"/>
      <c r="S18" s="10"/>
      <c r="T18" s="10"/>
    </row>
    <row r="19" spans="1:20" x14ac:dyDescent="0.25">
      <c r="A19" s="11" t="s">
        <v>155</v>
      </c>
      <c r="B19" s="10">
        <v>1</v>
      </c>
      <c r="C19" s="10"/>
      <c r="D19" s="10">
        <v>1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v>1</v>
      </c>
      <c r="T19" s="10"/>
    </row>
    <row r="20" spans="1:20" x14ac:dyDescent="0.25">
      <c r="A20" s="14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spans="1:20" x14ac:dyDescent="0.25"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spans="1:20" x14ac:dyDescent="0.25"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 spans="1:20" x14ac:dyDescent="0.25"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</row>
    <row r="24" spans="1:20" x14ac:dyDescent="0.25"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</row>
    <row r="25" spans="1:20" x14ac:dyDescent="0.25"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</row>
    <row r="26" spans="1:20" x14ac:dyDescent="0.25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</row>
    <row r="27" spans="1:20" x14ac:dyDescent="0.25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</row>
    <row r="28" spans="1:20" x14ac:dyDescent="0.25"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</row>
    <row r="29" spans="1:20" x14ac:dyDescent="0.25"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</row>
    <row r="30" spans="1:20" x14ac:dyDescent="0.25"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</row>
    <row r="31" spans="1:20" x14ac:dyDescent="0.25"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</row>
    <row r="32" spans="1:20" x14ac:dyDescent="0.25"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</row>
    <row r="33" spans="2:18" x14ac:dyDescent="0.25"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</row>
    <row r="34" spans="2:18" x14ac:dyDescent="0.25"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</row>
    <row r="35" spans="2:18" x14ac:dyDescent="0.25"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</row>
    <row r="36" spans="2:18" x14ac:dyDescent="0.25"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</row>
    <row r="37" spans="2:18" x14ac:dyDescent="0.25"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</row>
    <row r="38" spans="2:18" x14ac:dyDescent="0.25"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</row>
    <row r="39" spans="2:18" x14ac:dyDescent="0.25"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</row>
    <row r="40" spans="2:18" x14ac:dyDescent="0.25"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</row>
    <row r="41" spans="2:18" x14ac:dyDescent="0.25"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</row>
    <row r="42" spans="2:18" x14ac:dyDescent="0.25"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</row>
    <row r="43" spans="2:18" x14ac:dyDescent="0.25"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</row>
    <row r="44" spans="2:18" x14ac:dyDescent="0.25"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</row>
    <row r="45" spans="2:18" x14ac:dyDescent="0.25"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</row>
    <row r="46" spans="2:18" x14ac:dyDescent="0.25"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</row>
    <row r="47" spans="2:18" x14ac:dyDescent="0.25"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</row>
    <row r="48" spans="2:18" x14ac:dyDescent="0.25"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</row>
    <row r="49" spans="2:18" x14ac:dyDescent="0.25"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</row>
    <row r="50" spans="2:18" x14ac:dyDescent="0.25"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</row>
    <row r="51" spans="2:18" x14ac:dyDescent="0.25"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</row>
    <row r="52" spans="2:18" x14ac:dyDescent="0.25"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</row>
    <row r="53" spans="2:18" x14ac:dyDescent="0.25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</row>
    <row r="54" spans="2:18" x14ac:dyDescent="0.25"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</row>
  </sheetData>
  <autoFilter ref="A1:R54" xr:uid="{33B467EF-9A95-4D5D-8C3D-345AC2CF8301}"/>
  <conditionalFormatting sqref="B18:S19">
    <cfRule type="notContainsBlanks" dxfId="3" priority="3">
      <formula>LEN(TRIM(B18))&gt;0</formula>
    </cfRule>
  </conditionalFormatting>
  <conditionalFormatting sqref="S1 B1:R17 B20:R20">
    <cfRule type="notContainsBlanks" dxfId="2" priority="4">
      <formula>LEN(TRIM(B1))&gt;0</formula>
    </cfRule>
  </conditionalFormatting>
  <conditionalFormatting sqref="T1">
    <cfRule type="notContainsBlanks" dxfId="1" priority="2" stopIfTrue="1">
      <formula>LEN(TRIM(T1))&gt;0</formula>
    </cfRule>
  </conditionalFormatting>
  <conditionalFormatting sqref="T2:T19">
    <cfRule type="notContainsBlanks" dxfId="0" priority="1">
      <formula>LEN(TRIM(T2))&gt;0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4496A-AF4B-4EC1-B368-49C550220A1C}">
  <sheetPr filterMode="1"/>
  <dimension ref="A1:L301"/>
  <sheetViews>
    <sheetView tabSelected="1" zoomScale="80" zoomScaleNormal="80" workbookViewId="0">
      <pane xSplit="1" topLeftCell="B1" activePane="topRight" state="frozen"/>
      <selection pane="topRight"/>
    </sheetView>
  </sheetViews>
  <sheetFormatPr defaultColWidth="9.140625" defaultRowHeight="15" x14ac:dyDescent="0.25"/>
  <cols>
    <col min="1" max="1" width="94.7109375" style="2" bestFit="1" customWidth="1"/>
    <col min="2" max="2" width="28" style="2" bestFit="1" customWidth="1"/>
    <col min="3" max="4" width="16" style="2" customWidth="1"/>
    <col min="5" max="12" width="18" style="2" customWidth="1"/>
    <col min="13" max="13" width="12" style="2" bestFit="1" customWidth="1"/>
    <col min="14" max="16384" width="9.140625" style="2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43" t="s">
        <v>12</v>
      </c>
      <c r="B2" s="4" t="s">
        <v>13</v>
      </c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x14ac:dyDescent="0.25">
      <c r="A3" s="43" t="s">
        <v>12</v>
      </c>
      <c r="B3" s="4" t="s">
        <v>14</v>
      </c>
      <c r="C3" s="5">
        <v>5785197.7580476198</v>
      </c>
      <c r="D3" s="5">
        <v>4993197.8858452374</v>
      </c>
      <c r="E3" s="5">
        <v>5858970.7447261903</v>
      </c>
      <c r="F3" s="5">
        <v>5818085.5392857138</v>
      </c>
      <c r="G3" s="5">
        <v>17983747.683396358</v>
      </c>
      <c r="H3" s="5">
        <v>22592240.607791312</v>
      </c>
      <c r="I3" s="5">
        <v>22444567.07281933</v>
      </c>
      <c r="J3" s="5">
        <v>27261596.394120447</v>
      </c>
      <c r="K3" s="5">
        <v>27027895.092263304</v>
      </c>
      <c r="L3" s="5">
        <v>26819200.996155463</v>
      </c>
    </row>
    <row r="4" spans="1:12" x14ac:dyDescent="0.25">
      <c r="A4" s="43" t="s">
        <v>12</v>
      </c>
      <c r="B4" s="4" t="s">
        <v>15</v>
      </c>
      <c r="C4" s="5">
        <v>53246785.696785718</v>
      </c>
      <c r="D4" s="5">
        <v>53584035.105833329</v>
      </c>
      <c r="E4" s="5">
        <v>57329428.307976186</v>
      </c>
      <c r="F4" s="5">
        <v>57632881.20059523</v>
      </c>
      <c r="G4" s="5">
        <v>58594378.802499995</v>
      </c>
      <c r="H4" s="5">
        <v>55244164.959880948</v>
      </c>
      <c r="I4" s="5">
        <v>52333722.150833331</v>
      </c>
      <c r="J4" s="5">
        <v>53523179.44833333</v>
      </c>
      <c r="K4" s="5">
        <v>54783761.313333333</v>
      </c>
      <c r="L4" s="5">
        <v>56018232.597976193</v>
      </c>
    </row>
    <row r="5" spans="1:12" x14ac:dyDescent="0.25">
      <c r="A5" s="43" t="s">
        <v>12</v>
      </c>
      <c r="B5" s="4" t="s">
        <v>16</v>
      </c>
      <c r="C5" s="5">
        <v>159476141.17214286</v>
      </c>
      <c r="D5" s="5">
        <v>186952170.33170635</v>
      </c>
      <c r="E5" s="5">
        <v>186223825.10896826</v>
      </c>
      <c r="F5" s="5">
        <v>164961862.0795238</v>
      </c>
      <c r="G5" s="5">
        <v>164799853.70666671</v>
      </c>
      <c r="H5" s="5">
        <v>166927205.27559525</v>
      </c>
      <c r="I5" s="5">
        <v>172407108.75511906</v>
      </c>
      <c r="J5" s="5">
        <v>167703924.83916664</v>
      </c>
      <c r="K5" s="5">
        <v>169589379.0429762</v>
      </c>
      <c r="L5" s="5">
        <v>170565705.92964286</v>
      </c>
    </row>
    <row r="6" spans="1:12" x14ac:dyDescent="0.25">
      <c r="A6" s="43" t="s">
        <v>12</v>
      </c>
      <c r="B6" s="4" t="s">
        <v>17</v>
      </c>
      <c r="C6" s="5">
        <v>86134881.155099437</v>
      </c>
      <c r="D6" s="5">
        <v>62365638.100516811</v>
      </c>
      <c r="E6" s="5">
        <v>61872425.50806722</v>
      </c>
      <c r="F6" s="5">
        <v>86002094.503694654</v>
      </c>
      <c r="G6" s="5">
        <v>75926566.21522221</v>
      </c>
      <c r="H6" s="5">
        <v>75865839.477515861</v>
      </c>
      <c r="I6" s="5">
        <v>76859245.738499984</v>
      </c>
      <c r="J6" s="5">
        <v>78957461.343849197</v>
      </c>
      <c r="K6" s="5">
        <v>79477820.568134919</v>
      </c>
      <c r="L6" s="5">
        <v>79877180.657261893</v>
      </c>
    </row>
    <row r="7" spans="1:12" x14ac:dyDescent="0.25">
      <c r="A7" s="43" t="s">
        <v>18</v>
      </c>
      <c r="B7" s="4" t="s">
        <v>14</v>
      </c>
      <c r="C7" s="5">
        <v>5217133.029552239</v>
      </c>
      <c r="D7" s="5">
        <v>4921402.5656343289</v>
      </c>
      <c r="E7" s="5">
        <v>5052108.6349253738</v>
      </c>
      <c r="F7" s="5">
        <v>4998867.6580970138</v>
      </c>
      <c r="G7" s="5">
        <v>43876574.130820915</v>
      </c>
      <c r="H7" s="5">
        <v>51349716.969179079</v>
      </c>
      <c r="I7" s="6"/>
      <c r="J7" s="6"/>
      <c r="K7" s="6"/>
      <c r="L7" s="6"/>
    </row>
    <row r="8" spans="1:12" x14ac:dyDescent="0.25">
      <c r="A8" s="43" t="s">
        <v>18</v>
      </c>
      <c r="B8" s="4" t="s">
        <v>15</v>
      </c>
      <c r="C8" s="5">
        <v>102454929.32196066</v>
      </c>
      <c r="D8" s="5">
        <v>104515648.48170672</v>
      </c>
      <c r="E8" s="5">
        <v>111582376.86140193</v>
      </c>
      <c r="F8" s="5">
        <v>112275606.78074431</v>
      </c>
      <c r="G8" s="5">
        <v>114061677.14356512</v>
      </c>
      <c r="H8" s="5">
        <v>107517134.7079846</v>
      </c>
      <c r="I8" s="6"/>
      <c r="J8" s="6"/>
      <c r="K8" s="6"/>
      <c r="L8" s="6"/>
    </row>
    <row r="9" spans="1:12" x14ac:dyDescent="0.25">
      <c r="A9" s="43" t="s">
        <v>18</v>
      </c>
      <c r="B9" s="4" t="s">
        <v>16</v>
      </c>
      <c r="C9" s="5">
        <v>335948032.7226063</v>
      </c>
      <c r="D9" s="5">
        <v>365755666.6293354</v>
      </c>
      <c r="E9" s="5">
        <v>366231129.96423131</v>
      </c>
      <c r="F9" s="5">
        <v>347816360.95879233</v>
      </c>
      <c r="G9" s="5">
        <v>347310213.51093847</v>
      </c>
      <c r="H9" s="5">
        <v>336509066.08825111</v>
      </c>
      <c r="I9" s="6"/>
      <c r="J9" s="6"/>
      <c r="K9" s="6"/>
      <c r="L9" s="6"/>
    </row>
    <row r="10" spans="1:12" x14ac:dyDescent="0.25">
      <c r="A10" s="43" t="s">
        <v>18</v>
      </c>
      <c r="B10" s="4" t="s">
        <v>17</v>
      </c>
      <c r="C10" s="5">
        <v>115771185.34929541</v>
      </c>
      <c r="D10" s="5">
        <v>89829782.459363863</v>
      </c>
      <c r="E10" s="5">
        <v>89069211.205559686</v>
      </c>
      <c r="F10" s="5">
        <v>113232128.73417734</v>
      </c>
      <c r="G10" s="5">
        <v>79625744.777478665</v>
      </c>
      <c r="H10" s="5">
        <v>97021994.703084588</v>
      </c>
      <c r="I10" s="6"/>
      <c r="J10" s="6"/>
      <c r="K10" s="6"/>
      <c r="L10" s="6"/>
    </row>
    <row r="11" spans="1:12" x14ac:dyDescent="0.25">
      <c r="A11" s="43" t="s">
        <v>19</v>
      </c>
      <c r="B11" s="4" t="s">
        <v>14</v>
      </c>
      <c r="C11" s="5">
        <v>2230537402</v>
      </c>
      <c r="D11" s="5">
        <v>715448467</v>
      </c>
      <c r="E11" s="5">
        <v>672246731.94444442</v>
      </c>
      <c r="F11" s="5">
        <v>673927582.7052778</v>
      </c>
      <c r="G11" s="5">
        <v>1321223005.9916663</v>
      </c>
      <c r="H11" s="5">
        <v>1343529209.5863895</v>
      </c>
      <c r="I11" s="5">
        <v>1350002778.1869447</v>
      </c>
      <c r="J11" s="5">
        <v>1395237715.2108335</v>
      </c>
      <c r="K11" s="5">
        <v>1400862044.4330556</v>
      </c>
      <c r="L11" s="5">
        <v>1403270410.0475006</v>
      </c>
    </row>
    <row r="12" spans="1:12" x14ac:dyDescent="0.25">
      <c r="A12" s="43" t="s">
        <v>19</v>
      </c>
      <c r="B12" s="4" t="s">
        <v>15</v>
      </c>
      <c r="C12" s="5">
        <v>89460329</v>
      </c>
      <c r="D12" s="5">
        <v>185668356</v>
      </c>
      <c r="E12" s="5">
        <v>38756602</v>
      </c>
      <c r="F12" s="5">
        <v>39462260.8125</v>
      </c>
      <c r="G12" s="5">
        <v>40346976.862499997</v>
      </c>
      <c r="H12" s="5">
        <v>39721223.299999997</v>
      </c>
      <c r="I12" s="5">
        <v>38658304.700000003</v>
      </c>
      <c r="J12" s="5">
        <v>40005994.575000003</v>
      </c>
      <c r="K12" s="5">
        <v>41580963.9375</v>
      </c>
      <c r="L12" s="5">
        <v>43232783.299999997</v>
      </c>
    </row>
    <row r="13" spans="1:12" x14ac:dyDescent="0.25">
      <c r="A13" s="43" t="s">
        <v>19</v>
      </c>
      <c r="B13" s="4" t="s">
        <v>16</v>
      </c>
      <c r="C13" s="5">
        <v>2654167495</v>
      </c>
      <c r="D13" s="5">
        <v>2145751721</v>
      </c>
      <c r="E13" s="5">
        <v>782647465.5</v>
      </c>
      <c r="F13" s="5">
        <v>750334408.49583316</v>
      </c>
      <c r="G13" s="5">
        <v>752973624.16250014</v>
      </c>
      <c r="H13" s="5">
        <v>758575725.42083359</v>
      </c>
      <c r="I13" s="5">
        <v>769083940.91666651</v>
      </c>
      <c r="J13" s="5">
        <v>768354458.24166691</v>
      </c>
      <c r="K13" s="5">
        <v>778842833.54999983</v>
      </c>
      <c r="L13" s="5">
        <v>789204932.27500033</v>
      </c>
    </row>
    <row r="14" spans="1:12" x14ac:dyDescent="0.25">
      <c r="A14" s="43" t="s">
        <v>19</v>
      </c>
      <c r="B14" s="4" t="s">
        <v>17</v>
      </c>
      <c r="C14" s="5">
        <v>5050596480</v>
      </c>
      <c r="D14" s="5">
        <v>1296608309</v>
      </c>
      <c r="E14" s="5">
        <v>1117587743.5</v>
      </c>
      <c r="F14" s="5">
        <v>1143027573.2166665</v>
      </c>
      <c r="G14" s="5">
        <v>515514737.67083323</v>
      </c>
      <c r="H14" s="5">
        <v>510049236.22500014</v>
      </c>
      <c r="I14" s="5">
        <v>515678689.10833347</v>
      </c>
      <c r="J14" s="5">
        <v>491681090.375</v>
      </c>
      <c r="K14" s="5">
        <v>496282401.84166676</v>
      </c>
      <c r="L14" s="5">
        <v>500814543.58749998</v>
      </c>
    </row>
    <row r="15" spans="1:12" x14ac:dyDescent="0.25">
      <c r="A15" s="3" t="s">
        <v>20</v>
      </c>
      <c r="B15" s="4" t="s">
        <v>16</v>
      </c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1:12" x14ac:dyDescent="0.25">
      <c r="A16" s="3" t="s">
        <v>21</v>
      </c>
      <c r="B16" s="4" t="s">
        <v>14</v>
      </c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25">
      <c r="A17" s="43" t="s">
        <v>22</v>
      </c>
      <c r="B17" s="4" t="s">
        <v>13</v>
      </c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2" x14ac:dyDescent="0.25">
      <c r="A18" s="43" t="s">
        <v>22</v>
      </c>
      <c r="B18" s="4" t="s">
        <v>14</v>
      </c>
      <c r="C18" s="5">
        <v>1212068.176403509</v>
      </c>
      <c r="D18" s="5">
        <v>1195551.7557456142</v>
      </c>
      <c r="E18" s="5">
        <v>1189483.8824561401</v>
      </c>
      <c r="F18" s="5">
        <v>1192320.5657894735</v>
      </c>
      <c r="G18" s="5">
        <v>16729064.266403511</v>
      </c>
      <c r="H18" s="5">
        <v>15711239.170219297</v>
      </c>
      <c r="I18" s="5">
        <v>13744450.247324562</v>
      </c>
      <c r="J18" s="5">
        <v>13089724.151184211</v>
      </c>
      <c r="K18" s="5">
        <v>12920092.653947368</v>
      </c>
      <c r="L18" s="5">
        <v>12788293.736842105</v>
      </c>
    </row>
    <row r="19" spans="1:12" x14ac:dyDescent="0.25">
      <c r="A19" s="43" t="s">
        <v>22</v>
      </c>
      <c r="B19" s="4" t="s">
        <v>15</v>
      </c>
      <c r="C19" s="5">
        <v>4315320.2416666672</v>
      </c>
      <c r="D19" s="5">
        <v>4110923.5266666668</v>
      </c>
      <c r="E19" s="5">
        <v>4246029.5633333335</v>
      </c>
      <c r="F19" s="5">
        <v>4705085.6783333328</v>
      </c>
      <c r="G19" s="5">
        <v>4789178.8133333335</v>
      </c>
      <c r="H19" s="5">
        <v>718943.28500000003</v>
      </c>
      <c r="I19" s="5">
        <v>759633.19833333325</v>
      </c>
      <c r="J19" s="5">
        <v>785092.07833333337</v>
      </c>
      <c r="K19" s="5">
        <v>821841.3666666667</v>
      </c>
      <c r="L19" s="5">
        <v>863986.71500000008</v>
      </c>
    </row>
    <row r="20" spans="1:12" x14ac:dyDescent="0.25">
      <c r="A20" s="43" t="s">
        <v>22</v>
      </c>
      <c r="B20" s="4" t="s">
        <v>16</v>
      </c>
      <c r="C20" s="5">
        <v>2089581.7182017544</v>
      </c>
      <c r="D20" s="5">
        <v>2331415.9688157896</v>
      </c>
      <c r="E20" s="5">
        <v>2295538.2641666671</v>
      </c>
      <c r="F20" s="5">
        <v>1554268.8116228073</v>
      </c>
      <c r="G20" s="5">
        <v>1550926.0481140353</v>
      </c>
      <c r="H20" s="5">
        <v>5699436.2732894737</v>
      </c>
      <c r="I20" s="5">
        <v>5324019.6546929823</v>
      </c>
      <c r="J20" s="5">
        <v>5339861.9428947363</v>
      </c>
      <c r="K20" s="5">
        <v>5355310.5925877197</v>
      </c>
      <c r="L20" s="5">
        <v>5370201.9115789467</v>
      </c>
    </row>
    <row r="21" spans="1:12" x14ac:dyDescent="0.25">
      <c r="A21" s="43" t="s">
        <v>22</v>
      </c>
      <c r="B21" s="4" t="s">
        <v>17</v>
      </c>
      <c r="C21" s="5">
        <v>23444219.981054593</v>
      </c>
      <c r="D21" s="5">
        <v>23286004.15662019</v>
      </c>
      <c r="E21" s="5">
        <v>23891028.517758586</v>
      </c>
      <c r="F21" s="5">
        <v>22655216.764150959</v>
      </c>
      <c r="G21" s="5">
        <v>5070868.8546451954</v>
      </c>
      <c r="H21" s="5">
        <v>4310614.8980839225</v>
      </c>
      <c r="I21" s="5">
        <v>4634200.8970051063</v>
      </c>
      <c r="J21" s="5">
        <v>4406115.4292740244</v>
      </c>
      <c r="K21" s="5">
        <v>4349721.5769239329</v>
      </c>
      <c r="L21" s="5">
        <v>4313357.7878842624</v>
      </c>
    </row>
    <row r="22" spans="1:12" x14ac:dyDescent="0.25">
      <c r="A22" s="43" t="s">
        <v>23</v>
      </c>
      <c r="B22" s="4" t="s">
        <v>13</v>
      </c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43" t="s">
        <v>23</v>
      </c>
      <c r="B23" s="4" t="s">
        <v>14</v>
      </c>
      <c r="C23" s="5">
        <v>7183718.3092105277</v>
      </c>
      <c r="D23" s="5">
        <v>7162774.0667368425</v>
      </c>
      <c r="E23" s="5">
        <v>7186571.4013421051</v>
      </c>
      <c r="F23" s="5">
        <v>7179815.035052632</v>
      </c>
      <c r="G23" s="5">
        <v>45956969.043973669</v>
      </c>
      <c r="H23" s="5">
        <v>45554046.872078955</v>
      </c>
      <c r="I23" s="5">
        <v>45164177.289105259</v>
      </c>
      <c r="J23" s="5">
        <v>44825038.069842115</v>
      </c>
      <c r="K23" s="5">
        <v>44551214.713105269</v>
      </c>
      <c r="L23" s="5">
        <v>44326790.909789473</v>
      </c>
    </row>
    <row r="24" spans="1:12" x14ac:dyDescent="0.25">
      <c r="A24" s="43" t="s">
        <v>23</v>
      </c>
      <c r="B24" s="4" t="s">
        <v>15</v>
      </c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43" t="s">
        <v>23</v>
      </c>
      <c r="B25" s="4" t="s">
        <v>16</v>
      </c>
      <c r="C25" s="5">
        <v>22126.294736842105</v>
      </c>
      <c r="D25" s="5">
        <v>23119.134473684207</v>
      </c>
      <c r="E25" s="5">
        <v>23153.280394736841</v>
      </c>
      <c r="F25" s="5">
        <v>23437.404999999999</v>
      </c>
      <c r="G25" s="5">
        <v>23890.937105263158</v>
      </c>
      <c r="H25" s="5">
        <v>24351.530789473683</v>
      </c>
      <c r="I25" s="6"/>
      <c r="J25" s="6"/>
      <c r="K25" s="6"/>
      <c r="L25" s="6"/>
    </row>
    <row r="26" spans="1:12" x14ac:dyDescent="0.25">
      <c r="A26" s="43" t="s">
        <v>23</v>
      </c>
      <c r="B26" s="4" t="s">
        <v>17</v>
      </c>
      <c r="C26" s="5">
        <v>44878448.111842103</v>
      </c>
      <c r="D26" s="5">
        <v>40973318.363289468</v>
      </c>
      <c r="E26" s="5">
        <v>39904744.05736842</v>
      </c>
      <c r="F26" s="5">
        <v>39559368.931842104</v>
      </c>
      <c r="G26" s="5">
        <v>415706.67947368423</v>
      </c>
      <c r="H26" s="5">
        <v>431606.95223684213</v>
      </c>
      <c r="I26" s="5">
        <v>459548.37934210524</v>
      </c>
      <c r="J26" s="5">
        <v>446100.04776315793</v>
      </c>
      <c r="K26" s="5">
        <v>437514.07526315795</v>
      </c>
      <c r="L26" s="5">
        <v>430931.20894736843</v>
      </c>
    </row>
    <row r="27" spans="1:12" x14ac:dyDescent="0.25">
      <c r="A27" s="3" t="s">
        <v>24</v>
      </c>
      <c r="B27" s="4" t="s">
        <v>16</v>
      </c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x14ac:dyDescent="0.25">
      <c r="A28" s="43" t="s">
        <v>25</v>
      </c>
      <c r="B28" s="4" t="s">
        <v>14</v>
      </c>
      <c r="C28" s="5">
        <v>28722.505263157898</v>
      </c>
      <c r="D28" s="5">
        <v>26301.694736842106</v>
      </c>
      <c r="E28" s="5">
        <v>25127.242105263162</v>
      </c>
      <c r="F28" s="5">
        <v>24585.347368421051</v>
      </c>
      <c r="G28" s="5">
        <v>24138.284210526315</v>
      </c>
      <c r="H28" s="5">
        <v>23828.778947368421</v>
      </c>
      <c r="I28" s="5">
        <v>23700.600000000002</v>
      </c>
      <c r="J28" s="5">
        <v>23759.921842105265</v>
      </c>
      <c r="K28" s="5">
        <v>23980.665789473685</v>
      </c>
      <c r="L28" s="5">
        <v>24359.106315789475</v>
      </c>
    </row>
    <row r="29" spans="1:12" x14ac:dyDescent="0.25">
      <c r="A29" s="43" t="s">
        <v>25</v>
      </c>
      <c r="B29" s="4" t="s">
        <v>16</v>
      </c>
      <c r="C29" s="5">
        <v>29888.875657894736</v>
      </c>
      <c r="D29" s="5">
        <v>29689.843289473687</v>
      </c>
      <c r="E29" s="5">
        <v>29609.336842105262</v>
      </c>
      <c r="F29" s="5">
        <v>29599.957894736843</v>
      </c>
      <c r="G29" s="5">
        <v>29654.121315789474</v>
      </c>
      <c r="H29" s="5">
        <v>29663.070394736838</v>
      </c>
      <c r="I29" s="6"/>
      <c r="J29" s="6"/>
      <c r="K29" s="6"/>
      <c r="L29" s="6"/>
    </row>
    <row r="30" spans="1:12" x14ac:dyDescent="0.25">
      <c r="A30" s="43" t="s">
        <v>25</v>
      </c>
      <c r="B30" s="4" t="s">
        <v>17</v>
      </c>
      <c r="C30" s="6"/>
      <c r="D30" s="6"/>
      <c r="E30" s="6"/>
      <c r="F30" s="6"/>
      <c r="G30" s="6"/>
      <c r="H30" s="6"/>
      <c r="I30" s="5">
        <v>29663.22671052632</v>
      </c>
      <c r="J30" s="5">
        <v>29666.353026315792</v>
      </c>
      <c r="K30" s="5">
        <v>29665.610526315795</v>
      </c>
      <c r="L30" s="5">
        <v>29653.105263157893</v>
      </c>
    </row>
    <row r="31" spans="1:12" x14ac:dyDescent="0.25">
      <c r="A31" s="43" t="s">
        <v>26</v>
      </c>
      <c r="B31" s="4" t="s">
        <v>14</v>
      </c>
      <c r="C31" s="5">
        <v>20691153.631315794</v>
      </c>
      <c r="D31" s="5">
        <v>20085170.478315793</v>
      </c>
      <c r="E31" s="5">
        <v>20961571.11134211</v>
      </c>
      <c r="F31" s="5">
        <v>20941290.534263156</v>
      </c>
      <c r="G31" s="5">
        <v>20884036.924763158</v>
      </c>
      <c r="H31" s="5">
        <v>23015543.998000003</v>
      </c>
      <c r="I31" s="5">
        <v>22949119.923578952</v>
      </c>
      <c r="J31" s="5">
        <v>22863374.307342101</v>
      </c>
      <c r="K31" s="5">
        <v>22780777.877052635</v>
      </c>
      <c r="L31" s="5">
        <v>22700002.013999999</v>
      </c>
    </row>
    <row r="32" spans="1:12" x14ac:dyDescent="0.25">
      <c r="A32" s="43" t="s">
        <v>26</v>
      </c>
      <c r="B32" s="4" t="s">
        <v>16</v>
      </c>
      <c r="C32" s="6"/>
      <c r="D32" s="6"/>
      <c r="E32" s="6"/>
      <c r="F32" s="5">
        <v>278213.56657894736</v>
      </c>
      <c r="G32" s="5">
        <v>280005.61210526316</v>
      </c>
      <c r="H32" s="5">
        <v>283015.81947368424</v>
      </c>
      <c r="I32" s="5">
        <v>286417.42355263163</v>
      </c>
      <c r="J32" s="6"/>
      <c r="K32" s="6"/>
      <c r="L32" s="6"/>
    </row>
    <row r="33" spans="1:12" x14ac:dyDescent="0.25">
      <c r="A33" s="43" t="s">
        <v>26</v>
      </c>
      <c r="B33" s="4" t="s">
        <v>17</v>
      </c>
      <c r="C33" s="5">
        <v>11947449.716973685</v>
      </c>
      <c r="D33" s="5">
        <v>12700792.141842106</v>
      </c>
      <c r="E33" s="5">
        <v>11877146.489802632</v>
      </c>
      <c r="F33" s="5">
        <v>11604889.917302631</v>
      </c>
      <c r="G33" s="5">
        <v>11614621.482434209</v>
      </c>
      <c r="H33" s="5">
        <v>9393912.3060526326</v>
      </c>
      <c r="I33" s="5">
        <v>9380230.2252631579</v>
      </c>
      <c r="J33" s="5">
        <v>9661130.0068421066</v>
      </c>
      <c r="K33" s="5">
        <v>9685448.5409210548</v>
      </c>
      <c r="L33" s="5">
        <v>9708542.1121710539</v>
      </c>
    </row>
    <row r="34" spans="1:12" x14ac:dyDescent="0.25">
      <c r="A34" s="43" t="s">
        <v>27</v>
      </c>
      <c r="B34" s="4" t="s">
        <v>14</v>
      </c>
      <c r="C34" s="5">
        <v>2229094.5600000005</v>
      </c>
      <c r="D34" s="5">
        <v>2281604.2746315794</v>
      </c>
      <c r="E34" s="5">
        <v>2312482.9500263161</v>
      </c>
      <c r="F34" s="5">
        <v>2326982.9807105265</v>
      </c>
      <c r="G34" s="5">
        <v>2334495.6191052631</v>
      </c>
      <c r="H34" s="5">
        <v>2346303.7190526319</v>
      </c>
      <c r="I34" s="5">
        <v>2356567.1662105266</v>
      </c>
      <c r="J34" s="5">
        <v>2368298.091157895</v>
      </c>
      <c r="K34" s="5">
        <v>2378228.7612631577</v>
      </c>
      <c r="L34" s="5">
        <v>2385352.0408421056</v>
      </c>
    </row>
    <row r="35" spans="1:12" x14ac:dyDescent="0.25">
      <c r="A35" s="43" t="s">
        <v>27</v>
      </c>
      <c r="B35" s="4" t="s">
        <v>16</v>
      </c>
      <c r="C35" s="5">
        <v>6334.8842105263157</v>
      </c>
      <c r="D35" s="5">
        <v>6472.9761842105272</v>
      </c>
      <c r="E35" s="5">
        <v>6603.1151315789484</v>
      </c>
      <c r="F35" s="5">
        <v>6727.6489473684214</v>
      </c>
      <c r="G35" s="5">
        <v>6771.0826315789491</v>
      </c>
      <c r="H35" s="5">
        <v>6837.5813157894736</v>
      </c>
      <c r="I35" s="6"/>
      <c r="J35" s="6"/>
      <c r="K35" s="6"/>
      <c r="L35" s="6"/>
    </row>
    <row r="36" spans="1:12" x14ac:dyDescent="0.25">
      <c r="A36" s="43" t="s">
        <v>27</v>
      </c>
      <c r="B36" s="4" t="s">
        <v>17</v>
      </c>
      <c r="C36" s="6"/>
      <c r="D36" s="6"/>
      <c r="E36" s="6"/>
      <c r="F36" s="6"/>
      <c r="G36" s="6"/>
      <c r="H36" s="6"/>
      <c r="I36" s="5">
        <v>6899.4505263157898</v>
      </c>
      <c r="J36" s="5">
        <v>6962.2734210526323</v>
      </c>
      <c r="K36" s="5">
        <v>6985.8221052631579</v>
      </c>
      <c r="L36" s="5">
        <v>6987.9032894736847</v>
      </c>
    </row>
    <row r="37" spans="1:12" x14ac:dyDescent="0.25">
      <c r="A37" s="43" t="s">
        <v>28</v>
      </c>
      <c r="B37" s="4" t="s">
        <v>14</v>
      </c>
      <c r="C37" s="5">
        <v>692874.50052631588</v>
      </c>
      <c r="D37" s="5">
        <v>685136.08421052631</v>
      </c>
      <c r="E37" s="5">
        <v>670789.61052631587</v>
      </c>
      <c r="F37" s="5">
        <v>659099.27368421061</v>
      </c>
      <c r="G37" s="5">
        <v>3919579.654736843</v>
      </c>
      <c r="H37" s="5">
        <v>3873683.7757894737</v>
      </c>
      <c r="I37" s="5">
        <v>3834518.7505263165</v>
      </c>
      <c r="J37" s="5">
        <v>3801709.1084210528</v>
      </c>
      <c r="K37" s="5">
        <v>3775441.1388157895</v>
      </c>
      <c r="L37" s="5">
        <v>3753257.1406578948</v>
      </c>
    </row>
    <row r="38" spans="1:12" x14ac:dyDescent="0.25">
      <c r="A38" s="43" t="s">
        <v>28</v>
      </c>
      <c r="B38" s="4" t="s">
        <v>17</v>
      </c>
      <c r="C38" s="5">
        <v>3595868.4126315792</v>
      </c>
      <c r="D38" s="5">
        <v>3364466.9589473689</v>
      </c>
      <c r="E38" s="5">
        <v>3329664.1863157894</v>
      </c>
      <c r="F38" s="5">
        <v>3302080.3894736841</v>
      </c>
      <c r="G38" s="6"/>
      <c r="H38" s="6"/>
      <c r="I38" s="6"/>
      <c r="J38" s="6"/>
      <c r="K38" s="6"/>
      <c r="L38" s="6"/>
    </row>
    <row r="39" spans="1:12" x14ac:dyDescent="0.25">
      <c r="A39" s="43" t="s">
        <v>29</v>
      </c>
      <c r="B39" s="4" t="s">
        <v>14</v>
      </c>
      <c r="C39" s="5">
        <v>10784188.918105263</v>
      </c>
      <c r="D39" s="5">
        <v>10921290.380355263</v>
      </c>
      <c r="E39" s="5">
        <v>11058824.244342105</v>
      </c>
      <c r="F39" s="5">
        <v>11105848.546421051</v>
      </c>
      <c r="G39" s="5">
        <v>12769336.434394736</v>
      </c>
      <c r="H39" s="5">
        <v>12841911.89376316</v>
      </c>
      <c r="I39" s="5">
        <v>13093111.730052631</v>
      </c>
      <c r="J39" s="5">
        <v>17793068.821657896</v>
      </c>
      <c r="K39" s="5">
        <v>17761707.824368421</v>
      </c>
      <c r="L39" s="5">
        <v>17711618.430631582</v>
      </c>
    </row>
    <row r="40" spans="1:12" x14ac:dyDescent="0.25">
      <c r="A40" s="43" t="s">
        <v>29</v>
      </c>
      <c r="B40" s="4" t="s">
        <v>16</v>
      </c>
      <c r="C40" s="6"/>
      <c r="D40" s="6"/>
      <c r="E40" s="6"/>
      <c r="F40" s="5">
        <v>91558.421052631587</v>
      </c>
      <c r="G40" s="5">
        <v>91777.185000000012</v>
      </c>
      <c r="H40" s="5">
        <v>92382.360394736839</v>
      </c>
      <c r="I40" s="5">
        <v>93389.324078947378</v>
      </c>
      <c r="J40" s="6"/>
      <c r="K40" s="6"/>
      <c r="L40" s="6"/>
    </row>
    <row r="41" spans="1:12" x14ac:dyDescent="0.25">
      <c r="A41" s="43" t="s">
        <v>29</v>
      </c>
      <c r="B41" s="4" t="s">
        <v>17</v>
      </c>
      <c r="C41" s="5">
        <v>15374170.767631579</v>
      </c>
      <c r="D41" s="5">
        <v>14979991.042105265</v>
      </c>
      <c r="E41" s="5">
        <v>14970042.655131578</v>
      </c>
      <c r="F41" s="5">
        <v>14850884.718684208</v>
      </c>
      <c r="G41" s="5">
        <v>13193170.699210526</v>
      </c>
      <c r="H41" s="5">
        <v>13102008.475394737</v>
      </c>
      <c r="I41" s="5">
        <v>12807383.053026317</v>
      </c>
      <c r="J41" s="5">
        <v>8175393.4594736844</v>
      </c>
      <c r="K41" s="5">
        <v>8227703.1057894761</v>
      </c>
      <c r="L41" s="5">
        <v>8274488.3427631576</v>
      </c>
    </row>
    <row r="42" spans="1:12" x14ac:dyDescent="0.25">
      <c r="A42" s="43" t="s">
        <v>30</v>
      </c>
      <c r="B42" s="4" t="s">
        <v>14</v>
      </c>
      <c r="C42" s="5">
        <v>11677157.538289474</v>
      </c>
      <c r="D42" s="5">
        <v>11396664.053157896</v>
      </c>
      <c r="E42" s="5">
        <v>11478759.056315789</v>
      </c>
      <c r="F42" s="5">
        <v>11400000.19631579</v>
      </c>
      <c r="G42" s="5">
        <v>11322970.028421054</v>
      </c>
      <c r="H42" s="5">
        <v>11375719.603157897</v>
      </c>
      <c r="I42" s="5">
        <v>11430459.68263158</v>
      </c>
      <c r="J42" s="5">
        <v>12718397.887368422</v>
      </c>
      <c r="K42" s="5">
        <v>12724808.848552631</v>
      </c>
      <c r="L42" s="5">
        <v>12708293.497763159</v>
      </c>
    </row>
    <row r="43" spans="1:12" x14ac:dyDescent="0.25">
      <c r="A43" s="43" t="s">
        <v>30</v>
      </c>
      <c r="B43" s="4" t="s">
        <v>16</v>
      </c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 x14ac:dyDescent="0.25">
      <c r="A44" s="43" t="s">
        <v>30</v>
      </c>
      <c r="B44" s="4" t="s">
        <v>17</v>
      </c>
      <c r="C44" s="5">
        <v>1653618.5430263157</v>
      </c>
      <c r="D44" s="5">
        <v>1856924.417763158</v>
      </c>
      <c r="E44" s="5">
        <v>1687287.4271052631</v>
      </c>
      <c r="F44" s="5">
        <v>1656393.1473684213</v>
      </c>
      <c r="G44" s="5">
        <v>1602407.3548684211</v>
      </c>
      <c r="H44" s="5">
        <v>1492629.9738157897</v>
      </c>
      <c r="I44" s="5">
        <v>1412118.9090789475</v>
      </c>
      <c r="J44" s="5">
        <v>131460.8480263158</v>
      </c>
      <c r="K44" s="5">
        <v>130526.64223684212</v>
      </c>
      <c r="L44" s="5">
        <v>129709.70407894738</v>
      </c>
    </row>
    <row r="45" spans="1:12" x14ac:dyDescent="0.25">
      <c r="A45" s="43" t="s">
        <v>31</v>
      </c>
      <c r="B45" s="4" t="s">
        <v>13</v>
      </c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 x14ac:dyDescent="0.25">
      <c r="A46" s="43" t="s">
        <v>31</v>
      </c>
      <c r="B46" s="4" t="s">
        <v>14</v>
      </c>
      <c r="C46" s="5">
        <v>1710829.0718947372</v>
      </c>
      <c r="D46" s="5">
        <v>1688733.1541710529</v>
      </c>
      <c r="E46" s="5">
        <v>1871386.2563684208</v>
      </c>
      <c r="F46" s="5">
        <v>1811397.0705263158</v>
      </c>
      <c r="G46" s="5">
        <v>1775394.8209210527</v>
      </c>
      <c r="H46" s="5">
        <v>4619767.5843421053</v>
      </c>
      <c r="I46" s="5">
        <v>4483829.9081578944</v>
      </c>
      <c r="J46" s="5">
        <v>4529688.8823684203</v>
      </c>
      <c r="K46" s="5">
        <v>4441449.7998684216</v>
      </c>
      <c r="L46" s="5">
        <v>4366498.504999999</v>
      </c>
    </row>
    <row r="47" spans="1:12" x14ac:dyDescent="0.25">
      <c r="A47" s="43" t="s">
        <v>31</v>
      </c>
      <c r="B47" s="4" t="s">
        <v>15</v>
      </c>
      <c r="C47" s="5">
        <v>1000720.1874999999</v>
      </c>
      <c r="D47" s="5">
        <v>540136.75750000007</v>
      </c>
      <c r="E47" s="5">
        <v>550198.34749999992</v>
      </c>
      <c r="F47" s="5">
        <v>868326.12749999994</v>
      </c>
      <c r="G47" s="5">
        <v>877675.33499999996</v>
      </c>
      <c r="H47" s="5">
        <v>887468.01749999996</v>
      </c>
      <c r="I47" s="5">
        <v>892701.99</v>
      </c>
      <c r="J47" s="5">
        <v>902401.625</v>
      </c>
      <c r="K47" s="5">
        <v>912272.00249999994</v>
      </c>
      <c r="L47" s="5">
        <v>924903.77499999991</v>
      </c>
    </row>
    <row r="48" spans="1:12" x14ac:dyDescent="0.25">
      <c r="A48" s="43" t="s">
        <v>31</v>
      </c>
      <c r="B48" s="4" t="s">
        <v>16</v>
      </c>
      <c r="C48" s="5">
        <v>61053431.3312333</v>
      </c>
      <c r="D48" s="5">
        <v>64873850.197580487</v>
      </c>
      <c r="E48" s="5">
        <v>65291643.508521192</v>
      </c>
      <c r="F48" s="5">
        <v>61084402.11719951</v>
      </c>
      <c r="G48" s="5">
        <v>59641976.165131584</v>
      </c>
      <c r="H48" s="5">
        <v>57111113.121710524</v>
      </c>
      <c r="I48" s="5">
        <v>57225193.547499985</v>
      </c>
      <c r="J48" s="5">
        <v>56990919.119999997</v>
      </c>
      <c r="K48" s="5">
        <v>56836559.457499996</v>
      </c>
      <c r="L48" s="5">
        <v>56671594.19749999</v>
      </c>
    </row>
    <row r="49" spans="1:12" x14ac:dyDescent="0.25">
      <c r="A49" s="43" t="s">
        <v>31</v>
      </c>
      <c r="B49" s="4" t="s">
        <v>17</v>
      </c>
      <c r="C49" s="5">
        <v>24537003.703128655</v>
      </c>
      <c r="D49" s="5">
        <v>21247729.91397661</v>
      </c>
      <c r="E49" s="5">
        <v>21248950.689736843</v>
      </c>
      <c r="F49" s="5">
        <v>25695446.90486842</v>
      </c>
      <c r="G49" s="5">
        <v>27410723.173439384</v>
      </c>
      <c r="H49" s="5">
        <v>27474519.679093346</v>
      </c>
      <c r="I49" s="5">
        <v>28064354.29039932</v>
      </c>
      <c r="J49" s="5">
        <v>28144884.262393296</v>
      </c>
      <c r="K49" s="5">
        <v>28359107.890706338</v>
      </c>
      <c r="L49" s="5">
        <v>28451376.886823118</v>
      </c>
    </row>
    <row r="50" spans="1:12" x14ac:dyDescent="0.25">
      <c r="A50" s="43" t="s">
        <v>32</v>
      </c>
      <c r="B50" s="4" t="s">
        <v>14</v>
      </c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 x14ac:dyDescent="0.25">
      <c r="A51" s="43" t="s">
        <v>32</v>
      </c>
      <c r="B51" s="4" t="s">
        <v>15</v>
      </c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43" t="s">
        <v>32</v>
      </c>
      <c r="B52" s="4" t="s">
        <v>16</v>
      </c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x14ac:dyDescent="0.25">
      <c r="A53" s="43" t="s">
        <v>32</v>
      </c>
      <c r="B53" s="4" t="s">
        <v>17</v>
      </c>
      <c r="C53" s="5">
        <v>1512580.2666666666</v>
      </c>
      <c r="D53" s="5">
        <v>1500336.7222222222</v>
      </c>
      <c r="E53" s="5">
        <v>1500421.7508333332</v>
      </c>
      <c r="F53" s="5">
        <v>1478499.8666666665</v>
      </c>
      <c r="G53" s="5">
        <v>1452492.8444444444</v>
      </c>
      <c r="H53" s="5">
        <v>1427809.9111111111</v>
      </c>
      <c r="I53" s="5">
        <v>1407661.111111111</v>
      </c>
      <c r="J53" s="5">
        <v>1393783.222222222</v>
      </c>
      <c r="K53" s="5">
        <v>1381366.6222222222</v>
      </c>
      <c r="L53" s="5">
        <v>1371371.7111111111</v>
      </c>
    </row>
    <row r="54" spans="1:12" x14ac:dyDescent="0.25">
      <c r="A54" s="43" t="s">
        <v>33</v>
      </c>
      <c r="B54" s="4" t="s">
        <v>14</v>
      </c>
      <c r="C54" s="5">
        <v>674901.64421052625</v>
      </c>
      <c r="D54" s="5">
        <v>655334.36236842116</v>
      </c>
      <c r="E54" s="5">
        <v>644543.48</v>
      </c>
      <c r="F54" s="5">
        <v>637574.4597368422</v>
      </c>
      <c r="G54" s="5">
        <v>702947.55</v>
      </c>
      <c r="H54" s="5">
        <v>4452550.6283513941</v>
      </c>
      <c r="I54" s="5">
        <v>4371579.7217414854</v>
      </c>
      <c r="J54" s="5">
        <v>4675828.7684674924</v>
      </c>
      <c r="K54" s="5">
        <v>4623481.8853715174</v>
      </c>
      <c r="L54" s="5">
        <v>4588112.7602708973</v>
      </c>
    </row>
    <row r="55" spans="1:12" x14ac:dyDescent="0.25">
      <c r="A55" s="43" t="s">
        <v>33</v>
      </c>
      <c r="B55" s="4" t="s">
        <v>15</v>
      </c>
      <c r="C55" s="5">
        <v>65525120.75500001</v>
      </c>
      <c r="D55" s="5">
        <v>67056768.823026322</v>
      </c>
      <c r="E55" s="5">
        <v>71525747.251973659</v>
      </c>
      <c r="F55" s="5">
        <v>71197100.628684193</v>
      </c>
      <c r="G55" s="5">
        <v>72182552.137368426</v>
      </c>
      <c r="H55" s="5">
        <v>67897098.338815793</v>
      </c>
      <c r="I55" s="5">
        <v>63701819.331447363</v>
      </c>
      <c r="J55" s="5">
        <v>65137550.969868414</v>
      </c>
      <c r="K55" s="5">
        <v>66756002.766578928</v>
      </c>
      <c r="L55" s="5">
        <v>68258991.188157901</v>
      </c>
    </row>
    <row r="56" spans="1:12" x14ac:dyDescent="0.25">
      <c r="A56" s="43" t="s">
        <v>33</v>
      </c>
      <c r="B56" s="4" t="s">
        <v>16</v>
      </c>
      <c r="C56" s="5">
        <v>187256892.54894736</v>
      </c>
      <c r="D56" s="5">
        <v>209126631.50186193</v>
      </c>
      <c r="E56" s="5">
        <v>209242403.65922093</v>
      </c>
      <c r="F56" s="5">
        <v>196652183.86894727</v>
      </c>
      <c r="G56" s="5">
        <v>195946879.4206579</v>
      </c>
      <c r="H56" s="5">
        <v>195903038.21539471</v>
      </c>
      <c r="I56" s="5">
        <v>203139582.12539476</v>
      </c>
      <c r="J56" s="5">
        <v>199242995.59302634</v>
      </c>
      <c r="K56" s="5">
        <v>200870722.84105265</v>
      </c>
      <c r="L56" s="5">
        <v>202310628.16776317</v>
      </c>
    </row>
    <row r="57" spans="1:12" x14ac:dyDescent="0.25">
      <c r="A57" s="43" t="s">
        <v>33</v>
      </c>
      <c r="B57" s="4" t="s">
        <v>17</v>
      </c>
      <c r="C57" s="5">
        <v>44477780.889205366</v>
      </c>
      <c r="D57" s="5">
        <v>26606247.928684216</v>
      </c>
      <c r="E57" s="5">
        <v>26567262.433947373</v>
      </c>
      <c r="F57" s="5">
        <v>43705954.472193837</v>
      </c>
      <c r="G57" s="5">
        <v>47711323.775777429</v>
      </c>
      <c r="H57" s="5">
        <v>53236247.996842094</v>
      </c>
      <c r="I57" s="5">
        <v>54840875.22182747</v>
      </c>
      <c r="J57" s="5">
        <v>60602749.264576018</v>
      </c>
      <c r="K57" s="5">
        <v>61074884.471491218</v>
      </c>
      <c r="L57" s="5">
        <v>61534344.793815792</v>
      </c>
    </row>
    <row r="58" spans="1:12" x14ac:dyDescent="0.25">
      <c r="A58" s="43" t="s">
        <v>34</v>
      </c>
      <c r="B58" s="4" t="s">
        <v>14</v>
      </c>
      <c r="C58" s="5">
        <v>96554.05</v>
      </c>
      <c r="D58" s="5">
        <v>4420.4775</v>
      </c>
      <c r="E58" s="5">
        <v>98625.579999999973</v>
      </c>
      <c r="F58" s="5">
        <v>98355.665000000008</v>
      </c>
      <c r="G58" s="5">
        <v>98561.235000000001</v>
      </c>
      <c r="H58" s="5">
        <v>98788.277499999982</v>
      </c>
      <c r="I58" s="5">
        <v>98931.654999999999</v>
      </c>
      <c r="J58" s="5">
        <v>99072.29250000001</v>
      </c>
      <c r="K58" s="5">
        <v>99145.485000000001</v>
      </c>
      <c r="L58" s="5">
        <v>99151.439999999988</v>
      </c>
    </row>
    <row r="59" spans="1:12" x14ac:dyDescent="0.25">
      <c r="A59" s="43" t="s">
        <v>34</v>
      </c>
      <c r="B59" s="4" t="s">
        <v>15</v>
      </c>
      <c r="C59" s="5">
        <v>3007587.12</v>
      </c>
      <c r="D59" s="5">
        <v>3039919.5749999997</v>
      </c>
      <c r="E59" s="5">
        <v>3128143.665</v>
      </c>
      <c r="F59" s="5">
        <v>3222722.88</v>
      </c>
      <c r="G59" s="5">
        <v>3317314.0199999996</v>
      </c>
      <c r="H59" s="5">
        <v>3413368.8600000003</v>
      </c>
      <c r="I59" s="5">
        <v>3509043.3224999998</v>
      </c>
      <c r="J59" s="5">
        <v>3602125.6199999992</v>
      </c>
      <c r="K59" s="5">
        <v>3694964.37</v>
      </c>
      <c r="L59" s="5">
        <v>3781590.8850000007</v>
      </c>
    </row>
    <row r="60" spans="1:12" x14ac:dyDescent="0.25">
      <c r="A60" s="43" t="s">
        <v>34</v>
      </c>
      <c r="B60" s="4" t="s">
        <v>16</v>
      </c>
      <c r="C60" s="5">
        <v>2818989.8105263161</v>
      </c>
      <c r="D60" s="5">
        <v>2776716.8</v>
      </c>
      <c r="E60" s="5">
        <v>2726441.210526316</v>
      </c>
      <c r="F60" s="5">
        <v>2674099.115789474</v>
      </c>
      <c r="G60" s="5">
        <v>2608856.5789473685</v>
      </c>
      <c r="H60" s="5">
        <v>2540714.0315789473</v>
      </c>
      <c r="I60" s="5">
        <v>2482740.1263157893</v>
      </c>
      <c r="J60" s="5">
        <v>2432923.9578947364</v>
      </c>
      <c r="K60" s="5">
        <v>2391715.8210526318</v>
      </c>
      <c r="L60" s="5">
        <v>2364272.5157894739</v>
      </c>
    </row>
    <row r="61" spans="1:12" x14ac:dyDescent="0.25">
      <c r="A61" s="43" t="s">
        <v>34</v>
      </c>
      <c r="B61" s="4" t="s">
        <v>17</v>
      </c>
      <c r="C61" s="6"/>
      <c r="D61" s="5">
        <v>93292.862500000003</v>
      </c>
      <c r="E61" s="6"/>
      <c r="F61" s="6"/>
      <c r="G61" s="6"/>
      <c r="H61" s="6"/>
      <c r="I61" s="6"/>
      <c r="J61" s="6"/>
      <c r="K61" s="6"/>
      <c r="L61" s="6"/>
    </row>
    <row r="62" spans="1:12" x14ac:dyDescent="0.25">
      <c r="A62" s="43" t="s">
        <v>35</v>
      </c>
      <c r="B62" s="4" t="s">
        <v>14</v>
      </c>
      <c r="C62" s="5">
        <v>19342154.227236841</v>
      </c>
      <c r="D62" s="5">
        <v>19214077.757236842</v>
      </c>
      <c r="E62" s="5">
        <v>19552841.715131577</v>
      </c>
      <c r="F62" s="5">
        <v>19561503.99947368</v>
      </c>
      <c r="G62" s="5">
        <v>41717720.125131577</v>
      </c>
      <c r="H62" s="5">
        <v>41652936.149999999</v>
      </c>
      <c r="I62" s="5">
        <v>41349567.022631586</v>
      </c>
      <c r="J62" s="5">
        <v>43424405.990000002</v>
      </c>
      <c r="K62" s="5">
        <v>43010997.995263159</v>
      </c>
      <c r="L62" s="5">
        <v>42709218.048947372</v>
      </c>
    </row>
    <row r="63" spans="1:12" x14ac:dyDescent="0.25">
      <c r="A63" s="43" t="s">
        <v>35</v>
      </c>
      <c r="B63" s="4" t="s">
        <v>16</v>
      </c>
      <c r="C63" s="5">
        <v>785739.99255263153</v>
      </c>
      <c r="D63" s="5">
        <v>774968.55339473684</v>
      </c>
      <c r="E63" s="5">
        <v>770200.5813157896</v>
      </c>
      <c r="F63" s="5">
        <v>623461.03902631579</v>
      </c>
      <c r="G63" s="5">
        <v>615718.705381579</v>
      </c>
      <c r="H63" s="5">
        <v>608897.09909210529</v>
      </c>
      <c r="I63" s="5">
        <v>602280.58921052632</v>
      </c>
      <c r="J63" s="5">
        <v>596041.00826315791</v>
      </c>
      <c r="K63" s="5">
        <v>590604.13457894733</v>
      </c>
      <c r="L63" s="5">
        <v>585519.70234210533</v>
      </c>
    </row>
    <row r="64" spans="1:12" x14ac:dyDescent="0.25">
      <c r="A64" s="43" t="s">
        <v>35</v>
      </c>
      <c r="B64" s="4" t="s">
        <v>17</v>
      </c>
      <c r="C64" s="5">
        <v>36887215.528578945</v>
      </c>
      <c r="D64" s="5">
        <v>33043395.137763161</v>
      </c>
      <c r="E64" s="5">
        <v>31335788.773289476</v>
      </c>
      <c r="F64" s="5">
        <v>31187218.439868424</v>
      </c>
      <c r="G64" s="5">
        <v>8967169.3305263165</v>
      </c>
      <c r="H64" s="5">
        <v>8919417.6006578952</v>
      </c>
      <c r="I64" s="5">
        <v>8889637.1603947375</v>
      </c>
      <c r="J64" s="5">
        <v>6385199.4905263176</v>
      </c>
      <c r="K64" s="5">
        <v>6382045.6852631569</v>
      </c>
      <c r="L64" s="5">
        <v>6391844.9436842091</v>
      </c>
    </row>
    <row r="65" spans="1:12" x14ac:dyDescent="0.25">
      <c r="A65" s="43" t="s">
        <v>36</v>
      </c>
      <c r="B65" s="4" t="s">
        <v>13</v>
      </c>
      <c r="C65" s="6"/>
      <c r="D65" s="6"/>
      <c r="E65" s="6"/>
      <c r="F65" s="6"/>
      <c r="G65" s="6"/>
      <c r="H65" s="6"/>
      <c r="I65" s="6"/>
      <c r="J65" s="6"/>
      <c r="K65" s="6"/>
      <c r="L65" s="6"/>
    </row>
    <row r="66" spans="1:12" x14ac:dyDescent="0.25">
      <c r="A66" s="43" t="s">
        <v>36</v>
      </c>
      <c r="B66" s="4" t="s">
        <v>14</v>
      </c>
      <c r="C66" s="5">
        <v>33984878.765763164</v>
      </c>
      <c r="D66" s="5">
        <v>34115329.284334213</v>
      </c>
      <c r="E66" s="5">
        <v>34736614.82303948</v>
      </c>
      <c r="F66" s="5">
        <v>34770268.068073682</v>
      </c>
      <c r="G66" s="5">
        <v>67684316.886159211</v>
      </c>
      <c r="H66" s="5">
        <v>69430333.179696068</v>
      </c>
      <c r="I66" s="5">
        <v>69175096.522006586</v>
      </c>
      <c r="J66" s="5">
        <v>72217686.184276819</v>
      </c>
      <c r="K66" s="5">
        <v>71616853.247921243</v>
      </c>
      <c r="L66" s="5">
        <v>71135570.336828187</v>
      </c>
    </row>
    <row r="67" spans="1:12" x14ac:dyDescent="0.25">
      <c r="A67" s="43" t="s">
        <v>36</v>
      </c>
      <c r="B67" s="4" t="s">
        <v>15</v>
      </c>
      <c r="C67" s="5">
        <v>2464479.4480263158</v>
      </c>
      <c r="D67" s="5">
        <v>3343214.0053947368</v>
      </c>
      <c r="E67" s="5">
        <v>7632520.7832894735</v>
      </c>
      <c r="F67" s="5">
        <v>8361209.6399473678</v>
      </c>
      <c r="G67" s="5">
        <v>8058386.7235526312</v>
      </c>
      <c r="H67" s="5">
        <v>8258917.0631578956</v>
      </c>
      <c r="I67" s="5">
        <v>8449841.8723684214</v>
      </c>
      <c r="J67" s="5">
        <v>8610263.4413157888</v>
      </c>
      <c r="K67" s="5">
        <v>8770774.6185526308</v>
      </c>
      <c r="L67" s="5">
        <v>8918362.7869736832</v>
      </c>
    </row>
    <row r="68" spans="1:12" x14ac:dyDescent="0.25">
      <c r="A68" s="43" t="s">
        <v>36</v>
      </c>
      <c r="B68" s="4" t="s">
        <v>16</v>
      </c>
      <c r="C68" s="5">
        <v>57038072.696059935</v>
      </c>
      <c r="D68" s="5">
        <v>63481542.293552622</v>
      </c>
      <c r="E68" s="5">
        <v>63317108.046356723</v>
      </c>
      <c r="F68" s="5">
        <v>58484917.884078942</v>
      </c>
      <c r="G68" s="5">
        <v>57987735.830263153</v>
      </c>
      <c r="H68" s="5">
        <v>56088060.509078935</v>
      </c>
      <c r="I68" s="5">
        <v>56731241.55223684</v>
      </c>
      <c r="J68" s="5">
        <v>55209696.521052629</v>
      </c>
      <c r="K68" s="5">
        <v>55817446.861315772</v>
      </c>
      <c r="L68" s="5">
        <v>56037443.403815791</v>
      </c>
    </row>
    <row r="69" spans="1:12" x14ac:dyDescent="0.25">
      <c r="A69" s="43" t="s">
        <v>36</v>
      </c>
      <c r="B69" s="4" t="s">
        <v>17</v>
      </c>
      <c r="C69" s="5">
        <v>60248339.662234746</v>
      </c>
      <c r="D69" s="5">
        <v>52391546.425925076</v>
      </c>
      <c r="E69" s="5">
        <v>52753047.446851186</v>
      </c>
      <c r="F69" s="5">
        <v>58435166.403509676</v>
      </c>
      <c r="G69" s="5">
        <v>26698100.53214509</v>
      </c>
      <c r="H69" s="5">
        <v>27317645.640037306</v>
      </c>
      <c r="I69" s="5">
        <v>27166405.224296231</v>
      </c>
      <c r="J69" s="5">
        <v>25790266.761403508</v>
      </c>
      <c r="K69" s="5">
        <v>25966473.697441526</v>
      </c>
      <c r="L69" s="5">
        <v>26078721.471578948</v>
      </c>
    </row>
    <row r="70" spans="1:12" x14ac:dyDescent="0.25">
      <c r="A70" s="43" t="s">
        <v>37</v>
      </c>
      <c r="B70" s="4" t="s">
        <v>13</v>
      </c>
      <c r="C70" s="6"/>
      <c r="D70" s="6"/>
      <c r="E70" s="6"/>
      <c r="F70" s="6"/>
      <c r="G70" s="6"/>
      <c r="H70" s="6"/>
      <c r="I70" s="6"/>
      <c r="J70" s="6"/>
      <c r="K70" s="6"/>
      <c r="L70" s="6"/>
    </row>
    <row r="71" spans="1:12" x14ac:dyDescent="0.25">
      <c r="A71" s="43" t="s">
        <v>37</v>
      </c>
      <c r="B71" s="4" t="s">
        <v>14</v>
      </c>
      <c r="C71" s="5">
        <v>6995860.4326315792</v>
      </c>
      <c r="D71" s="5">
        <v>7100127.2752631577</v>
      </c>
      <c r="E71" s="5">
        <v>7253185.0627631582</v>
      </c>
      <c r="F71" s="5">
        <v>7264196.1848684205</v>
      </c>
      <c r="G71" s="5">
        <v>13729999.72407895</v>
      </c>
      <c r="H71" s="5">
        <v>13602761.687894737</v>
      </c>
      <c r="I71" s="5">
        <v>13513494.416315794</v>
      </c>
      <c r="J71" s="5">
        <v>13427059.710526321</v>
      </c>
      <c r="K71" s="5">
        <v>13357349.637631577</v>
      </c>
      <c r="L71" s="5">
        <v>13285092.037631579</v>
      </c>
    </row>
    <row r="72" spans="1:12" x14ac:dyDescent="0.25">
      <c r="A72" s="43" t="s">
        <v>37</v>
      </c>
      <c r="B72" s="4" t="s">
        <v>15</v>
      </c>
      <c r="C72" s="6"/>
      <c r="D72" s="6"/>
      <c r="E72" s="6"/>
      <c r="F72" s="6"/>
      <c r="G72" s="6"/>
      <c r="H72" s="6"/>
      <c r="I72" s="6"/>
      <c r="J72" s="6"/>
      <c r="K72" s="6"/>
      <c r="L72" s="6"/>
    </row>
    <row r="73" spans="1:12" x14ac:dyDescent="0.25">
      <c r="A73" s="43" t="s">
        <v>37</v>
      </c>
      <c r="B73" s="4" t="s">
        <v>16</v>
      </c>
      <c r="C73" s="5">
        <v>927637.83394736843</v>
      </c>
      <c r="D73" s="5">
        <v>777066.97697368416</v>
      </c>
      <c r="E73" s="5">
        <v>630153.08855263167</v>
      </c>
      <c r="F73" s="5">
        <v>3543.6963157894734</v>
      </c>
      <c r="G73" s="5">
        <v>3783.6457894736841</v>
      </c>
      <c r="H73" s="5">
        <v>4031.9913157894744</v>
      </c>
      <c r="I73" s="6"/>
      <c r="J73" s="6"/>
      <c r="K73" s="6"/>
      <c r="L73" s="6"/>
    </row>
    <row r="74" spans="1:12" x14ac:dyDescent="0.25">
      <c r="A74" s="43" t="s">
        <v>37</v>
      </c>
      <c r="B74" s="4" t="s">
        <v>17</v>
      </c>
      <c r="C74" s="5">
        <v>14140472.008157894</v>
      </c>
      <c r="D74" s="5">
        <v>13620855.391842108</v>
      </c>
      <c r="E74" s="5">
        <v>13543333.73973684</v>
      </c>
      <c r="F74" s="5">
        <v>14047665.786973683</v>
      </c>
      <c r="G74" s="5">
        <v>7395309.0546052633</v>
      </c>
      <c r="H74" s="5">
        <v>7344315.140394737</v>
      </c>
      <c r="I74" s="5">
        <v>7295780.1138157891</v>
      </c>
      <c r="J74" s="5">
        <v>7260497.9540789472</v>
      </c>
      <c r="K74" s="5">
        <v>7230088.7596052643</v>
      </c>
      <c r="L74" s="5">
        <v>7212690.1784210531</v>
      </c>
    </row>
    <row r="75" spans="1:12" x14ac:dyDescent="0.25">
      <c r="A75" s="43" t="s">
        <v>38</v>
      </c>
      <c r="B75" s="4" t="s">
        <v>14</v>
      </c>
      <c r="C75" s="6"/>
      <c r="D75" s="6"/>
      <c r="E75" s="6"/>
      <c r="F75" s="6"/>
      <c r="G75" s="5">
        <v>3297621.9505263157</v>
      </c>
      <c r="H75" s="5">
        <v>3264309.8052631579</v>
      </c>
      <c r="I75" s="5">
        <v>3225860.8105263161</v>
      </c>
      <c r="J75" s="5">
        <v>3193876.098947369</v>
      </c>
      <c r="K75" s="5">
        <v>3165801.7831578949</v>
      </c>
      <c r="L75" s="5">
        <v>3143161.6294736844</v>
      </c>
    </row>
    <row r="76" spans="1:12" x14ac:dyDescent="0.25">
      <c r="A76" s="43" t="s">
        <v>38</v>
      </c>
      <c r="B76" s="4" t="s">
        <v>17</v>
      </c>
      <c r="C76" s="5">
        <v>4172681.8042105264</v>
      </c>
      <c r="D76" s="5">
        <v>3591155.4915789478</v>
      </c>
      <c r="E76" s="5">
        <v>3359748.097894737</v>
      </c>
      <c r="F76" s="5">
        <v>3325081.32</v>
      </c>
      <c r="G76" s="6"/>
      <c r="H76" s="6"/>
      <c r="I76" s="6"/>
      <c r="J76" s="6"/>
      <c r="K76" s="6"/>
      <c r="L76" s="6"/>
    </row>
    <row r="77" spans="1:12" x14ac:dyDescent="0.25">
      <c r="A77" s="3" t="s">
        <v>39</v>
      </c>
      <c r="B77" s="4" t="s">
        <v>14</v>
      </c>
      <c r="C77" s="5">
        <v>695526.94736842113</v>
      </c>
      <c r="D77" s="5">
        <v>687946.70671052625</v>
      </c>
      <c r="E77" s="5">
        <v>694703.88789473707</v>
      </c>
      <c r="F77" s="5">
        <v>702025.28184210532</v>
      </c>
      <c r="G77" s="5">
        <v>700484.24605263153</v>
      </c>
      <c r="H77" s="5">
        <v>698994.12631578953</v>
      </c>
      <c r="I77" s="5">
        <v>698015.68421052629</v>
      </c>
      <c r="J77" s="5">
        <v>697165.07368421066</v>
      </c>
      <c r="K77" s="5">
        <v>695231.84210526326</v>
      </c>
      <c r="L77" s="5">
        <v>694846.97368421056</v>
      </c>
    </row>
    <row r="78" spans="1:12" x14ac:dyDescent="0.25">
      <c r="A78" s="43" t="s">
        <v>40</v>
      </c>
      <c r="B78" s="4" t="s">
        <v>14</v>
      </c>
      <c r="C78" s="5">
        <v>15591236.735908311</v>
      </c>
      <c r="D78" s="5">
        <v>16348175.240884371</v>
      </c>
      <c r="E78" s="5">
        <v>15564931.569401925</v>
      </c>
      <c r="F78" s="5">
        <v>15660219.465642683</v>
      </c>
      <c r="G78" s="5">
        <v>28554096.370062895</v>
      </c>
      <c r="H78" s="5">
        <v>33718494.137045115</v>
      </c>
      <c r="I78" s="5">
        <v>32942413.26698659</v>
      </c>
      <c r="J78" s="5">
        <v>34755971.267729878</v>
      </c>
      <c r="K78" s="5">
        <v>33157158.944332317</v>
      </c>
      <c r="L78" s="5">
        <v>31169164.653893046</v>
      </c>
    </row>
    <row r="79" spans="1:12" x14ac:dyDescent="0.25">
      <c r="A79" s="43" t="s">
        <v>40</v>
      </c>
      <c r="B79" s="4" t="s">
        <v>15</v>
      </c>
      <c r="C79" s="5">
        <v>8445039.9039260466</v>
      </c>
      <c r="D79" s="5">
        <v>8068490.5486219293</v>
      </c>
      <c r="E79" s="5">
        <v>8697353.9788537379</v>
      </c>
      <c r="F79" s="5">
        <v>8639301.968057204</v>
      </c>
      <c r="G79" s="5">
        <v>8865939.5842496864</v>
      </c>
      <c r="H79" s="5">
        <v>13281006.095277458</v>
      </c>
      <c r="I79" s="5">
        <v>15657630.555437675</v>
      </c>
      <c r="J79" s="5">
        <v>14215990.148257401</v>
      </c>
      <c r="K79" s="5">
        <v>7927817.931441986</v>
      </c>
      <c r="L79" s="5">
        <v>9024207.2250826061</v>
      </c>
    </row>
    <row r="80" spans="1:12" x14ac:dyDescent="0.25">
      <c r="A80" s="43" t="s">
        <v>40</v>
      </c>
      <c r="B80" s="4" t="s">
        <v>16</v>
      </c>
      <c r="C80" s="5">
        <v>10543169.817411173</v>
      </c>
      <c r="D80" s="5">
        <v>10711344.3137183</v>
      </c>
      <c r="E80" s="5">
        <v>18762622.634339523</v>
      </c>
      <c r="F80" s="5">
        <v>64210185.424088508</v>
      </c>
      <c r="G80" s="5">
        <v>83804665.617757857</v>
      </c>
      <c r="H80" s="5">
        <v>51422767.638681434</v>
      </c>
      <c r="I80" s="5">
        <v>26579344.119758602</v>
      </c>
      <c r="J80" s="5">
        <v>28152444.048961874</v>
      </c>
      <c r="K80" s="5">
        <v>25802648.935285345</v>
      </c>
      <c r="L80" s="5">
        <v>26014337.772836529</v>
      </c>
    </row>
    <row r="81" spans="1:12" x14ac:dyDescent="0.25">
      <c r="A81" s="43" t="s">
        <v>40</v>
      </c>
      <c r="B81" s="4" t="s">
        <v>17</v>
      </c>
      <c r="C81" s="5">
        <v>14992957.873918848</v>
      </c>
      <c r="D81" s="5">
        <v>14515697.776637636</v>
      </c>
      <c r="E81" s="5">
        <v>15274861.438457089</v>
      </c>
      <c r="F81" s="5">
        <v>19450738.65157653</v>
      </c>
      <c r="G81" s="5">
        <v>20205254.095708884</v>
      </c>
      <c r="H81" s="5">
        <v>24108466.596648775</v>
      </c>
      <c r="I81" s="5">
        <v>21060275.464883566</v>
      </c>
      <c r="J81" s="5">
        <v>21621711.183778867</v>
      </c>
      <c r="K81" s="5">
        <v>21528955.833815135</v>
      </c>
      <c r="L81" s="5">
        <v>21218834.523721006</v>
      </c>
    </row>
    <row r="82" spans="1:12" x14ac:dyDescent="0.25">
      <c r="A82" s="43" t="s">
        <v>41</v>
      </c>
      <c r="B82" s="4" t="s">
        <v>14</v>
      </c>
      <c r="C82" s="5">
        <v>1226599.1622368421</v>
      </c>
      <c r="D82" s="5">
        <v>1324225.6030263158</v>
      </c>
      <c r="E82" s="5">
        <v>1312382.8061286549</v>
      </c>
      <c r="F82" s="5">
        <v>1294761.9757514622</v>
      </c>
      <c r="G82" s="5">
        <v>23117258.169137426</v>
      </c>
      <c r="H82" s="5">
        <v>25089409.035687134</v>
      </c>
      <c r="I82" s="5">
        <v>24819659.477748543</v>
      </c>
      <c r="J82" s="5">
        <v>24831660.574736845</v>
      </c>
      <c r="K82" s="5">
        <v>24640745.64824561</v>
      </c>
      <c r="L82" s="5">
        <v>24485113.215146199</v>
      </c>
    </row>
    <row r="83" spans="1:12" x14ac:dyDescent="0.25">
      <c r="A83" s="43" t="s">
        <v>41</v>
      </c>
      <c r="B83" s="4" t="s">
        <v>15</v>
      </c>
      <c r="C83" s="5">
        <v>21892027.229093567</v>
      </c>
      <c r="D83" s="5">
        <v>35370385.876893371</v>
      </c>
      <c r="E83" s="5">
        <v>43383048.320546925</v>
      </c>
      <c r="F83" s="5">
        <v>44168092.629186407</v>
      </c>
      <c r="G83" s="5">
        <v>44456827.613713443</v>
      </c>
      <c r="H83" s="5">
        <v>42173052.10508772</v>
      </c>
      <c r="I83" s="5">
        <v>39813928.575233921</v>
      </c>
      <c r="J83" s="5">
        <v>40842161.270321637</v>
      </c>
      <c r="K83" s="5">
        <v>41967858.645906433</v>
      </c>
      <c r="L83" s="5">
        <v>42986086.185204685</v>
      </c>
    </row>
    <row r="84" spans="1:12" x14ac:dyDescent="0.25">
      <c r="A84" s="43" t="s">
        <v>41</v>
      </c>
      <c r="B84" s="4" t="s">
        <v>16</v>
      </c>
      <c r="C84" s="5">
        <v>61887019.618393153</v>
      </c>
      <c r="D84" s="5">
        <v>76540581.274003521</v>
      </c>
      <c r="E84" s="5">
        <v>87435209.820910603</v>
      </c>
      <c r="F84" s="5">
        <v>86151311.958397955</v>
      </c>
      <c r="G84" s="5">
        <v>85634774.521221012</v>
      </c>
      <c r="H84" s="5">
        <v>86020716.870259404</v>
      </c>
      <c r="I84" s="5">
        <v>90723780.496778741</v>
      </c>
      <c r="J84" s="5">
        <v>87674087.28501597</v>
      </c>
      <c r="K84" s="5">
        <v>88839418.959161595</v>
      </c>
      <c r="L84" s="5">
        <v>89969889.638869569</v>
      </c>
    </row>
    <row r="85" spans="1:12" x14ac:dyDescent="0.25">
      <c r="A85" s="43" t="s">
        <v>41</v>
      </c>
      <c r="B85" s="4" t="s">
        <v>17</v>
      </c>
      <c r="C85" s="5">
        <v>50672488.046997085</v>
      </c>
      <c r="D85" s="5">
        <v>43786713.82157895</v>
      </c>
      <c r="E85" s="5">
        <v>44048834.602488309</v>
      </c>
      <c r="F85" s="5">
        <v>52421959.98148866</v>
      </c>
      <c r="G85" s="5">
        <v>34387698.018916056</v>
      </c>
      <c r="H85" s="5">
        <v>37520795.787243783</v>
      </c>
      <c r="I85" s="5">
        <v>37932097.460748538</v>
      </c>
      <c r="J85" s="5">
        <v>42482033.02948831</v>
      </c>
      <c r="K85" s="5">
        <v>42788148.036552623</v>
      </c>
      <c r="L85" s="5">
        <v>43092807.72445029</v>
      </c>
    </row>
    <row r="86" spans="1:12" x14ac:dyDescent="0.25">
      <c r="A86" s="43" t="s">
        <v>42</v>
      </c>
      <c r="B86" s="4" t="s">
        <v>14</v>
      </c>
      <c r="C86" s="5">
        <v>4830577.5702786371</v>
      </c>
      <c r="D86" s="5">
        <v>4712713.6593111465</v>
      </c>
      <c r="E86" s="5">
        <v>4672687.7501160996</v>
      </c>
      <c r="F86" s="5">
        <v>4596422.1545975236</v>
      </c>
      <c r="G86" s="5">
        <v>26502605.993599072</v>
      </c>
      <c r="H86" s="5">
        <v>27173589.7351548</v>
      </c>
      <c r="I86" s="5">
        <v>26907560.51889319</v>
      </c>
      <c r="J86" s="5">
        <v>26642508.558366872</v>
      </c>
      <c r="K86" s="5">
        <v>26409411.517647061</v>
      </c>
      <c r="L86" s="5">
        <v>26223826.190433443</v>
      </c>
    </row>
    <row r="87" spans="1:12" x14ac:dyDescent="0.25">
      <c r="A87" s="43" t="s">
        <v>42</v>
      </c>
      <c r="B87" s="4" t="s">
        <v>15</v>
      </c>
      <c r="C87" s="6"/>
      <c r="D87" s="6"/>
      <c r="E87" s="6"/>
      <c r="F87" s="6"/>
      <c r="G87" s="6"/>
      <c r="H87" s="6"/>
      <c r="I87" s="6"/>
      <c r="J87" s="6"/>
      <c r="K87" s="6"/>
      <c r="L87" s="6"/>
    </row>
    <row r="88" spans="1:12" x14ac:dyDescent="0.25">
      <c r="A88" s="43" t="s">
        <v>42</v>
      </c>
      <c r="B88" s="4" t="s">
        <v>16</v>
      </c>
      <c r="C88" s="5">
        <v>41808660.28264612</v>
      </c>
      <c r="D88" s="5">
        <v>52213126.513709977</v>
      </c>
      <c r="E88" s="5">
        <v>42543993.798452042</v>
      </c>
      <c r="F88" s="5">
        <v>42706383.259538174</v>
      </c>
      <c r="G88" s="5">
        <v>63597569.223447792</v>
      </c>
      <c r="H88" s="5">
        <v>40711273.447253115</v>
      </c>
      <c r="I88" s="5">
        <v>40812995.545628145</v>
      </c>
      <c r="J88" s="5">
        <v>38756276.293801516</v>
      </c>
      <c r="K88" s="5">
        <v>39099694.456401616</v>
      </c>
      <c r="L88" s="5">
        <v>38913109.206510134</v>
      </c>
    </row>
    <row r="89" spans="1:12" x14ac:dyDescent="0.25">
      <c r="A89" s="43" t="s">
        <v>42</v>
      </c>
      <c r="B89" s="4" t="s">
        <v>17</v>
      </c>
      <c r="C89" s="5">
        <v>29879068.391973689</v>
      </c>
      <c r="D89" s="5">
        <v>27359730.041578945</v>
      </c>
      <c r="E89" s="5">
        <v>25296329.037368424</v>
      </c>
      <c r="F89" s="5">
        <v>24495184.306368422</v>
      </c>
      <c r="G89" s="5">
        <v>7008198.675042104</v>
      </c>
      <c r="H89" s="5">
        <v>6003831.432826316</v>
      </c>
      <c r="I89" s="5">
        <v>6332230.5975091327</v>
      </c>
      <c r="J89" s="5">
        <v>8268308.0332235293</v>
      </c>
      <c r="K89" s="5">
        <v>8294942.8078565011</v>
      </c>
      <c r="L89" s="5">
        <v>8318128.2670879252</v>
      </c>
    </row>
    <row r="90" spans="1:12" x14ac:dyDescent="0.25">
      <c r="A90" s="44" t="s">
        <v>43</v>
      </c>
      <c r="B90" s="4" t="s">
        <v>13</v>
      </c>
      <c r="C90" s="6"/>
      <c r="D90" s="6"/>
      <c r="E90" s="6"/>
      <c r="F90" s="6"/>
      <c r="G90" s="6"/>
      <c r="H90" s="6"/>
      <c r="I90" s="6"/>
      <c r="J90" s="6"/>
      <c r="K90" s="6"/>
      <c r="L90" s="6"/>
    </row>
    <row r="91" spans="1:12" x14ac:dyDescent="0.25">
      <c r="A91" s="45" t="s">
        <v>43</v>
      </c>
      <c r="B91" s="4" t="s">
        <v>14</v>
      </c>
      <c r="C91" s="5">
        <v>657848.21052631584</v>
      </c>
      <c r="D91" s="5">
        <v>638321.45263157901</v>
      </c>
      <c r="E91" s="5">
        <v>627877.74736842106</v>
      </c>
      <c r="F91" s="5">
        <v>620308.02105263155</v>
      </c>
      <c r="G91" s="5">
        <v>613473.81052631582</v>
      </c>
      <c r="H91" s="5">
        <v>606713.87368421047</v>
      </c>
      <c r="I91" s="5">
        <v>602194.52631578955</v>
      </c>
      <c r="J91" s="5">
        <v>598622.16842105263</v>
      </c>
      <c r="K91" s="5">
        <v>595441.81052631582</v>
      </c>
      <c r="L91" s="5">
        <v>593298.1894736843</v>
      </c>
    </row>
    <row r="92" spans="1:12" x14ac:dyDescent="0.25">
      <c r="A92" s="45" t="s">
        <v>43</v>
      </c>
      <c r="B92" s="4" t="s">
        <v>15</v>
      </c>
      <c r="C92" s="5">
        <v>29085303.184087306</v>
      </c>
      <c r="D92" s="5">
        <v>55790516.942974597</v>
      </c>
      <c r="E92" s="5">
        <v>71801071.94883801</v>
      </c>
      <c r="F92" s="7">
        <v>32068650.697210319</v>
      </c>
      <c r="G92" s="7">
        <v>48376248.114642859</v>
      </c>
      <c r="H92" s="7">
        <v>11006234.9114444</v>
      </c>
      <c r="I92" s="7">
        <v>5751303.3239285704</v>
      </c>
      <c r="J92" s="7">
        <v>829582.93499999994</v>
      </c>
      <c r="K92" s="7">
        <v>854456.60285714292</v>
      </c>
      <c r="L92" s="7">
        <v>882693.01642857143</v>
      </c>
    </row>
    <row r="93" spans="1:12" x14ac:dyDescent="0.25">
      <c r="A93" s="45" t="s">
        <v>43</v>
      </c>
      <c r="B93" s="4" t="s">
        <v>16</v>
      </c>
      <c r="C93" s="5">
        <v>33680395.710144445</v>
      </c>
      <c r="D93" s="5">
        <v>48814949.765555553</v>
      </c>
      <c r="E93" s="5">
        <v>18409145.217500001</v>
      </c>
      <c r="F93" s="5">
        <v>37130706.397341274</v>
      </c>
      <c r="G93" s="5">
        <v>37845517.91190476</v>
      </c>
      <c r="H93" s="5">
        <v>9937258.7055952381</v>
      </c>
      <c r="I93" s="5">
        <v>6686267.018571429</v>
      </c>
      <c r="J93" s="5">
        <v>70126.46666666666</v>
      </c>
      <c r="K93" s="5">
        <v>69021.516666666677</v>
      </c>
      <c r="L93" s="5">
        <v>68866.200000000012</v>
      </c>
    </row>
    <row r="94" spans="1:12" x14ac:dyDescent="0.25">
      <c r="A94" s="46" t="s">
        <v>43</v>
      </c>
      <c r="B94" s="4" t="s">
        <v>17</v>
      </c>
      <c r="C94" s="5">
        <v>10222643.776964284</v>
      </c>
      <c r="D94" s="5">
        <v>6104607.2813304085</v>
      </c>
      <c r="E94" s="5">
        <v>4705717.4614682542</v>
      </c>
      <c r="F94" s="5">
        <v>4469390.840119048</v>
      </c>
      <c r="G94" s="5">
        <v>13908265.073760442</v>
      </c>
      <c r="H94" s="5">
        <v>6883393.9590972234</v>
      </c>
      <c r="I94" s="5">
        <v>6767920.4044742063</v>
      </c>
      <c r="J94" s="5">
        <v>10915801.070745613</v>
      </c>
      <c r="K94" s="5">
        <v>15041022.458750002</v>
      </c>
      <c r="L94" s="5">
        <v>9727462.9341666661</v>
      </c>
    </row>
    <row r="95" spans="1:12" x14ac:dyDescent="0.25">
      <c r="A95" s="43" t="s">
        <v>44</v>
      </c>
      <c r="B95" s="4" t="s">
        <v>13</v>
      </c>
      <c r="C95" s="5">
        <v>500000</v>
      </c>
      <c r="D95" s="5">
        <v>500000</v>
      </c>
      <c r="E95" s="5">
        <v>500000</v>
      </c>
      <c r="F95" s="5">
        <v>500000</v>
      </c>
      <c r="G95" s="5">
        <v>500000</v>
      </c>
      <c r="H95" s="5">
        <v>500000</v>
      </c>
      <c r="I95" s="5">
        <v>500000</v>
      </c>
      <c r="J95" s="5">
        <v>500000</v>
      </c>
      <c r="K95" s="5">
        <v>500000</v>
      </c>
      <c r="L95" s="5">
        <v>500000</v>
      </c>
    </row>
    <row r="96" spans="1:12" x14ac:dyDescent="0.25">
      <c r="A96" s="43" t="s">
        <v>44</v>
      </c>
      <c r="B96" s="4" t="s">
        <v>15</v>
      </c>
      <c r="C96" s="5">
        <v>9417144.9027500004</v>
      </c>
      <c r="D96" s="5">
        <v>32523384.59963889</v>
      </c>
      <c r="E96" s="5">
        <v>12049152.879866667</v>
      </c>
      <c r="F96" s="5">
        <v>15734433.594845831</v>
      </c>
      <c r="G96" s="5">
        <v>16705978.954457501</v>
      </c>
      <c r="H96" s="5">
        <v>15233959.885500001</v>
      </c>
      <c r="I96" s="5">
        <v>14095696.515500002</v>
      </c>
      <c r="J96" s="5">
        <v>14966724.106666666</v>
      </c>
      <c r="K96" s="5">
        <v>15964292.077666666</v>
      </c>
      <c r="L96" s="5">
        <v>16995032.578833334</v>
      </c>
    </row>
    <row r="97" spans="1:12" x14ac:dyDescent="0.25">
      <c r="A97" s="43" t="s">
        <v>44</v>
      </c>
      <c r="B97" s="4" t="s">
        <v>16</v>
      </c>
      <c r="C97" s="5">
        <v>9193454.5433708336</v>
      </c>
      <c r="D97" s="5">
        <v>15718123.355</v>
      </c>
      <c r="E97" s="5">
        <v>12544163.755300002</v>
      </c>
      <c r="F97" s="5">
        <v>14335307.682145001</v>
      </c>
      <c r="G97" s="5">
        <v>15396919.73501</v>
      </c>
      <c r="H97" s="5">
        <v>18304087.210833333</v>
      </c>
      <c r="I97" s="5">
        <v>20993779.795000002</v>
      </c>
      <c r="J97" s="5">
        <v>21572972.484166667</v>
      </c>
      <c r="K97" s="5">
        <v>22073223.619166665</v>
      </c>
      <c r="L97" s="5">
        <v>22529845.132500004</v>
      </c>
    </row>
    <row r="98" spans="1:12" x14ac:dyDescent="0.25">
      <c r="A98" s="43" t="s">
        <v>45</v>
      </c>
      <c r="B98" s="4" t="s">
        <v>14</v>
      </c>
      <c r="C98" s="6"/>
      <c r="D98" s="6"/>
      <c r="E98" s="6"/>
      <c r="F98" s="6"/>
      <c r="G98" s="5">
        <v>12177298.164705882</v>
      </c>
      <c r="H98" s="5">
        <v>12033614.223529411</v>
      </c>
      <c r="I98" s="5">
        <v>11914031.541176472</v>
      </c>
      <c r="J98" s="5">
        <v>11809033.305882353</v>
      </c>
      <c r="K98" s="5">
        <v>11724328.905882353</v>
      </c>
      <c r="L98" s="5">
        <v>11652763.552941177</v>
      </c>
    </row>
    <row r="99" spans="1:12" x14ac:dyDescent="0.25">
      <c r="A99" s="43" t="s">
        <v>45</v>
      </c>
      <c r="B99" s="4" t="s">
        <v>16</v>
      </c>
      <c r="C99" s="6"/>
      <c r="D99" s="6"/>
      <c r="E99" s="6"/>
      <c r="F99" s="6"/>
      <c r="G99" s="6"/>
      <c r="H99" s="6"/>
      <c r="I99" s="6"/>
      <c r="J99" s="6"/>
      <c r="K99" s="6"/>
      <c r="L99" s="6"/>
    </row>
    <row r="100" spans="1:12" x14ac:dyDescent="0.25">
      <c r="A100" s="43" t="s">
        <v>45</v>
      </c>
      <c r="B100" s="4" t="s">
        <v>17</v>
      </c>
      <c r="C100" s="5">
        <v>13396372.51764706</v>
      </c>
      <c r="D100" s="5">
        <v>12534288.670588234</v>
      </c>
      <c r="E100" s="5">
        <v>12404631.282352941</v>
      </c>
      <c r="F100" s="5">
        <v>12301868.117647059</v>
      </c>
      <c r="G100" s="6"/>
      <c r="H100" s="6"/>
      <c r="I100" s="6"/>
      <c r="J100" s="6"/>
      <c r="K100" s="6"/>
      <c r="L100" s="6"/>
    </row>
    <row r="101" spans="1:12" x14ac:dyDescent="0.25">
      <c r="A101" s="43" t="s">
        <v>46</v>
      </c>
      <c r="B101" s="4" t="s">
        <v>14</v>
      </c>
      <c r="C101" s="5">
        <v>753.43349999999987</v>
      </c>
      <c r="D101" s="5">
        <v>812.78429999999992</v>
      </c>
      <c r="E101" s="5">
        <v>878.15109999999993</v>
      </c>
      <c r="F101" s="5">
        <v>927.26580000000001</v>
      </c>
      <c r="G101" s="5">
        <v>3269610.5096789468</v>
      </c>
      <c r="H101" s="5">
        <v>3231087.9161421051</v>
      </c>
      <c r="I101" s="5">
        <v>3199040.7661184212</v>
      </c>
      <c r="J101" s="5">
        <v>3170923.9037763164</v>
      </c>
      <c r="K101" s="5">
        <v>3148263.0856657894</v>
      </c>
      <c r="L101" s="5">
        <v>3129137.4496973683</v>
      </c>
    </row>
    <row r="102" spans="1:12" x14ac:dyDescent="0.25">
      <c r="A102" s="43" t="s">
        <v>46</v>
      </c>
      <c r="B102" s="4" t="s">
        <v>16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</row>
    <row r="103" spans="1:12" x14ac:dyDescent="0.25">
      <c r="A103" s="43" t="s">
        <v>46</v>
      </c>
      <c r="B103" s="4" t="s">
        <v>17</v>
      </c>
      <c r="C103" s="5">
        <v>3595868.4126315792</v>
      </c>
      <c r="D103" s="5">
        <v>3364466.958947368</v>
      </c>
      <c r="E103" s="5">
        <v>3329664.1863157894</v>
      </c>
      <c r="F103" s="5">
        <v>3302080.3894736846</v>
      </c>
      <c r="G103" s="6"/>
      <c r="H103" s="6"/>
      <c r="I103" s="6"/>
      <c r="J103" s="6"/>
      <c r="K103" s="6"/>
      <c r="L103" s="6"/>
    </row>
    <row r="104" spans="1:12" x14ac:dyDescent="0.25">
      <c r="A104" s="43" t="s">
        <v>47</v>
      </c>
      <c r="B104" s="4" t="s">
        <v>14</v>
      </c>
      <c r="C104" s="6"/>
      <c r="D104" s="6"/>
      <c r="E104" s="6"/>
      <c r="F104" s="6"/>
      <c r="G104" s="5">
        <v>24065986.907368422</v>
      </c>
      <c r="H104" s="5">
        <v>22452734.804210529</v>
      </c>
      <c r="I104" s="5">
        <v>20628020.26421053</v>
      </c>
      <c r="J104" s="5">
        <v>19835375.409473687</v>
      </c>
      <c r="K104" s="5">
        <v>19616783.09684211</v>
      </c>
      <c r="L104" s="5">
        <v>19439134.578947369</v>
      </c>
    </row>
    <row r="105" spans="1:12" x14ac:dyDescent="0.25">
      <c r="A105" s="43" t="s">
        <v>47</v>
      </c>
      <c r="B105" s="4" t="s">
        <v>16</v>
      </c>
      <c r="C105" s="5">
        <v>11329210.734999999</v>
      </c>
      <c r="D105" s="5">
        <v>11506455.48</v>
      </c>
      <c r="E105" s="5">
        <v>11655407.629999999</v>
      </c>
      <c r="F105" s="5">
        <v>11948697.609999999</v>
      </c>
      <c r="G105" s="5">
        <v>12132929.407499999</v>
      </c>
      <c r="H105" s="6"/>
      <c r="I105" s="6"/>
      <c r="J105" s="6"/>
      <c r="K105" s="6"/>
      <c r="L105" s="6"/>
    </row>
    <row r="106" spans="1:12" x14ac:dyDescent="0.25">
      <c r="A106" s="43" t="s">
        <v>47</v>
      </c>
      <c r="B106" s="4" t="s">
        <v>17</v>
      </c>
      <c r="C106" s="5">
        <v>32526764.403157897</v>
      </c>
      <c r="D106" s="5">
        <v>30585334.490526319</v>
      </c>
      <c r="E106" s="5">
        <v>29651352.040894739</v>
      </c>
      <c r="F106" s="5">
        <v>26514667.809473686</v>
      </c>
      <c r="G106" s="6"/>
      <c r="H106" s="5">
        <v>12283029.247499999</v>
      </c>
      <c r="I106" s="5">
        <v>12442802.129999999</v>
      </c>
      <c r="J106" s="5">
        <v>12435722.887499999</v>
      </c>
      <c r="K106" s="5">
        <v>12375428.422499999</v>
      </c>
      <c r="L106" s="5">
        <v>12278482.1775</v>
      </c>
    </row>
    <row r="107" spans="1:12" x14ac:dyDescent="0.25">
      <c r="A107" s="43" t="s">
        <v>48</v>
      </c>
      <c r="B107" s="4" t="s">
        <v>13</v>
      </c>
      <c r="C107" s="5">
        <v>600000</v>
      </c>
      <c r="D107" s="5">
        <v>600000</v>
      </c>
      <c r="E107" s="5">
        <v>600000</v>
      </c>
      <c r="F107" s="5">
        <v>600000</v>
      </c>
      <c r="G107" s="5">
        <v>600000</v>
      </c>
      <c r="H107" s="5">
        <v>600000</v>
      </c>
      <c r="I107" s="5">
        <v>600000</v>
      </c>
      <c r="J107" s="5">
        <v>600000</v>
      </c>
      <c r="K107" s="5">
        <v>600000</v>
      </c>
      <c r="L107" s="5">
        <v>600000</v>
      </c>
    </row>
    <row r="108" spans="1:12" x14ac:dyDescent="0.25">
      <c r="A108" s="43" t="s">
        <v>48</v>
      </c>
      <c r="B108" s="4" t="s">
        <v>15</v>
      </c>
      <c r="C108" s="5">
        <v>221931.64210526316</v>
      </c>
      <c r="D108" s="5">
        <v>217901.89473684214</v>
      </c>
      <c r="E108" s="5">
        <v>229090.4969736842</v>
      </c>
      <c r="F108" s="5">
        <v>246311.38013157898</v>
      </c>
      <c r="G108" s="5">
        <v>271308.89</v>
      </c>
      <c r="H108" s="5">
        <v>307087.79973684211</v>
      </c>
      <c r="I108" s="5">
        <v>340790.72815789469</v>
      </c>
      <c r="J108" s="5">
        <v>361778.57236842101</v>
      </c>
      <c r="K108" s="5">
        <v>392867.25157894741</v>
      </c>
      <c r="L108" s="5">
        <v>428081.60342105263</v>
      </c>
    </row>
    <row r="109" spans="1:12" x14ac:dyDescent="0.25">
      <c r="A109" s="43" t="s">
        <v>48</v>
      </c>
      <c r="B109" s="4" t="s">
        <v>16</v>
      </c>
      <c r="C109" s="6"/>
      <c r="D109" s="6"/>
      <c r="E109" s="6"/>
      <c r="F109" s="6"/>
      <c r="G109" s="6"/>
      <c r="H109" s="6"/>
      <c r="I109" s="6"/>
      <c r="J109" s="6"/>
      <c r="K109" s="6"/>
      <c r="L109" s="6"/>
    </row>
    <row r="110" spans="1:12" x14ac:dyDescent="0.25">
      <c r="A110" s="43" t="s">
        <v>49</v>
      </c>
      <c r="B110" s="4" t="s">
        <v>13</v>
      </c>
      <c r="C110" s="5">
        <v>300000</v>
      </c>
      <c r="D110" s="5">
        <v>300000</v>
      </c>
      <c r="E110" s="5">
        <v>300000</v>
      </c>
      <c r="F110" s="5">
        <v>300000</v>
      </c>
      <c r="G110" s="5">
        <v>300000</v>
      </c>
      <c r="H110" s="5">
        <v>300000</v>
      </c>
      <c r="I110" s="5">
        <v>300000</v>
      </c>
      <c r="J110" s="5">
        <v>300000</v>
      </c>
      <c r="K110" s="5">
        <v>300000</v>
      </c>
      <c r="L110" s="5">
        <v>300000</v>
      </c>
    </row>
    <row r="111" spans="1:12" x14ac:dyDescent="0.25">
      <c r="A111" s="43" t="s">
        <v>49</v>
      </c>
      <c r="B111" s="4" t="s">
        <v>14</v>
      </c>
      <c r="C111" s="5">
        <v>13238882.002515789</v>
      </c>
      <c r="D111" s="5">
        <v>13215898.866542106</v>
      </c>
      <c r="E111" s="5">
        <v>13263195.999497369</v>
      </c>
      <c r="F111" s="5">
        <v>13205555.838196054</v>
      </c>
      <c r="G111" s="5">
        <v>13945131.41484342</v>
      </c>
      <c r="H111" s="5">
        <v>16130782.810382895</v>
      </c>
      <c r="I111" s="5">
        <v>16034854.608598683</v>
      </c>
      <c r="J111" s="5">
        <v>15954731.438693419</v>
      </c>
      <c r="K111" s="5">
        <v>15906286.9267</v>
      </c>
      <c r="L111" s="5">
        <v>15938780.685739476</v>
      </c>
    </row>
    <row r="112" spans="1:12" x14ac:dyDescent="0.25">
      <c r="A112" s="43" t="s">
        <v>49</v>
      </c>
      <c r="B112" s="4" t="s">
        <v>16</v>
      </c>
      <c r="C112" s="6"/>
      <c r="D112" s="5">
        <v>2187713.6460526315</v>
      </c>
      <c r="E112" s="5">
        <v>2204153.7007894744</v>
      </c>
      <c r="F112" s="5">
        <v>188921.26618421054</v>
      </c>
      <c r="G112" s="5">
        <v>191568.10736842107</v>
      </c>
      <c r="H112" s="5">
        <v>194957.61473684214</v>
      </c>
      <c r="I112" s="5">
        <v>199482.88447368424</v>
      </c>
      <c r="J112" s="5">
        <v>6878.5272828947363</v>
      </c>
      <c r="K112" s="5">
        <v>7089.4966184210534</v>
      </c>
      <c r="L112" s="5">
        <v>7463.7629999999999</v>
      </c>
    </row>
    <row r="113" spans="1:12" x14ac:dyDescent="0.25">
      <c r="A113" s="43" t="s">
        <v>49</v>
      </c>
      <c r="B113" s="4" t="s">
        <v>17</v>
      </c>
      <c r="C113" s="5">
        <v>6562720.5574447373</v>
      </c>
      <c r="D113" s="5">
        <v>4532484.4283144735</v>
      </c>
      <c r="E113" s="5">
        <v>4562635.1666289475</v>
      </c>
      <c r="F113" s="5">
        <v>6701016.6452118419</v>
      </c>
      <c r="G113" s="5">
        <v>7197641.1014092099</v>
      </c>
      <c r="H113" s="5">
        <v>5461578.688510526</v>
      </c>
      <c r="I113" s="5">
        <v>5489066.4245486846</v>
      </c>
      <c r="J113" s="5">
        <v>5844111.6225328958</v>
      </c>
      <c r="K113" s="5">
        <v>6019725.6071539475</v>
      </c>
      <c r="L113" s="5">
        <v>6024488.8079210529</v>
      </c>
    </row>
    <row r="114" spans="1:12" x14ac:dyDescent="0.25">
      <c r="A114" s="43" t="s">
        <v>50</v>
      </c>
      <c r="B114" s="4" t="s">
        <v>13</v>
      </c>
      <c r="C114" s="5">
        <v>540000</v>
      </c>
      <c r="D114" s="5">
        <v>540000</v>
      </c>
      <c r="E114" s="5">
        <v>540000</v>
      </c>
      <c r="F114" s="5">
        <v>540000</v>
      </c>
      <c r="G114" s="5">
        <v>540000</v>
      </c>
      <c r="H114" s="5">
        <v>540000</v>
      </c>
      <c r="I114" s="5">
        <v>540000</v>
      </c>
      <c r="J114" s="5">
        <v>540000</v>
      </c>
      <c r="K114" s="5">
        <v>540000</v>
      </c>
      <c r="L114" s="5">
        <v>540000</v>
      </c>
    </row>
    <row r="115" spans="1:12" x14ac:dyDescent="0.25">
      <c r="A115" s="43" t="s">
        <v>50</v>
      </c>
      <c r="B115" s="4" t="s">
        <v>14</v>
      </c>
      <c r="C115" s="5">
        <v>189985.42032894734</v>
      </c>
      <c r="D115" s="5">
        <v>182518.854375</v>
      </c>
      <c r="E115" s="5">
        <v>178029.88221710527</v>
      </c>
      <c r="F115" s="5">
        <v>169663.9041118421</v>
      </c>
      <c r="G115" s="5">
        <v>3525476.9297039476</v>
      </c>
      <c r="H115" s="5">
        <v>3483338.8935197373</v>
      </c>
      <c r="I115" s="5">
        <v>3450030.0732236844</v>
      </c>
      <c r="J115" s="5">
        <v>3416471.929894737</v>
      </c>
      <c r="K115" s="5">
        <v>3383521.8699671053</v>
      </c>
      <c r="L115" s="5">
        <v>3357564.5291447369</v>
      </c>
    </row>
    <row r="116" spans="1:12" x14ac:dyDescent="0.25">
      <c r="A116" s="43" t="s">
        <v>50</v>
      </c>
      <c r="B116" s="4" t="s">
        <v>15</v>
      </c>
      <c r="C116" s="5">
        <v>106512.16760526315</v>
      </c>
      <c r="D116" s="5">
        <v>129205.4708631579</v>
      </c>
      <c r="E116" s="5">
        <v>155926.85738815789</v>
      </c>
      <c r="F116" s="5">
        <v>183108.8330644737</v>
      </c>
      <c r="G116" s="5">
        <v>208717.54211973687</v>
      </c>
      <c r="H116" s="5">
        <v>233979.57949868421</v>
      </c>
      <c r="I116" s="5">
        <v>256246.32387763157</v>
      </c>
      <c r="J116" s="5">
        <v>264775.50847763161</v>
      </c>
      <c r="K116" s="5">
        <v>272301.47593815794</v>
      </c>
      <c r="L116" s="5">
        <v>277375.88714868418</v>
      </c>
    </row>
    <row r="117" spans="1:12" x14ac:dyDescent="0.25">
      <c r="A117" s="43" t="s">
        <v>50</v>
      </c>
      <c r="B117" s="4" t="s">
        <v>16</v>
      </c>
      <c r="C117" s="5">
        <v>877463.39908771927</v>
      </c>
      <c r="D117" s="5">
        <v>889300.67936842109</v>
      </c>
      <c r="E117" s="5">
        <v>910855.39100877196</v>
      </c>
      <c r="F117" s="5">
        <v>930483.12529824569</v>
      </c>
      <c r="G117" s="5">
        <v>936486.46771052631</v>
      </c>
      <c r="H117" s="5">
        <v>40271.290256140353</v>
      </c>
      <c r="I117" s="5">
        <v>41306.294978070182</v>
      </c>
      <c r="J117" s="5">
        <v>43175.603210526329</v>
      </c>
      <c r="K117" s="5">
        <v>45757.907667105268</v>
      </c>
      <c r="L117" s="5">
        <v>48463.652665350877</v>
      </c>
    </row>
    <row r="118" spans="1:12" x14ac:dyDescent="0.25">
      <c r="A118" s="43" t="s">
        <v>50</v>
      </c>
      <c r="B118" s="4" t="s">
        <v>17</v>
      </c>
      <c r="C118" s="5">
        <v>5263547.5634210529</v>
      </c>
      <c r="D118" s="5">
        <v>4678520.0767105268</v>
      </c>
      <c r="E118" s="5">
        <v>4175194.6847368418</v>
      </c>
      <c r="F118" s="5">
        <v>3594171.2009210531</v>
      </c>
      <c r="G118" s="6"/>
      <c r="H118" s="5">
        <v>910416.57300000009</v>
      </c>
      <c r="I118" s="5">
        <v>922816.42200000002</v>
      </c>
      <c r="J118" s="5">
        <v>935610.88500000013</v>
      </c>
      <c r="K118" s="5">
        <v>947618.6939999999</v>
      </c>
      <c r="L118" s="5">
        <v>962589.57300000009</v>
      </c>
    </row>
    <row r="119" spans="1:12" x14ac:dyDescent="0.25">
      <c r="A119" s="3" t="s">
        <v>51</v>
      </c>
      <c r="B119" s="4" t="s">
        <v>14</v>
      </c>
      <c r="C119" s="5">
        <v>4334311.3369105272</v>
      </c>
      <c r="D119" s="5">
        <v>4370664.0540605271</v>
      </c>
      <c r="E119" s="5">
        <v>4379391.231628947</v>
      </c>
      <c r="F119" s="5">
        <v>4370203.035188159</v>
      </c>
      <c r="G119" s="5">
        <v>4322443.0218644748</v>
      </c>
      <c r="H119" s="5">
        <v>4271621.4440421062</v>
      </c>
      <c r="I119" s="5">
        <v>4235292.502884211</v>
      </c>
      <c r="J119" s="5">
        <v>4212692.4101368422</v>
      </c>
      <c r="K119" s="5">
        <v>4200956.5881000003</v>
      </c>
      <c r="L119" s="5">
        <v>4199871.1182460524</v>
      </c>
    </row>
    <row r="120" spans="1:12" x14ac:dyDescent="0.25">
      <c r="A120" s="43" t="s">
        <v>52</v>
      </c>
      <c r="B120" s="4" t="s">
        <v>14</v>
      </c>
      <c r="C120" s="6"/>
      <c r="D120" s="6"/>
      <c r="E120" s="6"/>
      <c r="F120" s="6"/>
      <c r="G120" s="6"/>
      <c r="H120" s="6"/>
      <c r="I120" s="6"/>
      <c r="J120" s="6"/>
      <c r="K120" s="6"/>
      <c r="L120" s="6"/>
    </row>
    <row r="121" spans="1:12" x14ac:dyDescent="0.25">
      <c r="A121" s="43" t="s">
        <v>52</v>
      </c>
      <c r="B121" s="4" t="s">
        <v>16</v>
      </c>
      <c r="C121" s="6"/>
      <c r="D121" s="6"/>
      <c r="E121" s="6"/>
      <c r="F121" s="5">
        <v>4284.9957289473687</v>
      </c>
      <c r="G121" s="5">
        <v>4886.5071789473686</v>
      </c>
      <c r="H121" s="5">
        <v>5511.6149368421056</v>
      </c>
      <c r="I121" s="5">
        <v>6156.3098052631594</v>
      </c>
      <c r="J121" s="5">
        <v>6801.3187578947363</v>
      </c>
      <c r="K121" s="5">
        <v>7421.600068421053</v>
      </c>
      <c r="L121" s="5">
        <v>8001.5255263157915</v>
      </c>
    </row>
    <row r="122" spans="1:12" x14ac:dyDescent="0.25">
      <c r="A122" s="43" t="s">
        <v>52</v>
      </c>
      <c r="B122" s="4" t="s">
        <v>17</v>
      </c>
      <c r="C122" s="5">
        <v>216785.88531578949</v>
      </c>
      <c r="D122" s="5">
        <v>210849.60747368421</v>
      </c>
      <c r="E122" s="5">
        <v>209815.12985</v>
      </c>
      <c r="F122" s="5">
        <v>204106.73684210525</v>
      </c>
      <c r="G122" s="5">
        <v>202139.24210526317</v>
      </c>
      <c r="H122" s="5">
        <v>200651.1157894737</v>
      </c>
      <c r="I122" s="5">
        <v>199269.28421052633</v>
      </c>
      <c r="J122" s="5">
        <v>198025.0105263158</v>
      </c>
      <c r="K122" s="5">
        <v>197095.45263157896</v>
      </c>
      <c r="L122" s="5">
        <v>196251.34736842106</v>
      </c>
    </row>
    <row r="123" spans="1:12" x14ac:dyDescent="0.25">
      <c r="A123" s="43" t="s">
        <v>53</v>
      </c>
      <c r="B123" s="4" t="s">
        <v>13</v>
      </c>
      <c r="C123" s="5">
        <v>300000</v>
      </c>
      <c r="D123" s="5">
        <v>300000</v>
      </c>
      <c r="E123" s="5">
        <v>300000</v>
      </c>
      <c r="F123" s="5">
        <v>300000</v>
      </c>
      <c r="G123" s="5">
        <v>300000</v>
      </c>
      <c r="H123" s="5">
        <v>300000</v>
      </c>
      <c r="I123" s="5">
        <v>300000</v>
      </c>
      <c r="J123" s="5">
        <v>300000</v>
      </c>
      <c r="K123" s="5">
        <v>300000</v>
      </c>
      <c r="L123" s="5">
        <v>300000</v>
      </c>
    </row>
    <row r="124" spans="1:12" x14ac:dyDescent="0.25">
      <c r="A124" s="43" t="s">
        <v>53</v>
      </c>
      <c r="B124" s="4" t="s">
        <v>14</v>
      </c>
      <c r="C124" s="5">
        <v>4082593.8285105266</v>
      </c>
      <c r="D124" s="5">
        <v>4086834.6670000004</v>
      </c>
      <c r="E124" s="5">
        <v>4084108.9594999999</v>
      </c>
      <c r="F124" s="5">
        <v>4080043.5761421057</v>
      </c>
      <c r="G124" s="5">
        <v>4061998.9638815792</v>
      </c>
      <c r="H124" s="5">
        <v>4046963.0314473687</v>
      </c>
      <c r="I124" s="5">
        <v>4039818.9141842099</v>
      </c>
      <c r="J124" s="5">
        <v>4021082.2578684217</v>
      </c>
      <c r="K124" s="5">
        <v>4001249.1780421045</v>
      </c>
      <c r="L124" s="5">
        <v>3969424.3796421057</v>
      </c>
    </row>
    <row r="125" spans="1:12" x14ac:dyDescent="0.25">
      <c r="A125" s="43" t="s">
        <v>53</v>
      </c>
      <c r="B125" s="4" t="s">
        <v>17</v>
      </c>
      <c r="C125" s="5">
        <v>7919547.5992105268</v>
      </c>
      <c r="D125" s="5">
        <v>8009502.8732894752</v>
      </c>
      <c r="E125" s="5">
        <v>8519452.9084210545</v>
      </c>
      <c r="F125" s="5">
        <v>8230709.5803947374</v>
      </c>
      <c r="G125" s="5">
        <v>8339144.5688157901</v>
      </c>
      <c r="H125" s="5">
        <v>8492381.5831578951</v>
      </c>
      <c r="I125" s="5">
        <v>8648211.7565789483</v>
      </c>
      <c r="J125" s="5">
        <v>8717228.2375000007</v>
      </c>
      <c r="K125" s="5">
        <v>8808127.5696052648</v>
      </c>
      <c r="L125" s="5">
        <v>8895367.3138157893</v>
      </c>
    </row>
    <row r="126" spans="1:12" x14ac:dyDescent="0.25">
      <c r="A126" s="43" t="s">
        <v>54</v>
      </c>
      <c r="B126" s="4" t="s">
        <v>14</v>
      </c>
      <c r="C126" s="6"/>
      <c r="D126" s="6"/>
      <c r="E126" s="6"/>
      <c r="F126" s="6"/>
      <c r="G126" s="6"/>
      <c r="H126" s="6"/>
      <c r="I126" s="6"/>
      <c r="J126" s="6"/>
      <c r="K126" s="6"/>
      <c r="L126" s="6"/>
    </row>
    <row r="127" spans="1:12" x14ac:dyDescent="0.25">
      <c r="A127" s="43" t="s">
        <v>54</v>
      </c>
      <c r="B127" s="4" t="s">
        <v>15</v>
      </c>
      <c r="C127" s="6"/>
      <c r="D127" s="6"/>
      <c r="E127" s="6"/>
      <c r="F127" s="6"/>
      <c r="G127" s="6"/>
      <c r="H127" s="6"/>
      <c r="I127" s="6"/>
      <c r="J127" s="6"/>
      <c r="K127" s="6"/>
      <c r="L127" s="6"/>
    </row>
    <row r="128" spans="1:12" x14ac:dyDescent="0.25">
      <c r="A128" s="43" t="s">
        <v>54</v>
      </c>
      <c r="B128" s="4" t="s">
        <v>16</v>
      </c>
      <c r="C128" s="6"/>
      <c r="D128" s="6"/>
      <c r="E128" s="6"/>
      <c r="F128" s="6"/>
      <c r="G128" s="6"/>
      <c r="H128" s="6"/>
      <c r="I128" s="6"/>
      <c r="J128" s="6"/>
      <c r="K128" s="6"/>
      <c r="L128" s="6"/>
    </row>
    <row r="129" spans="1:12" x14ac:dyDescent="0.25">
      <c r="A129" s="43" t="s">
        <v>54</v>
      </c>
      <c r="B129" s="4" t="s">
        <v>17</v>
      </c>
      <c r="C129" s="5">
        <v>3461123.9684210527</v>
      </c>
      <c r="D129" s="6"/>
      <c r="E129" s="6"/>
      <c r="F129" s="6"/>
      <c r="G129" s="6"/>
      <c r="H129" s="6"/>
      <c r="I129" s="6"/>
      <c r="J129" s="6"/>
      <c r="K129" s="6"/>
      <c r="L129" s="6"/>
    </row>
    <row r="130" spans="1:12" x14ac:dyDescent="0.25">
      <c r="A130" s="43" t="s">
        <v>55</v>
      </c>
      <c r="B130" s="4" t="s">
        <v>13</v>
      </c>
      <c r="C130" s="6"/>
      <c r="D130" s="6"/>
      <c r="E130" s="6"/>
      <c r="F130" s="6"/>
      <c r="G130" s="6"/>
      <c r="H130" s="6"/>
      <c r="I130" s="6"/>
      <c r="J130" s="6"/>
      <c r="K130" s="6"/>
      <c r="L130" s="6"/>
    </row>
    <row r="131" spans="1:12" x14ac:dyDescent="0.25">
      <c r="A131" s="43" t="s">
        <v>55</v>
      </c>
      <c r="B131" s="4" t="s">
        <v>14</v>
      </c>
      <c r="C131" s="5">
        <v>17691027.239444446</v>
      </c>
      <c r="D131" s="5">
        <v>17072434.94155848</v>
      </c>
      <c r="E131" s="5">
        <v>18047574.990731724</v>
      </c>
      <c r="F131" s="5">
        <v>18858679.213736847</v>
      </c>
      <c r="G131" s="5">
        <v>39371936.96675586</v>
      </c>
      <c r="H131" s="5">
        <v>43443032.482649118</v>
      </c>
      <c r="I131" s="5">
        <v>42370314.071938604</v>
      </c>
      <c r="J131" s="5">
        <v>46543538.902824566</v>
      </c>
      <c r="K131" s="5">
        <v>44896447.375507526</v>
      </c>
      <c r="L131" s="5">
        <v>44666553.82686425</v>
      </c>
    </row>
    <row r="132" spans="1:12" x14ac:dyDescent="0.25">
      <c r="A132" s="43" t="s">
        <v>55</v>
      </c>
      <c r="B132" s="4" t="s">
        <v>15</v>
      </c>
      <c r="C132" s="5">
        <v>1621323.575</v>
      </c>
      <c r="D132" s="5">
        <v>837918.02</v>
      </c>
      <c r="E132" s="5">
        <v>938540.61333333328</v>
      </c>
      <c r="F132" s="5">
        <v>1767344.7616666667</v>
      </c>
      <c r="G132" s="5">
        <v>1722886.3421428574</v>
      </c>
      <c r="H132" s="5">
        <v>1846729.1200000003</v>
      </c>
      <c r="I132" s="5">
        <v>1948070.2285714287</v>
      </c>
      <c r="J132" s="5">
        <v>2019683.895714286</v>
      </c>
      <c r="K132" s="5">
        <v>2086697.63</v>
      </c>
      <c r="L132" s="5">
        <v>2148068.0935714287</v>
      </c>
    </row>
    <row r="133" spans="1:12" x14ac:dyDescent="0.25">
      <c r="A133" s="43" t="s">
        <v>55</v>
      </c>
      <c r="B133" s="4" t="s">
        <v>16</v>
      </c>
      <c r="C133" s="5">
        <v>24430832.401207186</v>
      </c>
      <c r="D133" s="5">
        <v>25788480.659317039</v>
      </c>
      <c r="E133" s="5">
        <v>24846884.387188803</v>
      </c>
      <c r="F133" s="5">
        <v>23500755.779774435</v>
      </c>
      <c r="G133" s="5">
        <v>21813354.759983294</v>
      </c>
      <c r="H133" s="5">
        <v>14358686.862412281</v>
      </c>
      <c r="I133" s="5">
        <v>16702359.393130742</v>
      </c>
      <c r="J133" s="5">
        <v>6889945.557349625</v>
      </c>
      <c r="K133" s="5">
        <v>8631762.238076441</v>
      </c>
      <c r="L133" s="5">
        <v>10829590.64130117</v>
      </c>
    </row>
    <row r="134" spans="1:12" x14ac:dyDescent="0.25">
      <c r="A134" s="43" t="s">
        <v>55</v>
      </c>
      <c r="B134" s="4" t="s">
        <v>17</v>
      </c>
      <c r="C134" s="5">
        <v>56916804.633182943</v>
      </c>
      <c r="D134" s="5">
        <v>66023591.080292396</v>
      </c>
      <c r="E134" s="5">
        <v>57604484.053381361</v>
      </c>
      <c r="F134" s="5">
        <v>70415621.33272557</v>
      </c>
      <c r="G134" s="5">
        <v>37795756.615167081</v>
      </c>
      <c r="H134" s="5">
        <v>38007996.831526741</v>
      </c>
      <c r="I134" s="5">
        <v>59650641.219530068</v>
      </c>
      <c r="J134" s="5">
        <v>39945379.111516282</v>
      </c>
      <c r="K134" s="5">
        <v>47279267.168569341</v>
      </c>
      <c r="L134" s="5">
        <v>53816727.563368849</v>
      </c>
    </row>
    <row r="135" spans="1:12" x14ac:dyDescent="0.25">
      <c r="A135" s="43" t="s">
        <v>56</v>
      </c>
      <c r="B135" s="4" t="s">
        <v>14</v>
      </c>
      <c r="C135" s="5">
        <v>5526477.1736842096</v>
      </c>
      <c r="D135" s="5">
        <v>5471064.7118421057</v>
      </c>
      <c r="E135" s="5">
        <v>5448786.5760000004</v>
      </c>
      <c r="F135" s="5">
        <v>5402370.4384210538</v>
      </c>
      <c r="G135" s="5">
        <v>5355957.218657895</v>
      </c>
      <c r="H135" s="5">
        <v>5331252.1995263165</v>
      </c>
      <c r="I135" s="5">
        <v>5347987.9870789479</v>
      </c>
      <c r="J135" s="5">
        <v>5353350.3886842113</v>
      </c>
      <c r="K135" s="5">
        <v>5361718.7379210526</v>
      </c>
      <c r="L135" s="5">
        <v>5366204.9252105262</v>
      </c>
    </row>
    <row r="136" spans="1:12" x14ac:dyDescent="0.25">
      <c r="A136" s="43" t="s">
        <v>56</v>
      </c>
      <c r="B136" s="4" t="s">
        <v>17</v>
      </c>
      <c r="C136" s="5">
        <v>1360037.325263158</v>
      </c>
      <c r="D136" s="5">
        <v>1425836.6414473683</v>
      </c>
      <c r="E136" s="5">
        <v>1498642.9622368421</v>
      </c>
      <c r="F136" s="5">
        <v>1568671.0935526318</v>
      </c>
      <c r="G136" s="5">
        <v>1641733.5680263159</v>
      </c>
      <c r="H136" s="5">
        <v>1713009.6702631579</v>
      </c>
      <c r="I136" s="5">
        <v>1789072.6897368422</v>
      </c>
      <c r="J136" s="5">
        <v>1857406.1322368421</v>
      </c>
      <c r="K136" s="5">
        <v>1920353.3272368424</v>
      </c>
      <c r="L136" s="5">
        <v>1918456.0949999997</v>
      </c>
    </row>
    <row r="137" spans="1:12" x14ac:dyDescent="0.25">
      <c r="A137" s="43" t="s">
        <v>57</v>
      </c>
      <c r="B137" s="4" t="s">
        <v>14</v>
      </c>
      <c r="C137" s="5">
        <v>1926665.0947368424</v>
      </c>
      <c r="D137" s="5">
        <v>1803214.4421052632</v>
      </c>
      <c r="E137" s="5">
        <v>1820652.2673684212</v>
      </c>
      <c r="F137" s="5">
        <v>2040123.7583040935</v>
      </c>
      <c r="G137" s="5">
        <v>1782115.150131579</v>
      </c>
      <c r="H137" s="5">
        <v>2433892.1383458646</v>
      </c>
      <c r="I137" s="5">
        <v>2432473.5487218047</v>
      </c>
      <c r="J137" s="5">
        <v>2696303.0117481202</v>
      </c>
      <c r="K137" s="5">
        <v>2450972.2840037593</v>
      </c>
      <c r="L137" s="5">
        <v>2456094.4891353385</v>
      </c>
    </row>
    <row r="138" spans="1:12" x14ac:dyDescent="0.25">
      <c r="A138" s="43" t="s">
        <v>57</v>
      </c>
      <c r="B138" s="4" t="s">
        <v>15</v>
      </c>
      <c r="C138" s="5">
        <v>18124656.738511905</v>
      </c>
      <c r="D138" s="5">
        <v>31843809.177579366</v>
      </c>
      <c r="E138" s="5">
        <v>55432028.327596821</v>
      </c>
      <c r="F138" s="5">
        <v>49867199.898809515</v>
      </c>
      <c r="G138" s="5">
        <v>78223393.690912694</v>
      </c>
      <c r="H138" s="5">
        <v>154337077.71615079</v>
      </c>
      <c r="I138" s="5">
        <v>69304118.40452382</v>
      </c>
      <c r="J138" s="5">
        <v>122627458.43647291</v>
      </c>
      <c r="K138" s="5">
        <v>77770557.687738091</v>
      </c>
      <c r="L138" s="5">
        <v>84871745.658650786</v>
      </c>
    </row>
    <row r="139" spans="1:12" x14ac:dyDescent="0.25">
      <c r="A139" s="43" t="s">
        <v>57</v>
      </c>
      <c r="B139" s="4" t="s">
        <v>16</v>
      </c>
      <c r="C139" s="5">
        <v>313154492.68044448</v>
      </c>
      <c r="D139" s="5">
        <v>195541212.85638094</v>
      </c>
      <c r="E139" s="5">
        <v>223403962.35367066</v>
      </c>
      <c r="F139" s="5">
        <v>201758499.37661797</v>
      </c>
      <c r="G139" s="5">
        <v>189587674.67596036</v>
      </c>
      <c r="H139" s="5">
        <v>216000202.03325397</v>
      </c>
      <c r="I139" s="5">
        <v>171120050.18796629</v>
      </c>
      <c r="J139" s="5">
        <v>254154331.65633929</v>
      </c>
      <c r="K139" s="5">
        <v>201103357.67567462</v>
      </c>
      <c r="L139" s="5">
        <v>228007209.74936509</v>
      </c>
    </row>
    <row r="140" spans="1:12" x14ac:dyDescent="0.25">
      <c r="A140" s="43" t="s">
        <v>57</v>
      </c>
      <c r="B140" s="4" t="s">
        <v>17</v>
      </c>
      <c r="C140" s="5">
        <v>40811529.773847431</v>
      </c>
      <c r="D140" s="5">
        <v>19755465.684206348</v>
      </c>
      <c r="E140" s="5">
        <v>3967346.3226190484</v>
      </c>
      <c r="F140" s="5">
        <v>16115370.407619046</v>
      </c>
      <c r="G140" s="5">
        <v>33986884.538616337</v>
      </c>
      <c r="H140" s="5">
        <v>31139883.128204368</v>
      </c>
      <c r="I140" s="5">
        <v>48980826.75580357</v>
      </c>
      <c r="J140" s="5">
        <v>23834977.448412694</v>
      </c>
      <c r="K140" s="5">
        <v>46160310.364827693</v>
      </c>
      <c r="L140" s="5">
        <v>32273220.97396826</v>
      </c>
    </row>
    <row r="141" spans="1:12" x14ac:dyDescent="0.25">
      <c r="A141" s="3" t="s">
        <v>58</v>
      </c>
      <c r="B141" s="4" t="s">
        <v>14</v>
      </c>
      <c r="C141" s="5">
        <v>1113720.8968421053</v>
      </c>
      <c r="D141" s="5">
        <v>1081928.6652631578</v>
      </c>
      <c r="E141" s="5">
        <v>1047952.1684210526</v>
      </c>
      <c r="F141" s="5">
        <v>1026773.6463157894</v>
      </c>
      <c r="G141" s="5">
        <v>1017828.6885789474</v>
      </c>
      <c r="H141" s="5">
        <v>1016539.3515789474</v>
      </c>
      <c r="I141" s="5">
        <v>1012324.9389473684</v>
      </c>
      <c r="J141" s="5">
        <v>1012820.584263158</v>
      </c>
      <c r="K141" s="5">
        <v>1013259.6964736842</v>
      </c>
      <c r="L141" s="5">
        <v>1012182.5810526316</v>
      </c>
    </row>
    <row r="142" spans="1:12" x14ac:dyDescent="0.25">
      <c r="A142" s="43" t="s">
        <v>59</v>
      </c>
      <c r="B142" s="4" t="s">
        <v>13</v>
      </c>
      <c r="C142" s="5">
        <v>4000000</v>
      </c>
      <c r="D142" s="5">
        <v>4000000</v>
      </c>
      <c r="E142" s="5">
        <v>4000000</v>
      </c>
      <c r="F142" s="5">
        <v>4000000</v>
      </c>
      <c r="G142" s="5">
        <v>4000000</v>
      </c>
      <c r="H142" s="5">
        <v>4000000</v>
      </c>
      <c r="I142" s="5">
        <v>4000000</v>
      </c>
      <c r="J142" s="5">
        <v>4000000</v>
      </c>
      <c r="K142" s="5">
        <v>4000000</v>
      </c>
      <c r="L142" s="5">
        <v>4000000</v>
      </c>
    </row>
    <row r="143" spans="1:12" x14ac:dyDescent="0.25">
      <c r="A143" s="43" t="s">
        <v>59</v>
      </c>
      <c r="B143" s="4" t="s">
        <v>15</v>
      </c>
      <c r="C143" s="5">
        <v>17217510</v>
      </c>
      <c r="D143" s="5">
        <v>23944596</v>
      </c>
      <c r="E143" s="5">
        <v>24965167</v>
      </c>
      <c r="F143" s="5">
        <v>17572409</v>
      </c>
      <c r="G143" s="5">
        <v>30068507.666666701</v>
      </c>
      <c r="H143" s="5">
        <v>20974627.666666701</v>
      </c>
      <c r="I143" s="5">
        <v>31329211.666666701</v>
      </c>
      <c r="J143" s="5">
        <v>18153195.285091393</v>
      </c>
      <c r="K143" s="5">
        <v>26015730.285091389</v>
      </c>
      <c r="L143" s="5">
        <v>19377207.360228568</v>
      </c>
    </row>
    <row r="144" spans="1:12" x14ac:dyDescent="0.25">
      <c r="A144" s="43" t="s">
        <v>59</v>
      </c>
      <c r="B144" s="4" t="s">
        <v>16</v>
      </c>
      <c r="C144" s="5">
        <v>27259356</v>
      </c>
      <c r="D144" s="5">
        <v>25549642</v>
      </c>
      <c r="E144" s="5">
        <v>33790924.166666701</v>
      </c>
      <c r="F144" s="5">
        <v>79561865.166666701</v>
      </c>
      <c r="G144" s="5">
        <v>96422880.166666701</v>
      </c>
      <c r="H144" s="5">
        <v>116560499.5</v>
      </c>
      <c r="I144" s="5">
        <v>120448195.5</v>
      </c>
      <c r="J144" s="5">
        <v>108956230</v>
      </c>
      <c r="K144" s="5">
        <v>114382741.75</v>
      </c>
      <c r="L144" s="5">
        <v>123225959.44543454</v>
      </c>
    </row>
    <row r="145" spans="1:12" x14ac:dyDescent="0.25">
      <c r="A145" s="43" t="s">
        <v>59</v>
      </c>
      <c r="B145" s="4" t="s">
        <v>17</v>
      </c>
      <c r="C145" s="6"/>
      <c r="D145" s="5">
        <v>600000</v>
      </c>
      <c r="E145" s="6"/>
      <c r="F145" s="6"/>
      <c r="G145" s="5">
        <v>2093362</v>
      </c>
      <c r="H145" s="6"/>
      <c r="I145" s="6"/>
      <c r="J145" s="5">
        <v>9967824</v>
      </c>
      <c r="K145" s="5">
        <v>9816494.2557882406</v>
      </c>
      <c r="L145" s="5">
        <v>9816494.2557882406</v>
      </c>
    </row>
    <row r="146" spans="1:12" x14ac:dyDescent="0.25">
      <c r="A146" s="43" t="s">
        <v>60</v>
      </c>
      <c r="B146" s="4" t="s">
        <v>14</v>
      </c>
      <c r="C146" s="5">
        <v>44402663.055484213</v>
      </c>
      <c r="D146" s="5">
        <v>44114371.114368424</v>
      </c>
      <c r="E146" s="5">
        <v>45356342.2856123</v>
      </c>
      <c r="F146" s="5">
        <v>45333381.329218417</v>
      </c>
      <c r="G146" s="5">
        <v>45355574.463520698</v>
      </c>
      <c r="H146" s="5">
        <v>50552676.77132684</v>
      </c>
      <c r="I146" s="5">
        <v>50447557.01546976</v>
      </c>
      <c r="J146" s="5">
        <v>79812275.370798126</v>
      </c>
      <c r="K146" s="5">
        <v>87306413.576663315</v>
      </c>
      <c r="L146" s="5">
        <v>85488520.6669323</v>
      </c>
    </row>
    <row r="147" spans="1:12" x14ac:dyDescent="0.25">
      <c r="A147" s="43" t="s">
        <v>60</v>
      </c>
      <c r="B147" s="4" t="s">
        <v>15</v>
      </c>
      <c r="C147" s="5">
        <v>50129918.583569035</v>
      </c>
      <c r="D147" s="5">
        <v>50973687.396143839</v>
      </c>
      <c r="E147" s="5">
        <v>57598466.790779702</v>
      </c>
      <c r="F147" s="5">
        <v>57002192.193283483</v>
      </c>
      <c r="G147" s="5">
        <v>62929823.448526457</v>
      </c>
      <c r="H147" s="5">
        <v>57826519.972562447</v>
      </c>
      <c r="I147" s="5">
        <v>54316312.877862386</v>
      </c>
      <c r="J147" s="5">
        <v>55351627.42181208</v>
      </c>
      <c r="K147" s="5">
        <v>56397187.596952245</v>
      </c>
      <c r="L147" s="5">
        <v>57292565.508875743</v>
      </c>
    </row>
    <row r="148" spans="1:12" x14ac:dyDescent="0.25">
      <c r="A148" s="43" t="s">
        <v>60</v>
      </c>
      <c r="B148" s="4" t="s">
        <v>16</v>
      </c>
      <c r="C148" s="5">
        <v>110670314.44634902</v>
      </c>
      <c r="D148" s="5">
        <v>136022409.15430319</v>
      </c>
      <c r="E148" s="5">
        <v>151566999.10591397</v>
      </c>
      <c r="F148" s="5">
        <v>148936259.07697201</v>
      </c>
      <c r="G148" s="5">
        <v>158068844.99062547</v>
      </c>
      <c r="H148" s="5">
        <v>161280061.74315369</v>
      </c>
      <c r="I148" s="5">
        <v>167954803.5285427</v>
      </c>
      <c r="J148" s="5">
        <v>161983944.08305517</v>
      </c>
      <c r="K148" s="5">
        <v>162367383.17818081</v>
      </c>
      <c r="L148" s="5">
        <v>162941685.62800577</v>
      </c>
    </row>
    <row r="149" spans="1:12" x14ac:dyDescent="0.25">
      <c r="A149" s="43" t="s">
        <v>60</v>
      </c>
      <c r="B149" s="4" t="s">
        <v>17</v>
      </c>
      <c r="C149" s="5">
        <v>41926482.507988669</v>
      </c>
      <c r="D149" s="5">
        <v>42288694.876866601</v>
      </c>
      <c r="E149" s="5">
        <v>41835833.973178819</v>
      </c>
      <c r="F149" s="5">
        <v>50778434.442321979</v>
      </c>
      <c r="G149" s="5">
        <v>55986612.02640079</v>
      </c>
      <c r="H149" s="5">
        <v>53833682.8973395</v>
      </c>
      <c r="I149" s="5">
        <v>61739689.855237551</v>
      </c>
      <c r="J149" s="5">
        <v>66292189.292890012</v>
      </c>
      <c r="K149" s="5">
        <v>66433635.992968164</v>
      </c>
      <c r="L149" s="5">
        <v>66591452.998300254</v>
      </c>
    </row>
    <row r="150" spans="1:12" x14ac:dyDescent="0.25">
      <c r="A150" s="43" t="s">
        <v>61</v>
      </c>
      <c r="B150" s="4" t="s">
        <v>14</v>
      </c>
      <c r="C150" s="5">
        <v>6148127.959172368</v>
      </c>
      <c r="D150" s="5">
        <v>6163074.300955263</v>
      </c>
      <c r="E150" s="5">
        <v>6225175.9733157903</v>
      </c>
      <c r="F150" s="5">
        <v>6275957.6908934209</v>
      </c>
      <c r="G150" s="5">
        <v>6423789.1523855263</v>
      </c>
      <c r="H150" s="5">
        <v>6434989.648182895</v>
      </c>
      <c r="I150" s="5">
        <v>6398837.9629171062</v>
      </c>
      <c r="J150" s="5">
        <v>6404493.0568894735</v>
      </c>
      <c r="K150" s="5">
        <v>6450777.326017106</v>
      </c>
      <c r="L150" s="5">
        <v>6418700.4964842089</v>
      </c>
    </row>
    <row r="151" spans="1:12" x14ac:dyDescent="0.25">
      <c r="A151" s="43" t="s">
        <v>61</v>
      </c>
      <c r="B151" s="4" t="s">
        <v>16</v>
      </c>
      <c r="C151" s="5">
        <v>8856.3443684210524</v>
      </c>
      <c r="D151" s="5">
        <v>8917.1741776315775</v>
      </c>
      <c r="E151" s="5">
        <v>9053.6215789473681</v>
      </c>
      <c r="F151" s="5">
        <v>9304.0750592105251</v>
      </c>
      <c r="G151" s="5">
        <v>9536.2000131578934</v>
      </c>
      <c r="H151" s="5">
        <v>9813.9971776315797</v>
      </c>
      <c r="I151" s="5">
        <v>10029.159105263157</v>
      </c>
      <c r="J151" s="5">
        <v>624.74615131578946</v>
      </c>
      <c r="K151" s="5">
        <v>641.00171052631572</v>
      </c>
      <c r="L151" s="5">
        <v>657.72019736842117</v>
      </c>
    </row>
    <row r="152" spans="1:12" x14ac:dyDescent="0.25">
      <c r="A152" s="43" t="s">
        <v>61</v>
      </c>
      <c r="B152" s="4" t="s">
        <v>17</v>
      </c>
      <c r="C152" s="5">
        <v>86532.599418421072</v>
      </c>
      <c r="D152" s="5">
        <v>110794.94508157898</v>
      </c>
      <c r="E152" s="5">
        <v>148102.04153684212</v>
      </c>
      <c r="F152" s="5">
        <v>149805.48426052631</v>
      </c>
      <c r="G152" s="5">
        <v>25704.113847368422</v>
      </c>
      <c r="H152" s="5">
        <v>26350.424413157896</v>
      </c>
      <c r="I152" s="5">
        <v>26682.789968421057</v>
      </c>
      <c r="J152" s="5">
        <v>37109.947894736848</v>
      </c>
      <c r="K152" s="5">
        <v>38105.090692105266</v>
      </c>
      <c r="L152" s="5">
        <v>38980.994268421055</v>
      </c>
    </row>
    <row r="153" spans="1:12" x14ac:dyDescent="0.25">
      <c r="A153" s="43" t="s">
        <v>62</v>
      </c>
      <c r="B153" s="4" t="s">
        <v>14</v>
      </c>
      <c r="C153" s="5">
        <v>25136862.030394737</v>
      </c>
      <c r="D153" s="5">
        <v>25343562.289421052</v>
      </c>
      <c r="E153" s="5">
        <v>25542247.209210526</v>
      </c>
      <c r="F153" s="5">
        <v>25611188.993421055</v>
      </c>
      <c r="G153" s="5">
        <v>59826419.738157876</v>
      </c>
      <c r="H153" s="5">
        <v>58142472.322236851</v>
      </c>
      <c r="I153" s="5">
        <v>57973430.994210541</v>
      </c>
      <c r="J153" s="5">
        <v>58084037.208289489</v>
      </c>
      <c r="K153" s="5">
        <v>57860021.428026319</v>
      </c>
      <c r="L153" s="5">
        <v>57668115.752105266</v>
      </c>
    </row>
    <row r="154" spans="1:12" x14ac:dyDescent="0.25">
      <c r="A154" s="43" t="s">
        <v>62</v>
      </c>
      <c r="B154" s="4" t="s">
        <v>15</v>
      </c>
      <c r="C154" s="5">
        <v>37309763.592844054</v>
      </c>
      <c r="D154" s="5">
        <v>44236371.335302621</v>
      </c>
      <c r="E154" s="5">
        <v>46707303.508339182</v>
      </c>
      <c r="F154" s="5">
        <v>47358196.233747371</v>
      </c>
      <c r="G154" s="5">
        <v>50033722.484811172</v>
      </c>
      <c r="H154" s="5">
        <v>49087678.463811293</v>
      </c>
      <c r="I154" s="5">
        <v>45162149.229637712</v>
      </c>
      <c r="J154" s="5">
        <v>46076438.957587712</v>
      </c>
      <c r="K154" s="5">
        <v>47168669.63769006</v>
      </c>
      <c r="L154" s="5">
        <v>48207996.665438592</v>
      </c>
    </row>
    <row r="155" spans="1:12" x14ac:dyDescent="0.25">
      <c r="A155" s="43" t="s">
        <v>62</v>
      </c>
      <c r="B155" s="4" t="s">
        <v>16</v>
      </c>
      <c r="C155" s="5">
        <v>105169239.77494223</v>
      </c>
      <c r="D155" s="5">
        <v>122185711.40087438</v>
      </c>
      <c r="E155" s="5">
        <v>127044091.89218491</v>
      </c>
      <c r="F155" s="5">
        <v>138970173.6827153</v>
      </c>
      <c r="G155" s="5">
        <v>147634565.13582504</v>
      </c>
      <c r="H155" s="5">
        <v>156564648.16921151</v>
      </c>
      <c r="I155" s="5">
        <v>164390695.20565206</v>
      </c>
      <c r="J155" s="5">
        <v>161279111.15195906</v>
      </c>
      <c r="K155" s="5">
        <v>162437618.18100882</v>
      </c>
      <c r="L155" s="5">
        <v>163594841.15653506</v>
      </c>
    </row>
    <row r="156" spans="1:12" x14ac:dyDescent="0.25">
      <c r="A156" s="43" t="s">
        <v>62</v>
      </c>
      <c r="B156" s="4" t="s">
        <v>17</v>
      </c>
      <c r="C156" s="5">
        <v>23095897.76336316</v>
      </c>
      <c r="D156" s="5">
        <v>25830989.499072365</v>
      </c>
      <c r="E156" s="5">
        <v>26380936.16960527</v>
      </c>
      <c r="F156" s="5">
        <v>56128358.704078957</v>
      </c>
      <c r="G156" s="5">
        <v>36703039.562488161</v>
      </c>
      <c r="H156" s="5">
        <v>43141396.235631585</v>
      </c>
      <c r="I156" s="5">
        <v>46905912.509452641</v>
      </c>
      <c r="J156" s="5">
        <v>50533935.280736834</v>
      </c>
      <c r="K156" s="5">
        <v>50831341.769473687</v>
      </c>
      <c r="L156" s="5">
        <v>51145121.535921052</v>
      </c>
    </row>
    <row r="157" spans="1:12" x14ac:dyDescent="0.25">
      <c r="A157" s="43" t="s">
        <v>63</v>
      </c>
      <c r="B157" s="4" t="s">
        <v>14</v>
      </c>
      <c r="C157" s="6"/>
      <c r="D157" s="6"/>
      <c r="E157" s="6"/>
      <c r="F157" s="6"/>
      <c r="G157" s="6"/>
      <c r="H157" s="6"/>
      <c r="I157" s="5">
        <v>86509.455415354838</v>
      </c>
      <c r="J157" s="5">
        <v>1208675.8789445283</v>
      </c>
      <c r="K157" s="5">
        <v>1151510.0786664602</v>
      </c>
      <c r="L157" s="5">
        <v>1140116.518780523</v>
      </c>
    </row>
    <row r="158" spans="1:12" x14ac:dyDescent="0.25">
      <c r="A158" s="43" t="s">
        <v>63</v>
      </c>
      <c r="B158" s="4" t="s">
        <v>15</v>
      </c>
      <c r="C158" s="6"/>
      <c r="D158" s="6"/>
      <c r="E158" s="6"/>
      <c r="F158" s="6"/>
      <c r="G158" s="6"/>
      <c r="H158" s="6"/>
      <c r="I158" s="5">
        <v>177575.78226179548</v>
      </c>
      <c r="J158" s="5">
        <v>1118042.4206951153</v>
      </c>
      <c r="K158" s="5">
        <v>1736192.7992490674</v>
      </c>
      <c r="L158" s="5">
        <v>3095533.6346984911</v>
      </c>
    </row>
    <row r="159" spans="1:12" x14ac:dyDescent="0.25">
      <c r="A159" s="43" t="s">
        <v>63</v>
      </c>
      <c r="B159" s="4" t="s">
        <v>16</v>
      </c>
      <c r="C159" s="6"/>
      <c r="D159" s="6"/>
      <c r="E159" s="6"/>
      <c r="F159" s="6"/>
      <c r="G159" s="6"/>
      <c r="H159" s="5">
        <v>161542.72993373871</v>
      </c>
      <c r="I159" s="5">
        <v>755641.72309740749</v>
      </c>
      <c r="J159" s="5">
        <v>4026317.5915884087</v>
      </c>
      <c r="K159" s="5">
        <v>8634918.6049702503</v>
      </c>
      <c r="L159" s="5">
        <v>24073104.668296658</v>
      </c>
    </row>
    <row r="160" spans="1:12" x14ac:dyDescent="0.25">
      <c r="A160" s="43" t="s">
        <v>63</v>
      </c>
      <c r="B160" s="4" t="s">
        <v>17</v>
      </c>
      <c r="C160" s="6"/>
      <c r="D160" s="6"/>
      <c r="E160" s="6"/>
      <c r="F160" s="6"/>
      <c r="G160" s="6"/>
      <c r="H160" s="5">
        <v>4078988.2732387651</v>
      </c>
      <c r="I160" s="5">
        <v>6691228.1044248641</v>
      </c>
      <c r="J160" s="5">
        <v>6092963.1797585618</v>
      </c>
      <c r="K160" s="5">
        <v>7579605.6570215253</v>
      </c>
      <c r="L160" s="5">
        <v>8249515.7360912031</v>
      </c>
    </row>
    <row r="161" spans="1:12" x14ac:dyDescent="0.25">
      <c r="A161" s="43" t="s">
        <v>64</v>
      </c>
      <c r="B161" s="4" t="s">
        <v>14</v>
      </c>
      <c r="C161" s="6"/>
      <c r="D161" s="6"/>
      <c r="E161" s="6"/>
      <c r="F161" s="6"/>
      <c r="G161" s="6"/>
      <c r="H161" s="6"/>
      <c r="I161" s="6"/>
      <c r="J161" s="6"/>
      <c r="K161" s="6"/>
      <c r="L161" s="6"/>
    </row>
    <row r="162" spans="1:12" x14ac:dyDescent="0.25">
      <c r="A162" s="43" t="s">
        <v>64</v>
      </c>
      <c r="B162" s="4" t="s">
        <v>16</v>
      </c>
      <c r="C162" s="6"/>
      <c r="D162" s="6"/>
      <c r="E162" s="6"/>
      <c r="F162" s="6"/>
      <c r="G162" s="6"/>
      <c r="H162" s="6"/>
      <c r="I162" s="6"/>
      <c r="J162" s="6"/>
      <c r="K162" s="6"/>
      <c r="L162" s="6"/>
    </row>
    <row r="163" spans="1:12" x14ac:dyDescent="0.25">
      <c r="A163" s="43" t="s">
        <v>64</v>
      </c>
      <c r="B163" s="4" t="s">
        <v>17</v>
      </c>
      <c r="C163" s="5">
        <v>3445692.884210526</v>
      </c>
      <c r="D163" s="6"/>
      <c r="E163" s="6"/>
      <c r="F163" s="6"/>
      <c r="G163" s="6"/>
      <c r="H163" s="6"/>
      <c r="I163" s="6"/>
      <c r="J163" s="6"/>
      <c r="K163" s="6"/>
      <c r="L163" s="6"/>
    </row>
    <row r="164" spans="1:12" x14ac:dyDescent="0.25">
      <c r="A164" s="43" t="s">
        <v>65</v>
      </c>
      <c r="B164" s="4" t="s">
        <v>14</v>
      </c>
      <c r="C164" s="6"/>
      <c r="D164" s="6"/>
      <c r="E164" s="6"/>
      <c r="F164" s="6"/>
      <c r="G164" s="6"/>
      <c r="H164" s="5">
        <v>538908.28888888878</v>
      </c>
      <c r="I164" s="5">
        <v>536305.45555555553</v>
      </c>
      <c r="J164" s="5">
        <v>532780.04444444436</v>
      </c>
      <c r="K164" s="5">
        <v>528747</v>
      </c>
      <c r="L164" s="5">
        <v>524620.18888888881</v>
      </c>
    </row>
    <row r="165" spans="1:12" x14ac:dyDescent="0.25">
      <c r="A165" s="43" t="s">
        <v>65</v>
      </c>
      <c r="B165" s="4" t="s">
        <v>15</v>
      </c>
      <c r="C165" s="5">
        <v>2214562.5955555555</v>
      </c>
      <c r="D165" s="5">
        <v>105854.87418055555</v>
      </c>
      <c r="E165" s="5">
        <v>9556962.4712638892</v>
      </c>
      <c r="F165" s="5">
        <v>23186563.057405557</v>
      </c>
      <c r="G165" s="5">
        <v>38449083.200261109</v>
      </c>
      <c r="H165" s="5">
        <v>51522481.106722221</v>
      </c>
      <c r="I165" s="5">
        <v>16498018.664999999</v>
      </c>
      <c r="J165" s="5">
        <v>20667349.2205</v>
      </c>
      <c r="K165" s="5">
        <v>16018240.445111113</v>
      </c>
      <c r="L165" s="5">
        <v>11686619.239444446</v>
      </c>
    </row>
    <row r="166" spans="1:12" x14ac:dyDescent="0.25">
      <c r="A166" s="43" t="s">
        <v>65</v>
      </c>
      <c r="B166" s="4" t="s">
        <v>16</v>
      </c>
      <c r="C166" s="5">
        <v>29428114.240145832</v>
      </c>
      <c r="D166" s="5">
        <v>33379942.475094903</v>
      </c>
      <c r="E166" s="5">
        <v>13144439.498777777</v>
      </c>
      <c r="F166" s="5">
        <v>48195451.569561109</v>
      </c>
      <c r="G166" s="5">
        <v>22154549.332011942</v>
      </c>
      <c r="H166" s="5">
        <v>77847655.510595828</v>
      </c>
      <c r="I166" s="5">
        <v>94271264.761677772</v>
      </c>
      <c r="J166" s="5">
        <v>69583774.396555543</v>
      </c>
      <c r="K166" s="5">
        <v>69819655.096500009</v>
      </c>
      <c r="L166" s="5">
        <v>67230835.707277775</v>
      </c>
    </row>
    <row r="167" spans="1:12" x14ac:dyDescent="0.25">
      <c r="A167" s="43" t="s">
        <v>65</v>
      </c>
      <c r="B167" s="4" t="s">
        <v>17</v>
      </c>
      <c r="C167" s="5">
        <v>3241.6355555555556</v>
      </c>
      <c r="D167" s="5">
        <v>891069.22666666668</v>
      </c>
      <c r="E167" s="5">
        <v>1729160.2317777779</v>
      </c>
      <c r="F167" s="5">
        <v>2254353.7741111112</v>
      </c>
      <c r="G167" s="5">
        <v>12713427.15177778</v>
      </c>
      <c r="H167" s="5">
        <v>3897934.8814666662</v>
      </c>
      <c r="I167" s="5">
        <v>5429118.8349444438</v>
      </c>
      <c r="J167" s="5">
        <v>8609476.7408611104</v>
      </c>
      <c r="K167" s="5">
        <v>8917881.4530833326</v>
      </c>
      <c r="L167" s="5">
        <v>8927850.3513888884</v>
      </c>
    </row>
    <row r="168" spans="1:12" x14ac:dyDescent="0.25">
      <c r="A168" s="43" t="s">
        <v>66</v>
      </c>
      <c r="B168" s="4" t="s">
        <v>13</v>
      </c>
      <c r="C168" s="6"/>
      <c r="D168" s="6"/>
      <c r="E168" s="6"/>
      <c r="F168" s="6"/>
      <c r="G168" s="6"/>
      <c r="H168" s="6"/>
      <c r="I168" s="6"/>
      <c r="J168" s="6"/>
      <c r="K168" s="6"/>
      <c r="L168" s="6"/>
    </row>
    <row r="169" spans="1:12" x14ac:dyDescent="0.25">
      <c r="A169" s="43" t="s">
        <v>66</v>
      </c>
      <c r="B169" s="4" t="s">
        <v>14</v>
      </c>
      <c r="C169" s="5">
        <v>4954466.0018421058</v>
      </c>
      <c r="D169" s="5">
        <v>4817840.6584210526</v>
      </c>
      <c r="E169" s="5">
        <v>5076841.6719736848</v>
      </c>
      <c r="F169" s="5">
        <v>5017321.8746052636</v>
      </c>
      <c r="G169" s="5">
        <v>5018045.645526316</v>
      </c>
      <c r="H169" s="5">
        <v>8127735.5678947363</v>
      </c>
      <c r="I169" s="5">
        <v>8224556.4739473686</v>
      </c>
      <c r="J169" s="5">
        <v>11426053.160657894</v>
      </c>
      <c r="K169" s="5">
        <v>11547163.107368421</v>
      </c>
      <c r="L169" s="5">
        <v>11586096.10842105</v>
      </c>
    </row>
    <row r="170" spans="1:12" x14ac:dyDescent="0.25">
      <c r="A170" s="43" t="s">
        <v>66</v>
      </c>
      <c r="B170" s="4" t="s">
        <v>15</v>
      </c>
      <c r="C170" s="5">
        <v>54546918.763295434</v>
      </c>
      <c r="D170" s="5">
        <v>54263004.378875196</v>
      </c>
      <c r="E170" s="5">
        <v>64555188.923306808</v>
      </c>
      <c r="F170" s="5">
        <v>63941710.160380229</v>
      </c>
      <c r="G170" s="5">
        <v>64166707.889740564</v>
      </c>
      <c r="H170" s="5">
        <v>57647264.27909784</v>
      </c>
      <c r="I170" s="5">
        <v>57101205.359353423</v>
      </c>
      <c r="J170" s="5">
        <v>58421305.23361285</v>
      </c>
      <c r="K170" s="5">
        <v>59881164.598512366</v>
      </c>
      <c r="L170" s="5">
        <v>61286058.379432946</v>
      </c>
    </row>
    <row r="171" spans="1:12" x14ac:dyDescent="0.25">
      <c r="A171" s="43" t="s">
        <v>66</v>
      </c>
      <c r="B171" s="4" t="s">
        <v>16</v>
      </c>
      <c r="C171" s="5">
        <v>188935589.82744324</v>
      </c>
      <c r="D171" s="5">
        <v>211420548.0733265</v>
      </c>
      <c r="E171" s="5">
        <v>202894066.39226276</v>
      </c>
      <c r="F171" s="5">
        <v>188318801.57164854</v>
      </c>
      <c r="G171" s="5">
        <v>190618129.89459801</v>
      </c>
      <c r="H171" s="5">
        <v>195001796.32916331</v>
      </c>
      <c r="I171" s="5">
        <v>198662362.35402381</v>
      </c>
      <c r="J171" s="5">
        <v>195098932.63740033</v>
      </c>
      <c r="K171" s="5">
        <v>197186827.47049281</v>
      </c>
      <c r="L171" s="5">
        <v>198326735.48209769</v>
      </c>
    </row>
    <row r="172" spans="1:12" x14ac:dyDescent="0.25">
      <c r="A172" s="43" t="s">
        <v>66</v>
      </c>
      <c r="B172" s="4" t="s">
        <v>17</v>
      </c>
      <c r="C172" s="5">
        <v>64878822.592667088</v>
      </c>
      <c r="D172" s="5">
        <v>44978440.233561151</v>
      </c>
      <c r="E172" s="5">
        <v>45362584.163900882</v>
      </c>
      <c r="F172" s="5">
        <v>65129386.132897362</v>
      </c>
      <c r="G172" s="5">
        <v>65819454.433049873</v>
      </c>
      <c r="H172" s="5">
        <v>69249260.882424936</v>
      </c>
      <c r="I172" s="5">
        <v>70280850.998498946</v>
      </c>
      <c r="J172" s="5">
        <v>73579231.40387851</v>
      </c>
      <c r="K172" s="5">
        <v>74317849.750056118</v>
      </c>
      <c r="L172" s="5">
        <v>74368544.324421823</v>
      </c>
    </row>
    <row r="173" spans="1:12" x14ac:dyDescent="0.25">
      <c r="A173" s="43" t="s">
        <v>67</v>
      </c>
      <c r="B173" s="4" t="s">
        <v>14</v>
      </c>
      <c r="C173" s="5">
        <v>37170.947368421053</v>
      </c>
      <c r="D173" s="5">
        <v>38690.818815789469</v>
      </c>
      <c r="E173" s="5">
        <v>40480.458026315791</v>
      </c>
      <c r="F173" s="5">
        <v>40789.746315789482</v>
      </c>
      <c r="G173" s="5">
        <v>39898.547368421052</v>
      </c>
      <c r="H173" s="5">
        <v>39555</v>
      </c>
      <c r="I173" s="5">
        <v>39351.915789473685</v>
      </c>
      <c r="J173" s="5">
        <v>38722.400000000001</v>
      </c>
      <c r="K173" s="5">
        <v>38108.589473684209</v>
      </c>
      <c r="L173" s="5">
        <v>37434.968421052632</v>
      </c>
    </row>
    <row r="174" spans="1:12" x14ac:dyDescent="0.25">
      <c r="A174" s="43" t="s">
        <v>67</v>
      </c>
      <c r="B174" s="4" t="s">
        <v>16</v>
      </c>
      <c r="C174" s="6"/>
      <c r="D174" s="6"/>
      <c r="E174" s="6"/>
      <c r="F174" s="6"/>
      <c r="G174" s="6"/>
      <c r="H174" s="6"/>
      <c r="I174" s="6"/>
      <c r="J174" s="6"/>
      <c r="K174" s="6"/>
      <c r="L174" s="6"/>
    </row>
    <row r="175" spans="1:12" x14ac:dyDescent="0.25">
      <c r="A175" s="43" t="s">
        <v>67</v>
      </c>
      <c r="B175" s="4" t="s">
        <v>17</v>
      </c>
      <c r="C175" s="6"/>
      <c r="D175" s="6"/>
      <c r="E175" s="6"/>
      <c r="F175" s="6"/>
      <c r="G175" s="6"/>
      <c r="H175" s="6"/>
      <c r="I175" s="6"/>
      <c r="J175" s="6"/>
      <c r="K175" s="6"/>
      <c r="L175" s="6"/>
    </row>
    <row r="176" spans="1:12" x14ac:dyDescent="0.25">
      <c r="A176" s="43" t="s">
        <v>68</v>
      </c>
      <c r="B176" s="4" t="s">
        <v>14</v>
      </c>
      <c r="C176" s="5">
        <v>14706604.71894737</v>
      </c>
      <c r="D176" s="5">
        <v>14493141.58368421</v>
      </c>
      <c r="E176" s="5">
        <v>14787953.189210525</v>
      </c>
      <c r="F176" s="5">
        <v>14719106.214342106</v>
      </c>
      <c r="G176" s="5">
        <v>14640861.628684212</v>
      </c>
      <c r="H176" s="5">
        <v>14627620.845263157</v>
      </c>
      <c r="I176" s="5">
        <v>14611718.677368423</v>
      </c>
      <c r="J176" s="5">
        <v>14456474.476973685</v>
      </c>
      <c r="K176" s="5">
        <v>14250869.3475</v>
      </c>
      <c r="L176" s="5">
        <v>14085732.501447368</v>
      </c>
    </row>
    <row r="177" spans="1:12" x14ac:dyDescent="0.25">
      <c r="A177" s="43" t="s">
        <v>68</v>
      </c>
      <c r="B177" s="4" t="s">
        <v>16</v>
      </c>
      <c r="C177" s="5">
        <v>101413.38947368422</v>
      </c>
      <c r="D177" s="5">
        <v>100597.89473684211</v>
      </c>
      <c r="E177" s="5">
        <v>99803.621052631584</v>
      </c>
      <c r="F177" s="5">
        <v>107606.22</v>
      </c>
      <c r="G177" s="5">
        <v>111002.69355263158</v>
      </c>
      <c r="H177" s="5">
        <v>115663.42960526317</v>
      </c>
      <c r="I177" s="5">
        <v>111293.53684210527</v>
      </c>
      <c r="J177" s="6"/>
      <c r="K177" s="6"/>
      <c r="L177" s="6"/>
    </row>
    <row r="178" spans="1:12" x14ac:dyDescent="0.25">
      <c r="A178" s="43" t="s">
        <v>68</v>
      </c>
      <c r="B178" s="4" t="s">
        <v>17</v>
      </c>
      <c r="C178" s="5">
        <v>2749129.244342105</v>
      </c>
      <c r="D178" s="5">
        <v>2975680.422105263</v>
      </c>
      <c r="E178" s="5">
        <v>2709854.8228947371</v>
      </c>
      <c r="F178" s="5">
        <v>2698964.4635526319</v>
      </c>
      <c r="G178" s="5">
        <v>2693711.4474999998</v>
      </c>
      <c r="H178" s="5">
        <v>2630114.0731578949</v>
      </c>
      <c r="I178" s="5">
        <v>2559498.6844736841</v>
      </c>
      <c r="J178" s="5">
        <v>2656655.645526316</v>
      </c>
      <c r="K178" s="5">
        <v>2659752.9302631579</v>
      </c>
      <c r="L178" s="5">
        <v>2658726.6143421056</v>
      </c>
    </row>
    <row r="179" spans="1:12" x14ac:dyDescent="0.25">
      <c r="A179" s="43" t="s">
        <v>69</v>
      </c>
      <c r="B179" s="4" t="s">
        <v>14</v>
      </c>
      <c r="C179" s="5">
        <v>5365144.4280263167</v>
      </c>
      <c r="D179" s="5">
        <v>5410873.61368421</v>
      </c>
      <c r="E179" s="5">
        <v>5470479.0240789484</v>
      </c>
      <c r="F179" s="5">
        <v>5529395.7824999997</v>
      </c>
      <c r="G179" s="5">
        <v>5554965.7547368426</v>
      </c>
      <c r="H179" s="5">
        <v>5541036.7026315788</v>
      </c>
      <c r="I179" s="5">
        <v>5455498.9438157901</v>
      </c>
      <c r="J179" s="5">
        <v>5377900.67013158</v>
      </c>
      <c r="K179" s="5">
        <v>5326493.5269736852</v>
      </c>
      <c r="L179" s="5">
        <v>5274066.9230263159</v>
      </c>
    </row>
    <row r="180" spans="1:12" x14ac:dyDescent="0.25">
      <c r="A180" s="43" t="s">
        <v>69</v>
      </c>
      <c r="B180" s="4" t="s">
        <v>16</v>
      </c>
      <c r="C180" s="6"/>
      <c r="D180" s="6"/>
      <c r="E180" s="6"/>
      <c r="F180" s="5">
        <v>99349.6</v>
      </c>
      <c r="G180" s="5">
        <v>99113.589473684217</v>
      </c>
      <c r="H180" s="5">
        <v>99172.246973684203</v>
      </c>
      <c r="I180" s="5">
        <v>99262.633815789479</v>
      </c>
      <c r="J180" s="6"/>
      <c r="K180" s="6"/>
      <c r="L180" s="6"/>
    </row>
    <row r="181" spans="1:12" x14ac:dyDescent="0.25">
      <c r="A181" s="43" t="s">
        <v>69</v>
      </c>
      <c r="B181" s="4" t="s">
        <v>17</v>
      </c>
      <c r="C181" s="5">
        <v>100297.91776315789</v>
      </c>
      <c r="D181" s="5">
        <v>109659.02157894737</v>
      </c>
      <c r="E181" s="5">
        <v>109698.23315789475</v>
      </c>
      <c r="F181" s="5">
        <v>9819.6736842105256</v>
      </c>
      <c r="G181" s="5">
        <v>10003.019078947369</v>
      </c>
      <c r="H181" s="5">
        <v>10209.521842105263</v>
      </c>
      <c r="I181" s="5">
        <v>10251.55947368421</v>
      </c>
      <c r="J181" s="5">
        <v>109183.56460526316</v>
      </c>
      <c r="K181" s="5">
        <v>109037.95618421053</v>
      </c>
      <c r="L181" s="5">
        <v>109338.78881578946</v>
      </c>
    </row>
    <row r="182" spans="1:12" x14ac:dyDescent="0.25">
      <c r="A182" s="43" t="s">
        <v>70</v>
      </c>
      <c r="B182" s="4" t="s">
        <v>13</v>
      </c>
      <c r="C182" s="6"/>
      <c r="D182" s="6"/>
      <c r="E182" s="6"/>
      <c r="F182" s="6"/>
      <c r="G182" s="6"/>
      <c r="H182" s="6"/>
      <c r="I182" s="6"/>
      <c r="J182" s="6"/>
      <c r="K182" s="6"/>
      <c r="L182" s="6"/>
    </row>
    <row r="183" spans="1:12" x14ac:dyDescent="0.25">
      <c r="A183" s="43" t="s">
        <v>70</v>
      </c>
      <c r="B183" s="4" t="s">
        <v>14</v>
      </c>
      <c r="C183" s="6"/>
      <c r="D183" s="6"/>
      <c r="E183" s="6"/>
      <c r="F183" s="6"/>
      <c r="G183" s="6"/>
      <c r="H183" s="6"/>
      <c r="I183" s="6"/>
      <c r="J183" s="6"/>
      <c r="K183" s="6"/>
      <c r="L183" s="6"/>
    </row>
    <row r="184" spans="1:12" x14ac:dyDescent="0.25">
      <c r="A184" s="43" t="s">
        <v>70</v>
      </c>
      <c r="B184" s="4" t="s">
        <v>15</v>
      </c>
      <c r="C184" s="6"/>
      <c r="D184" s="6"/>
      <c r="E184" s="6"/>
      <c r="F184" s="6"/>
      <c r="G184" s="6"/>
      <c r="H184" s="6"/>
      <c r="I184" s="6"/>
      <c r="J184" s="6"/>
      <c r="K184" s="6"/>
      <c r="L184" s="6"/>
    </row>
    <row r="185" spans="1:12" x14ac:dyDescent="0.25">
      <c r="A185" s="43" t="s">
        <v>70</v>
      </c>
      <c r="B185" s="4" t="s">
        <v>16</v>
      </c>
      <c r="C185" s="6"/>
      <c r="D185" s="6"/>
      <c r="E185" s="6"/>
      <c r="F185" s="6"/>
      <c r="G185" s="6"/>
      <c r="H185" s="6"/>
      <c r="I185" s="6"/>
      <c r="J185" s="6"/>
      <c r="K185" s="6"/>
      <c r="L185" s="6"/>
    </row>
    <row r="186" spans="1:12" x14ac:dyDescent="0.25">
      <c r="A186" s="43" t="s">
        <v>70</v>
      </c>
      <c r="B186" s="4" t="s">
        <v>17</v>
      </c>
      <c r="C186" s="6"/>
      <c r="D186" s="6"/>
      <c r="E186" s="6"/>
      <c r="F186" s="6"/>
      <c r="G186" s="6"/>
      <c r="H186" s="6"/>
      <c r="I186" s="6"/>
      <c r="J186" s="6"/>
      <c r="K186" s="6"/>
      <c r="L186" s="6"/>
    </row>
    <row r="187" spans="1:12" x14ac:dyDescent="0.25">
      <c r="A187" s="43" t="s">
        <v>71</v>
      </c>
      <c r="B187" s="4" t="s">
        <v>13</v>
      </c>
      <c r="C187" s="6"/>
      <c r="D187" s="6"/>
      <c r="E187" s="6"/>
      <c r="F187" s="6"/>
      <c r="G187" s="6"/>
      <c r="H187" s="6"/>
      <c r="I187" s="6"/>
      <c r="J187" s="6"/>
      <c r="K187" s="6"/>
      <c r="L187" s="6"/>
    </row>
    <row r="188" spans="1:12" x14ac:dyDescent="0.25">
      <c r="A188" s="43" t="s">
        <v>71</v>
      </c>
      <c r="B188" s="4" t="s">
        <v>14</v>
      </c>
      <c r="C188" s="5">
        <v>362820.2660087719</v>
      </c>
      <c r="D188" s="5">
        <v>335282.37864035089</v>
      </c>
      <c r="E188" s="5">
        <v>335013.19368421054</v>
      </c>
      <c r="F188" s="5">
        <v>334456.86499999999</v>
      </c>
      <c r="G188" s="5">
        <v>336497.77442982449</v>
      </c>
      <c r="H188" s="5">
        <v>1562122.2624122805</v>
      </c>
      <c r="I188" s="5">
        <v>1575519.8514912277</v>
      </c>
      <c r="J188" s="5">
        <v>1582139.9629385965</v>
      </c>
      <c r="K188" s="5">
        <v>1593776.1768421051</v>
      </c>
      <c r="L188" s="5">
        <v>1602020.15372807</v>
      </c>
    </row>
    <row r="189" spans="1:12" x14ac:dyDescent="0.25">
      <c r="A189" s="43" t="s">
        <v>71</v>
      </c>
      <c r="B189" s="4" t="s">
        <v>15</v>
      </c>
      <c r="C189" s="5">
        <v>3014599.3466666667</v>
      </c>
      <c r="D189" s="5">
        <v>2707332.0833333335</v>
      </c>
      <c r="E189" s="5">
        <v>2778167.9</v>
      </c>
      <c r="F189" s="5">
        <v>2854336.7966666664</v>
      </c>
      <c r="G189" s="5">
        <v>2892677.8183333329</v>
      </c>
      <c r="H189" s="5">
        <v>2936861.2</v>
      </c>
      <c r="I189" s="5">
        <v>2979573.415</v>
      </c>
      <c r="J189" s="5">
        <v>3019022.6733333329</v>
      </c>
      <c r="K189" s="5">
        <v>3057248.74</v>
      </c>
      <c r="L189" s="5">
        <v>3089470.1716666664</v>
      </c>
    </row>
    <row r="190" spans="1:12" x14ac:dyDescent="0.25">
      <c r="A190" s="43" t="s">
        <v>71</v>
      </c>
      <c r="B190" s="4" t="s">
        <v>16</v>
      </c>
      <c r="C190" s="5">
        <v>4165431.402985075</v>
      </c>
      <c r="D190" s="5">
        <v>4103707.7014925373</v>
      </c>
      <c r="E190" s="5">
        <v>4044909.8507462693</v>
      </c>
      <c r="F190" s="5">
        <v>3981824.9552238807</v>
      </c>
      <c r="G190" s="6"/>
      <c r="H190" s="6"/>
      <c r="I190" s="6"/>
      <c r="J190" s="6"/>
      <c r="K190" s="6"/>
      <c r="L190" s="6"/>
    </row>
    <row r="191" spans="1:12" x14ac:dyDescent="0.25">
      <c r="A191" s="43" t="s">
        <v>71</v>
      </c>
      <c r="B191" s="4" t="s">
        <v>17</v>
      </c>
      <c r="C191" s="5">
        <v>6569334.7158333333</v>
      </c>
      <c r="D191" s="5">
        <v>6471782.1011842107</v>
      </c>
      <c r="E191" s="5">
        <v>6334815.4132456137</v>
      </c>
      <c r="F191" s="5">
        <v>6207271.2993567251</v>
      </c>
      <c r="G191" s="5">
        <v>10031240.816999869</v>
      </c>
      <c r="H191" s="5">
        <v>8718583.237132322</v>
      </c>
      <c r="I191" s="5">
        <v>8635873.4531162176</v>
      </c>
      <c r="J191" s="5">
        <v>8565016.3543248661</v>
      </c>
      <c r="K191" s="5">
        <v>8498030.0930110402</v>
      </c>
      <c r="L191" s="5">
        <v>8435990.8228508774</v>
      </c>
    </row>
    <row r="192" spans="1:12" x14ac:dyDescent="0.25">
      <c r="A192" s="43" t="s">
        <v>72</v>
      </c>
      <c r="B192" s="4" t="s">
        <v>13</v>
      </c>
      <c r="C192" s="6"/>
      <c r="D192" s="6"/>
      <c r="E192" s="6"/>
      <c r="F192" s="6"/>
      <c r="G192" s="6"/>
      <c r="H192" s="6"/>
      <c r="I192" s="6"/>
      <c r="J192" s="6"/>
      <c r="K192" s="6"/>
      <c r="L192" s="6"/>
    </row>
    <row r="193" spans="1:12" x14ac:dyDescent="0.25">
      <c r="A193" s="43" t="s">
        <v>72</v>
      </c>
      <c r="B193" s="4" t="s">
        <v>14</v>
      </c>
      <c r="C193" s="5">
        <v>38238.9311314519</v>
      </c>
      <c r="D193" s="5">
        <v>36200.708673561952</v>
      </c>
      <c r="E193" s="5">
        <v>36914.8388761487</v>
      </c>
      <c r="F193" s="5">
        <v>37130.946641076218</v>
      </c>
      <c r="G193" s="5">
        <v>37143.035237462849</v>
      </c>
      <c r="H193" s="5">
        <v>40887.509760165776</v>
      </c>
      <c r="I193" s="5">
        <v>40876.767146462749</v>
      </c>
      <c r="J193" s="5">
        <v>40921.503478660023</v>
      </c>
      <c r="K193" s="5">
        <v>40972.634280931139</v>
      </c>
      <c r="L193" s="5">
        <v>41053.861588892236</v>
      </c>
    </row>
    <row r="194" spans="1:12" x14ac:dyDescent="0.25">
      <c r="A194" s="43" t="s">
        <v>72</v>
      </c>
      <c r="B194" s="4" t="s">
        <v>16</v>
      </c>
      <c r="C194" s="5">
        <v>2287.1221039214215</v>
      </c>
      <c r="D194" s="5">
        <v>2273.9350034003805</v>
      </c>
      <c r="E194" s="5">
        <v>2264.093558481944</v>
      </c>
      <c r="F194" s="5">
        <v>2235.0473258011943</v>
      </c>
      <c r="G194" s="5">
        <v>2207.011982888916</v>
      </c>
      <c r="H194" s="5">
        <v>2185.2441565411623</v>
      </c>
      <c r="I194" s="6"/>
      <c r="J194" s="6"/>
      <c r="K194" s="6"/>
      <c r="L194" s="6"/>
    </row>
    <row r="195" spans="1:12" x14ac:dyDescent="0.25">
      <c r="A195" s="43" t="s">
        <v>72</v>
      </c>
      <c r="B195" s="4" t="s">
        <v>17</v>
      </c>
      <c r="C195" s="5">
        <v>389195.53775665717</v>
      </c>
      <c r="D195" s="5">
        <v>387373.02504091861</v>
      </c>
      <c r="E195" s="5">
        <v>385438.47251385276</v>
      </c>
      <c r="F195" s="5">
        <v>390325.58726479328</v>
      </c>
      <c r="G195" s="5">
        <v>392723.0113771137</v>
      </c>
      <c r="H195" s="5">
        <v>386412.72770321701</v>
      </c>
      <c r="I195" s="5">
        <v>384705.30374175624</v>
      </c>
      <c r="J195" s="5">
        <v>381874.5742244139</v>
      </c>
      <c r="K195" s="5">
        <v>373352.10910662811</v>
      </c>
      <c r="L195" s="5">
        <v>361138.98097679514</v>
      </c>
    </row>
    <row r="196" spans="1:12" x14ac:dyDescent="0.25">
      <c r="A196" s="43" t="s">
        <v>73</v>
      </c>
      <c r="B196" s="4" t="s">
        <v>14</v>
      </c>
      <c r="C196" s="5">
        <v>11460781.930868421</v>
      </c>
      <c r="D196" s="5">
        <v>11234613.763131579</v>
      </c>
      <c r="E196" s="5">
        <v>11355504.491763158</v>
      </c>
      <c r="F196" s="5">
        <v>11298895.010710526</v>
      </c>
      <c r="G196" s="5">
        <v>21148694.450105265</v>
      </c>
      <c r="H196" s="5">
        <v>21006426.347605266</v>
      </c>
      <c r="I196" s="5">
        <v>20948505.109947372</v>
      </c>
      <c r="J196" s="5">
        <v>22002471.197631579</v>
      </c>
      <c r="K196" s="5">
        <v>21890505.244921051</v>
      </c>
      <c r="L196" s="5">
        <v>21801576.347789474</v>
      </c>
    </row>
    <row r="197" spans="1:12" x14ac:dyDescent="0.25">
      <c r="A197" s="43" t="s">
        <v>73</v>
      </c>
      <c r="B197" s="4" t="s">
        <v>16</v>
      </c>
      <c r="C197" s="6"/>
      <c r="D197" s="6"/>
      <c r="E197" s="6"/>
      <c r="F197" s="6"/>
      <c r="G197" s="6"/>
      <c r="H197" s="6"/>
      <c r="I197" s="6"/>
      <c r="J197" s="6"/>
      <c r="K197" s="6"/>
      <c r="L197" s="6"/>
    </row>
    <row r="198" spans="1:12" x14ac:dyDescent="0.25">
      <c r="A198" s="43" t="s">
        <v>73</v>
      </c>
      <c r="B198" s="4" t="s">
        <v>17</v>
      </c>
      <c r="C198" s="5">
        <v>17861743.915263161</v>
      </c>
      <c r="D198" s="5">
        <v>16410902.183289476</v>
      </c>
      <c r="E198" s="5">
        <v>15651541.698421054</v>
      </c>
      <c r="F198" s="5">
        <v>15610191.522368422</v>
      </c>
      <c r="G198" s="5">
        <v>5714370.5042105261</v>
      </c>
      <c r="H198" s="5">
        <v>5786323.3546052631</v>
      </c>
      <c r="I198" s="5">
        <v>5789920.2415789468</v>
      </c>
      <c r="J198" s="5">
        <v>4685145.968289474</v>
      </c>
      <c r="K198" s="5">
        <v>4760583.9326315792</v>
      </c>
      <c r="L198" s="5">
        <v>4773371.973289473</v>
      </c>
    </row>
    <row r="199" spans="1:12" x14ac:dyDescent="0.25">
      <c r="A199" s="43" t="s">
        <v>74</v>
      </c>
      <c r="B199" s="4" t="s">
        <v>13</v>
      </c>
      <c r="C199" s="5">
        <v>6000000</v>
      </c>
      <c r="D199" s="5">
        <v>6000000</v>
      </c>
      <c r="E199" s="5">
        <v>6000000</v>
      </c>
      <c r="F199" s="5">
        <v>6000000</v>
      </c>
      <c r="G199" s="5">
        <v>6000000</v>
      </c>
      <c r="H199" s="5">
        <v>6000000</v>
      </c>
      <c r="I199" s="5">
        <v>6000000</v>
      </c>
      <c r="J199" s="5">
        <v>6000000</v>
      </c>
      <c r="K199" s="5">
        <v>6000000</v>
      </c>
      <c r="L199" s="5">
        <v>6000000</v>
      </c>
    </row>
    <row r="200" spans="1:12" x14ac:dyDescent="0.25">
      <c r="A200" s="43" t="s">
        <v>74</v>
      </c>
      <c r="B200" s="4" t="s">
        <v>14</v>
      </c>
      <c r="C200" s="5">
        <v>153864.28222222222</v>
      </c>
      <c r="D200" s="5">
        <v>27775.433333333331</v>
      </c>
      <c r="E200" s="5">
        <v>65120.959916666659</v>
      </c>
      <c r="F200" s="5">
        <v>64633</v>
      </c>
      <c r="G200" s="5">
        <v>99834.227083333331</v>
      </c>
      <c r="H200" s="5">
        <v>99256.908916666667</v>
      </c>
      <c r="I200" s="5">
        <v>98527.910250000001</v>
      </c>
      <c r="J200" s="5">
        <v>97518.737250000006</v>
      </c>
      <c r="K200" s="5">
        <v>96550.74</v>
      </c>
      <c r="L200" s="5">
        <v>95686.964999999997</v>
      </c>
    </row>
    <row r="201" spans="1:12" x14ac:dyDescent="0.25">
      <c r="A201" s="43" t="s">
        <v>74</v>
      </c>
      <c r="B201" s="4" t="s">
        <v>15</v>
      </c>
      <c r="C201" s="5">
        <v>16032418.271111112</v>
      </c>
      <c r="D201" s="5">
        <v>31917818.424583338</v>
      </c>
      <c r="E201" s="5">
        <v>49802876.488624997</v>
      </c>
      <c r="F201" s="5">
        <v>62355147.33201389</v>
      </c>
      <c r="G201" s="5">
        <v>64836476.929625005</v>
      </c>
      <c r="H201" s="5">
        <v>63932686.010902777</v>
      </c>
      <c r="I201" s="5">
        <v>48879112.504916668</v>
      </c>
      <c r="J201" s="5">
        <v>49718190.376666673</v>
      </c>
      <c r="K201" s="5">
        <v>40147146.461458333</v>
      </c>
      <c r="L201" s="5">
        <v>19427327.223125003</v>
      </c>
    </row>
    <row r="202" spans="1:12" x14ac:dyDescent="0.25">
      <c r="A202" s="43" t="s">
        <v>74</v>
      </c>
      <c r="B202" s="4" t="s">
        <v>16</v>
      </c>
      <c r="C202" s="5">
        <v>45754097.313264705</v>
      </c>
      <c r="D202" s="5">
        <v>50077517.885032684</v>
      </c>
      <c r="E202" s="5">
        <v>35068161.302647062</v>
      </c>
      <c r="F202" s="5">
        <v>29842440.03602941</v>
      </c>
      <c r="G202" s="5">
        <v>20104034.19651961</v>
      </c>
      <c r="H202" s="5">
        <v>23208114.33617647</v>
      </c>
      <c r="I202" s="5">
        <v>26312206.578823529</v>
      </c>
      <c r="J202" s="5">
        <v>27051055.042352945</v>
      </c>
      <c r="K202" s="5">
        <v>27695079.422500003</v>
      </c>
      <c r="L202" s="5">
        <v>28291617.551274512</v>
      </c>
    </row>
    <row r="203" spans="1:12" x14ac:dyDescent="0.25">
      <c r="A203" s="43" t="s">
        <v>74</v>
      </c>
      <c r="B203" s="4" t="s">
        <v>17</v>
      </c>
      <c r="C203" s="5">
        <v>25928275.656111114</v>
      </c>
      <c r="D203" s="5">
        <v>24931573.934861109</v>
      </c>
      <c r="E203" s="5">
        <v>23104271.493527777</v>
      </c>
      <c r="F203" s="5">
        <v>23865551.799027778</v>
      </c>
      <c r="G203" s="5">
        <v>22161199.353722222</v>
      </c>
      <c r="H203" s="5">
        <v>22015174.094583336</v>
      </c>
      <c r="I203" s="5">
        <v>21855775.33288889</v>
      </c>
      <c r="J203" s="5">
        <v>21689383.892305557</v>
      </c>
      <c r="K203" s="5">
        <v>21560289.827763885</v>
      </c>
      <c r="L203" s="5">
        <v>21470697.767319441</v>
      </c>
    </row>
    <row r="204" spans="1:12" ht="15" customHeight="1" x14ac:dyDescent="0.25">
      <c r="C204" s="8"/>
      <c r="D204" s="8"/>
      <c r="E204" s="8"/>
      <c r="F204" s="8"/>
      <c r="G204" s="8"/>
      <c r="H204" s="8"/>
      <c r="I204" s="8"/>
      <c r="J204" s="8"/>
      <c r="K204" s="8"/>
      <c r="L204" s="8"/>
    </row>
    <row r="205" spans="1:12" ht="14.25" customHeight="1" x14ac:dyDescent="0.25">
      <c r="C205" s="8"/>
      <c r="D205" s="8"/>
      <c r="E205" s="8"/>
      <c r="F205" s="8"/>
      <c r="G205" s="8"/>
      <c r="H205" s="8"/>
      <c r="I205" s="8"/>
      <c r="J205" s="8"/>
      <c r="K205" s="8"/>
      <c r="L205" s="8"/>
    </row>
    <row r="206" spans="1:12" x14ac:dyDescent="0.25">
      <c r="C206" s="8"/>
      <c r="D206" s="8"/>
      <c r="E206" s="8"/>
      <c r="F206" s="8"/>
      <c r="G206" s="8"/>
      <c r="H206" s="8"/>
      <c r="I206" s="8"/>
      <c r="J206" s="8"/>
      <c r="K206" s="8"/>
      <c r="L206" s="8"/>
    </row>
    <row r="207" spans="1:12" x14ac:dyDescent="0.25">
      <c r="A207" s="2" t="s">
        <v>43</v>
      </c>
      <c r="B207" s="2" t="s">
        <v>110</v>
      </c>
      <c r="C207" s="8">
        <f>SUM(C96+C136+C132)</f>
        <v>12398505.803013157</v>
      </c>
      <c r="D207" s="8">
        <f t="shared" ref="C207:L207" si="0">SUM(D96+D136+D142)</f>
        <v>37949221.241086259</v>
      </c>
      <c r="E207" s="8">
        <f t="shared" si="0"/>
        <v>17547795.842103511</v>
      </c>
      <c r="F207" s="8">
        <f>SUM(F96+F136+F142)</f>
        <v>21303104.688398462</v>
      </c>
      <c r="G207" s="8">
        <f t="shared" si="0"/>
        <v>22347712.522483818</v>
      </c>
      <c r="H207" s="8">
        <f t="shared" si="0"/>
        <v>20946969.555763159</v>
      </c>
      <c r="I207" s="8">
        <f t="shared" si="0"/>
        <v>19884769.205236845</v>
      </c>
      <c r="J207" s="8">
        <f t="shared" si="0"/>
        <v>20824130.238903508</v>
      </c>
      <c r="K207" s="8">
        <f t="shared" si="0"/>
        <v>21884645.404903509</v>
      </c>
      <c r="L207" s="8">
        <f t="shared" si="0"/>
        <v>22913488.673833333</v>
      </c>
    </row>
    <row r="208" spans="1:12" x14ac:dyDescent="0.25">
      <c r="A208" s="2" t="s">
        <v>57</v>
      </c>
      <c r="B208" s="2" t="s">
        <v>110</v>
      </c>
      <c r="C208" s="8">
        <f t="shared" ref="C208:L208" si="1">C138+C139</f>
        <v>331279149.4189564</v>
      </c>
      <c r="D208" s="8">
        <f t="shared" si="1"/>
        <v>227385022.03396031</v>
      </c>
      <c r="E208" s="8">
        <f t="shared" si="1"/>
        <v>278835990.6812675</v>
      </c>
      <c r="F208" s="8">
        <f t="shared" si="1"/>
        <v>251625699.27542749</v>
      </c>
      <c r="G208" s="8">
        <f t="shared" si="1"/>
        <v>267811068.36687306</v>
      </c>
      <c r="H208" s="8">
        <f t="shared" si="1"/>
        <v>370337279.74940479</v>
      </c>
      <c r="I208" s="8">
        <f t="shared" si="1"/>
        <v>240424168.59249011</v>
      </c>
      <c r="J208" s="8">
        <f t="shared" si="1"/>
        <v>376781790.09281218</v>
      </c>
      <c r="K208" s="8">
        <f t="shared" si="1"/>
        <v>278873915.36341274</v>
      </c>
      <c r="L208" s="8">
        <f t="shared" si="1"/>
        <v>312878955.40801585</v>
      </c>
    </row>
    <row r="209" spans="1:12" x14ac:dyDescent="0.25">
      <c r="A209" s="2" t="s">
        <v>55</v>
      </c>
      <c r="B209" s="2" t="s">
        <v>110</v>
      </c>
      <c r="C209" s="8">
        <f t="shared" ref="C209:L209" si="2">C132+C133</f>
        <v>26052155.976207186</v>
      </c>
      <c r="D209" s="8">
        <f t="shared" si="2"/>
        <v>26626398.679317039</v>
      </c>
      <c r="E209" s="8">
        <f t="shared" si="2"/>
        <v>25785425.000522137</v>
      </c>
      <c r="F209" s="8">
        <f t="shared" si="2"/>
        <v>25268100.541441102</v>
      </c>
      <c r="G209" s="8">
        <f t="shared" si="2"/>
        <v>23536241.102126151</v>
      </c>
      <c r="H209" s="8">
        <f t="shared" si="2"/>
        <v>16205415.982412282</v>
      </c>
      <c r="I209" s="8">
        <f t="shared" si="2"/>
        <v>18650429.621702172</v>
      </c>
      <c r="J209" s="8">
        <f t="shared" si="2"/>
        <v>8909629.4530639108</v>
      </c>
      <c r="K209" s="8">
        <f t="shared" si="2"/>
        <v>10718459.86807644</v>
      </c>
      <c r="L209" s="8">
        <f t="shared" si="2"/>
        <v>12977658.734872598</v>
      </c>
    </row>
    <row r="210" spans="1:12" x14ac:dyDescent="0.25">
      <c r="A210" s="2" t="s">
        <v>71</v>
      </c>
      <c r="B210" s="2" t="s">
        <v>107</v>
      </c>
      <c r="C210" s="8">
        <f t="shared" ref="C210:L210" si="3">C189+C190</f>
        <v>7180030.7496517412</v>
      </c>
      <c r="D210" s="8">
        <f t="shared" si="3"/>
        <v>6811039.7848258708</v>
      </c>
      <c r="E210" s="8">
        <f t="shared" si="3"/>
        <v>6823077.7507462688</v>
      </c>
      <c r="F210" s="8">
        <f t="shared" si="3"/>
        <v>6836161.7518905476</v>
      </c>
      <c r="G210" s="8">
        <f t="shared" si="3"/>
        <v>2892677.8183333329</v>
      </c>
      <c r="H210" s="8">
        <f t="shared" si="3"/>
        <v>2936861.2</v>
      </c>
      <c r="I210" s="8">
        <f t="shared" si="3"/>
        <v>2979573.415</v>
      </c>
      <c r="J210" s="8">
        <f t="shared" si="3"/>
        <v>3019022.6733333329</v>
      </c>
      <c r="K210" s="8">
        <f t="shared" si="3"/>
        <v>3057248.74</v>
      </c>
      <c r="L210" s="8">
        <f t="shared" si="3"/>
        <v>3089470.1716666664</v>
      </c>
    </row>
    <row r="211" spans="1:12" x14ac:dyDescent="0.25">
      <c r="A211" s="2" t="s">
        <v>66</v>
      </c>
      <c r="B211" s="2" t="s">
        <v>107</v>
      </c>
      <c r="C211" s="8">
        <f t="shared" ref="C211:L211" si="4">C170+C171</f>
        <v>243482508.59073868</v>
      </c>
      <c r="D211" s="8">
        <f t="shared" si="4"/>
        <v>265683552.45220169</v>
      </c>
      <c r="E211" s="8">
        <f t="shared" si="4"/>
        <v>267449255.31556958</v>
      </c>
      <c r="F211" s="8">
        <f t="shared" si="4"/>
        <v>252260511.73202878</v>
      </c>
      <c r="G211" s="8">
        <f t="shared" si="4"/>
        <v>254784837.78433856</v>
      </c>
      <c r="H211" s="8">
        <f t="shared" si="4"/>
        <v>252649060.60826117</v>
      </c>
      <c r="I211" s="8">
        <f t="shared" si="4"/>
        <v>255763567.71337724</v>
      </c>
      <c r="J211" s="8">
        <f t="shared" si="4"/>
        <v>253520237.87101316</v>
      </c>
      <c r="K211" s="8">
        <f t="shared" si="4"/>
        <v>257067992.06900519</v>
      </c>
      <c r="L211" s="8">
        <f t="shared" si="4"/>
        <v>259612793.86153063</v>
      </c>
    </row>
    <row r="212" spans="1:12" x14ac:dyDescent="0.25">
      <c r="A212" s="2" t="s">
        <v>108</v>
      </c>
      <c r="B212" s="2" t="s">
        <v>111</v>
      </c>
      <c r="C212" s="8">
        <f t="shared" ref="C212:L212" si="5">C19+C20</f>
        <v>6404901.9598684218</v>
      </c>
      <c r="D212" s="8">
        <f t="shared" si="5"/>
        <v>6442339.4954824559</v>
      </c>
      <c r="E212" s="8">
        <f t="shared" si="5"/>
        <v>6541567.8275000006</v>
      </c>
      <c r="F212" s="8">
        <f t="shared" si="5"/>
        <v>6259354.4899561405</v>
      </c>
      <c r="G212" s="8">
        <f t="shared" si="5"/>
        <v>6340104.8614473687</v>
      </c>
      <c r="H212" s="8">
        <f t="shared" si="5"/>
        <v>6418379.5582894739</v>
      </c>
      <c r="I212" s="8">
        <f t="shared" si="5"/>
        <v>6083652.8530263156</v>
      </c>
      <c r="J212" s="8">
        <f t="shared" si="5"/>
        <v>6124954.0212280694</v>
      </c>
      <c r="K212" s="8">
        <f t="shared" si="5"/>
        <v>6177151.9592543859</v>
      </c>
      <c r="L212" s="8">
        <f t="shared" si="5"/>
        <v>6234188.6265789466</v>
      </c>
    </row>
    <row r="213" spans="1:12" x14ac:dyDescent="0.25">
      <c r="A213" s="2" t="s">
        <v>109</v>
      </c>
      <c r="B213" s="2" t="s">
        <v>111</v>
      </c>
      <c r="C213" s="8">
        <f t="shared" ref="C213:L213" si="6">+C47+C48</f>
        <v>62054151.5187333</v>
      </c>
      <c r="D213" s="8">
        <f t="shared" si="6"/>
        <v>65413986.955080487</v>
      </c>
      <c r="E213" s="8">
        <f t="shared" si="6"/>
        <v>65841841.856021188</v>
      </c>
      <c r="F213" s="8">
        <f t="shared" si="6"/>
        <v>61952728.244699508</v>
      </c>
      <c r="G213" s="8">
        <f t="shared" si="6"/>
        <v>60519651.500131585</v>
      </c>
      <c r="H213" s="8">
        <f t="shared" si="6"/>
        <v>57998581.139210522</v>
      </c>
      <c r="I213" s="8">
        <f t="shared" si="6"/>
        <v>58117895.537499987</v>
      </c>
      <c r="J213" s="8">
        <f t="shared" si="6"/>
        <v>57893320.744999997</v>
      </c>
      <c r="K213" s="8">
        <f t="shared" si="6"/>
        <v>57748831.459999993</v>
      </c>
      <c r="L213" s="8">
        <f t="shared" si="6"/>
        <v>57596497.972499989</v>
      </c>
    </row>
    <row r="214" spans="1:12" x14ac:dyDescent="0.25">
      <c r="A214" s="2" t="s">
        <v>98</v>
      </c>
      <c r="B214" s="2" t="s">
        <v>107</v>
      </c>
      <c r="C214" s="8">
        <f t="shared" ref="C214:L214" si="7">C59+C60</f>
        <v>5826576.9305263162</v>
      </c>
      <c r="D214" s="8">
        <f t="shared" si="7"/>
        <v>5816636.375</v>
      </c>
      <c r="E214" s="8">
        <f t="shared" si="7"/>
        <v>5854584.8755263165</v>
      </c>
      <c r="F214" s="8">
        <f t="shared" si="7"/>
        <v>5896821.9957894739</v>
      </c>
      <c r="G214" s="8">
        <f t="shared" si="7"/>
        <v>5926170.5989473686</v>
      </c>
      <c r="H214" s="8">
        <f t="shared" si="7"/>
        <v>5954082.8915789481</v>
      </c>
      <c r="I214" s="8">
        <f t="shared" si="7"/>
        <v>5991783.4488157891</v>
      </c>
      <c r="J214" s="8">
        <f t="shared" si="7"/>
        <v>6035049.5778947361</v>
      </c>
      <c r="K214" s="8">
        <f t="shared" si="7"/>
        <v>6086680.1910526324</v>
      </c>
      <c r="L214" s="8">
        <f t="shared" si="7"/>
        <v>6145863.4007894751</v>
      </c>
    </row>
    <row r="215" spans="1:12" x14ac:dyDescent="0.25">
      <c r="A215" s="2" t="s">
        <v>99</v>
      </c>
      <c r="B215" s="2" t="s">
        <v>111</v>
      </c>
      <c r="C215" s="8">
        <f t="shared" ref="C215:L215" si="8">C55+C56</f>
        <v>252782013.30394739</v>
      </c>
      <c r="D215" s="8">
        <f t="shared" si="8"/>
        <v>276183400.32488823</v>
      </c>
      <c r="E215" s="8">
        <f t="shared" si="8"/>
        <v>280768150.91119456</v>
      </c>
      <c r="F215" s="8">
        <f t="shared" si="8"/>
        <v>267849284.49763146</v>
      </c>
      <c r="G215" s="8">
        <f t="shared" si="8"/>
        <v>268129431.55802631</v>
      </c>
      <c r="H215" s="8">
        <f t="shared" si="8"/>
        <v>263800136.55421048</v>
      </c>
      <c r="I215" s="8">
        <f t="shared" si="8"/>
        <v>266841401.45684212</v>
      </c>
      <c r="J215" s="8">
        <f t="shared" si="8"/>
        <v>264380546.56289476</v>
      </c>
      <c r="K215" s="8">
        <f t="shared" si="8"/>
        <v>267626725.60763156</v>
      </c>
      <c r="L215" s="8">
        <f t="shared" si="8"/>
        <v>270569619.35592109</v>
      </c>
    </row>
    <row r="216" spans="1:12" x14ac:dyDescent="0.25">
      <c r="A216" s="16" t="s">
        <v>100</v>
      </c>
      <c r="B216" s="17" t="s">
        <v>112</v>
      </c>
      <c r="C216" s="8">
        <f t="shared" ref="C216:L216" si="9">C32</f>
        <v>0</v>
      </c>
      <c r="D216" s="8">
        <f t="shared" si="9"/>
        <v>0</v>
      </c>
      <c r="E216" s="8">
        <f t="shared" si="9"/>
        <v>0</v>
      </c>
      <c r="F216" s="8">
        <f t="shared" si="9"/>
        <v>278213.56657894736</v>
      </c>
      <c r="G216" s="8">
        <f t="shared" si="9"/>
        <v>280005.61210526316</v>
      </c>
      <c r="H216" s="8">
        <f t="shared" si="9"/>
        <v>283015.81947368424</v>
      </c>
      <c r="I216" s="8">
        <f t="shared" si="9"/>
        <v>286417.42355263163</v>
      </c>
      <c r="J216" s="8">
        <f t="shared" si="9"/>
        <v>0</v>
      </c>
      <c r="K216" s="8">
        <f t="shared" si="9"/>
        <v>0</v>
      </c>
      <c r="L216" s="8">
        <f t="shared" si="9"/>
        <v>0</v>
      </c>
    </row>
    <row r="217" spans="1:12" x14ac:dyDescent="0.25">
      <c r="A217" s="2" t="s">
        <v>101</v>
      </c>
      <c r="B217" s="2" t="s">
        <v>111</v>
      </c>
      <c r="C217" s="8">
        <f t="shared" ref="C217:L217" si="10">C83+C84</f>
        <v>83779046.847486719</v>
      </c>
      <c r="D217" s="8">
        <f t="shared" si="10"/>
        <v>111910967.15089689</v>
      </c>
      <c r="E217" s="8">
        <f t="shared" si="10"/>
        <v>130818258.14145753</v>
      </c>
      <c r="F217" s="8">
        <f t="shared" si="10"/>
        <v>130319404.58758436</v>
      </c>
      <c r="G217" s="8">
        <f t="shared" si="10"/>
        <v>130091602.13493446</v>
      </c>
      <c r="H217" s="8">
        <f t="shared" si="10"/>
        <v>128193768.97534713</v>
      </c>
      <c r="I217" s="8">
        <f t="shared" si="10"/>
        <v>130537709.07201266</v>
      </c>
      <c r="J217" s="8">
        <f t="shared" si="10"/>
        <v>128516248.55533761</v>
      </c>
      <c r="K217" s="8">
        <f t="shared" si="10"/>
        <v>130807277.60506803</v>
      </c>
      <c r="L217" s="8">
        <f t="shared" si="10"/>
        <v>132955975.82407425</v>
      </c>
    </row>
    <row r="218" spans="1:12" x14ac:dyDescent="0.25">
      <c r="A218" s="2" t="s">
        <v>102</v>
      </c>
      <c r="B218" s="2" t="s">
        <v>110</v>
      </c>
      <c r="C218" s="8">
        <f t="shared" ref="C218:L218" si="11">C8+C9</f>
        <v>438402962.04456699</v>
      </c>
      <c r="D218" s="8">
        <f t="shared" si="11"/>
        <v>470271315.11104214</v>
      </c>
      <c r="E218" s="8">
        <f t="shared" si="11"/>
        <v>477813506.82563323</v>
      </c>
      <c r="F218" s="8">
        <f t="shared" si="11"/>
        <v>460091967.73953664</v>
      </c>
      <c r="G218" s="8">
        <f t="shared" si="11"/>
        <v>461371890.65450358</v>
      </c>
      <c r="H218" s="8">
        <f t="shared" si="11"/>
        <v>444026200.79623568</v>
      </c>
      <c r="I218" s="8">
        <f t="shared" si="11"/>
        <v>0</v>
      </c>
      <c r="J218" s="8">
        <f t="shared" si="11"/>
        <v>0</v>
      </c>
      <c r="K218" s="8">
        <f t="shared" si="11"/>
        <v>0</v>
      </c>
      <c r="L218" s="8">
        <f t="shared" si="11"/>
        <v>0</v>
      </c>
    </row>
    <row r="219" spans="1:12" x14ac:dyDescent="0.25">
      <c r="A219" s="2" t="s">
        <v>103</v>
      </c>
      <c r="B219" s="2" t="s">
        <v>110</v>
      </c>
      <c r="C219" s="8">
        <f t="shared" ref="C219:L219" si="12">C79+C80</f>
        <v>18988209.721337222</v>
      </c>
      <c r="D219" s="8">
        <f t="shared" si="12"/>
        <v>18779834.86234023</v>
      </c>
      <c r="E219" s="8">
        <f t="shared" si="12"/>
        <v>27459976.613193259</v>
      </c>
      <c r="F219" s="8">
        <f t="shared" si="12"/>
        <v>72849487.392145708</v>
      </c>
      <c r="G219" s="8">
        <f t="shared" si="12"/>
        <v>92670605.202007547</v>
      </c>
      <c r="H219" s="8">
        <f t="shared" si="12"/>
        <v>64703773.733958893</v>
      </c>
      <c r="I219" s="8">
        <f t="shared" si="12"/>
        <v>42236974.675196275</v>
      </c>
      <c r="J219" s="8">
        <f t="shared" si="12"/>
        <v>42368434.197219275</v>
      </c>
      <c r="K219" s="8">
        <f t="shared" si="12"/>
        <v>33730466.86672733</v>
      </c>
      <c r="L219" s="8">
        <f t="shared" si="12"/>
        <v>35038544.997919135</v>
      </c>
    </row>
    <row r="220" spans="1:12" x14ac:dyDescent="0.25">
      <c r="A220" s="2" t="s">
        <v>104</v>
      </c>
      <c r="B220" s="2" t="s">
        <v>111</v>
      </c>
      <c r="C220" s="8">
        <f t="shared" ref="C220:L220" si="13">C67+C68</f>
        <v>59502552.144086249</v>
      </c>
      <c r="D220" s="8">
        <f t="shared" si="13"/>
        <v>66824756.298947357</v>
      </c>
      <c r="E220" s="8">
        <f t="shared" si="13"/>
        <v>70949628.8296462</v>
      </c>
      <c r="F220" s="8">
        <f t="shared" si="13"/>
        <v>66846127.524026312</v>
      </c>
      <c r="G220" s="8">
        <f t="shared" si="13"/>
        <v>66046122.553815782</v>
      </c>
      <c r="H220" s="8">
        <f t="shared" si="13"/>
        <v>64346977.572236829</v>
      </c>
      <c r="I220" s="8">
        <f t="shared" si="13"/>
        <v>65181083.424605265</v>
      </c>
      <c r="J220" s="8">
        <f t="shared" si="13"/>
        <v>63819959.962368414</v>
      </c>
      <c r="K220" s="8">
        <f t="shared" si="13"/>
        <v>64588221.479868405</v>
      </c>
      <c r="L220" s="8">
        <f t="shared" si="13"/>
        <v>64955806.190789476</v>
      </c>
    </row>
    <row r="221" spans="1:12" x14ac:dyDescent="0.25">
      <c r="A221" s="2" t="s">
        <v>105</v>
      </c>
      <c r="B221" s="2" t="s">
        <v>107</v>
      </c>
      <c r="C221" s="8">
        <f t="shared" ref="C221:L221" si="14">C72+C73</f>
        <v>927637.83394736843</v>
      </c>
      <c r="D221" s="8">
        <f t="shared" si="14"/>
        <v>777066.97697368416</v>
      </c>
      <c r="E221" s="8">
        <f t="shared" si="14"/>
        <v>630153.08855263167</v>
      </c>
      <c r="F221" s="8">
        <f t="shared" si="14"/>
        <v>3543.6963157894734</v>
      </c>
      <c r="G221" s="8">
        <f t="shared" si="14"/>
        <v>3783.6457894736841</v>
      </c>
      <c r="H221" s="8">
        <f t="shared" si="14"/>
        <v>4031.9913157894744</v>
      </c>
      <c r="I221" s="8">
        <f t="shared" si="14"/>
        <v>0</v>
      </c>
      <c r="J221" s="8">
        <f t="shared" si="14"/>
        <v>0</v>
      </c>
      <c r="K221" s="8">
        <f t="shared" si="14"/>
        <v>0</v>
      </c>
      <c r="L221" s="8">
        <f t="shared" si="14"/>
        <v>0</v>
      </c>
    </row>
    <row r="222" spans="1:12" x14ac:dyDescent="0.25">
      <c r="A222" s="2" t="s">
        <v>62</v>
      </c>
      <c r="B222" s="2" t="s">
        <v>110</v>
      </c>
      <c r="C222" s="8">
        <f t="shared" ref="C222:L222" si="15">C154+C155</f>
        <v>142479003.36778629</v>
      </c>
      <c r="D222" s="8">
        <f t="shared" si="15"/>
        <v>166422082.736177</v>
      </c>
      <c r="E222" s="8">
        <f t="shared" si="15"/>
        <v>173751395.40052408</v>
      </c>
      <c r="F222" s="8">
        <f t="shared" si="15"/>
        <v>186328369.91646266</v>
      </c>
      <c r="G222" s="8">
        <f t="shared" si="15"/>
        <v>197668287.62063622</v>
      </c>
      <c r="H222" s="8">
        <f t="shared" si="15"/>
        <v>205652326.63302279</v>
      </c>
      <c r="I222" s="8">
        <f t="shared" si="15"/>
        <v>209552844.43528977</v>
      </c>
      <c r="J222" s="8">
        <f t="shared" si="15"/>
        <v>207355550.10954678</v>
      </c>
      <c r="K222" s="8">
        <f t="shared" si="15"/>
        <v>209606287.81869888</v>
      </c>
      <c r="L222" s="8">
        <f t="shared" si="15"/>
        <v>211802837.82197365</v>
      </c>
    </row>
    <row r="223" spans="1:12" x14ac:dyDescent="0.25">
      <c r="A223" s="2" t="s">
        <v>60</v>
      </c>
      <c r="B223" s="2" t="s">
        <v>111</v>
      </c>
      <c r="C223" s="8">
        <f t="shared" ref="C223:L223" si="16">C147+C148</f>
        <v>160800233.02991807</v>
      </c>
      <c r="D223" s="8">
        <f t="shared" si="16"/>
        <v>186996096.55044705</v>
      </c>
      <c r="E223" s="8">
        <f t="shared" si="16"/>
        <v>209165465.89669368</v>
      </c>
      <c r="F223" s="8">
        <f t="shared" si="16"/>
        <v>205938451.27025551</v>
      </c>
      <c r="G223" s="8">
        <f t="shared" si="16"/>
        <v>220998668.43915194</v>
      </c>
      <c r="H223" s="8">
        <f t="shared" si="16"/>
        <v>219106581.71571612</v>
      </c>
      <c r="I223" s="8">
        <f t="shared" si="16"/>
        <v>222271116.40640509</v>
      </c>
      <c r="J223" s="8">
        <f t="shared" si="16"/>
        <v>217335571.50486726</v>
      </c>
      <c r="K223" s="8">
        <f t="shared" si="16"/>
        <v>218764570.77513307</v>
      </c>
      <c r="L223" s="8">
        <f t="shared" si="16"/>
        <v>220234251.13688153</v>
      </c>
    </row>
    <row r="224" spans="1:12" x14ac:dyDescent="0.25">
      <c r="C224" s="8"/>
    </row>
    <row r="225" spans="1:12" x14ac:dyDescent="0.25">
      <c r="A225" s="2" t="s">
        <v>113</v>
      </c>
      <c r="B225" s="2">
        <v>1.1000000000000001</v>
      </c>
      <c r="C225" s="8"/>
      <c r="D225" s="8"/>
      <c r="E225" s="8"/>
      <c r="F225" s="8"/>
      <c r="G225" s="8"/>
    </row>
    <row r="226" spans="1:12" x14ac:dyDescent="0.25">
      <c r="A226" s="2" t="s">
        <v>114</v>
      </c>
      <c r="B226" s="2">
        <v>0.9</v>
      </c>
      <c r="C226" s="8"/>
    </row>
    <row r="227" spans="1:12" x14ac:dyDescent="0.25">
      <c r="A227" s="2" t="s">
        <v>106</v>
      </c>
      <c r="B227" s="2">
        <v>0.7</v>
      </c>
    </row>
    <row r="228" spans="1:12" x14ac:dyDescent="0.25">
      <c r="H228" s="15"/>
      <c r="I228" s="15"/>
      <c r="J228" s="15"/>
      <c r="K228" s="15"/>
      <c r="L228" s="15"/>
    </row>
    <row r="229" spans="1:12" ht="15.75" thickBot="1" x14ac:dyDescent="0.3">
      <c r="B229" s="2" t="s">
        <v>115</v>
      </c>
      <c r="H229" s="27"/>
      <c r="I229" s="27"/>
      <c r="J229" s="27"/>
      <c r="K229" s="27"/>
      <c r="L229" s="27"/>
    </row>
    <row r="230" spans="1:12" s="19" customFormat="1" ht="15.75" thickBot="1" x14ac:dyDescent="0.3">
      <c r="A230" s="18" t="s">
        <v>43</v>
      </c>
      <c r="C230" s="19">
        <f t="shared" ref="C230:L230" si="17">C207*$B226</f>
        <v>11158655.222711843</v>
      </c>
      <c r="D230" s="19">
        <f t="shared" si="17"/>
        <v>34154299.116977632</v>
      </c>
      <c r="E230" s="19">
        <f t="shared" si="17"/>
        <v>15793016.25789316</v>
      </c>
      <c r="F230" s="19">
        <f t="shared" si="17"/>
        <v>19172794.219558615</v>
      </c>
      <c r="G230" s="19">
        <f t="shared" si="17"/>
        <v>20112941.270235438</v>
      </c>
      <c r="H230" s="19">
        <f t="shared" si="17"/>
        <v>18852272.600186843</v>
      </c>
      <c r="I230" s="19">
        <f t="shared" si="17"/>
        <v>17896292.28471316</v>
      </c>
      <c r="J230" s="19">
        <f t="shared" si="17"/>
        <v>18741717.215013158</v>
      </c>
      <c r="K230" s="19">
        <f t="shared" si="17"/>
        <v>19696180.864413157</v>
      </c>
      <c r="L230" s="19">
        <f t="shared" si="17"/>
        <v>20622139.806450002</v>
      </c>
    </row>
    <row r="231" spans="1:12" x14ac:dyDescent="0.25">
      <c r="A231" s="2" t="s">
        <v>75</v>
      </c>
      <c r="B231" s="2">
        <v>0.81818181818181823</v>
      </c>
      <c r="C231" s="2">
        <f t="shared" ref="C231:L231" si="18">$B$231*C230</f>
        <v>9129808.8185824174</v>
      </c>
      <c r="D231" s="2">
        <f t="shared" si="18"/>
        <v>27944426.550254427</v>
      </c>
      <c r="E231" s="2">
        <f t="shared" si="18"/>
        <v>12921558.75645804</v>
      </c>
      <c r="F231" s="2">
        <f t="shared" si="18"/>
        <v>15686831.634184323</v>
      </c>
      <c r="G231" s="2">
        <f t="shared" si="18"/>
        <v>16456042.857465358</v>
      </c>
      <c r="H231" s="2">
        <f t="shared" si="18"/>
        <v>15424586.672880145</v>
      </c>
      <c r="I231" s="2">
        <f t="shared" si="18"/>
        <v>14642420.96021986</v>
      </c>
      <c r="J231" s="2">
        <f t="shared" si="18"/>
        <v>15334132.266828949</v>
      </c>
      <c r="K231" s="2">
        <f t="shared" si="18"/>
        <v>16115057.070883494</v>
      </c>
      <c r="L231" s="2">
        <f t="shared" si="18"/>
        <v>16872659.841640912</v>
      </c>
    </row>
    <row r="232" spans="1:12" ht="15.75" thickBot="1" x14ac:dyDescent="0.3">
      <c r="A232" s="2" t="s">
        <v>118</v>
      </c>
      <c r="B232">
        <v>0.18181818181818177</v>
      </c>
      <c r="C232" s="2">
        <f t="shared" ref="C232:L232" si="19">$B$232*C230</f>
        <v>2028846.4041294253</v>
      </c>
      <c r="D232" s="2">
        <f t="shared" si="19"/>
        <v>6209872.5667232042</v>
      </c>
      <c r="E232" s="2">
        <f t="shared" si="19"/>
        <v>2871457.5014351192</v>
      </c>
      <c r="F232" s="2">
        <f t="shared" si="19"/>
        <v>3485962.5853742929</v>
      </c>
      <c r="G232" s="2">
        <f t="shared" si="19"/>
        <v>3656898.4127700785</v>
      </c>
      <c r="H232" s="2">
        <f t="shared" si="19"/>
        <v>3427685.9273066977</v>
      </c>
      <c r="I232" s="2">
        <f t="shared" si="19"/>
        <v>3253871.3244933011</v>
      </c>
      <c r="J232" s="2">
        <f t="shared" si="19"/>
        <v>3407584.9481842094</v>
      </c>
      <c r="K232" s="2">
        <f t="shared" si="19"/>
        <v>3581123.7935296642</v>
      </c>
      <c r="L232" s="2">
        <f t="shared" si="19"/>
        <v>3749479.9648090904</v>
      </c>
    </row>
    <row r="233" spans="1:12" s="19" customFormat="1" ht="15.75" thickBot="1" x14ac:dyDescent="0.3">
      <c r="A233" s="18" t="s">
        <v>57</v>
      </c>
      <c r="C233" s="19">
        <f t="shared" ref="C233:L233" si="20">C208*$B226</f>
        <v>298151234.47706079</v>
      </c>
      <c r="D233" s="19">
        <f t="shared" si="20"/>
        <v>204646519.83056429</v>
      </c>
      <c r="E233" s="19">
        <f t="shared" si="20"/>
        <v>250952391.61314076</v>
      </c>
      <c r="F233" s="19">
        <f t="shared" si="20"/>
        <v>226463129.34788474</v>
      </c>
      <c r="G233" s="19">
        <f t="shared" si="20"/>
        <v>241029961.53018576</v>
      </c>
      <c r="H233" s="19">
        <f t="shared" si="20"/>
        <v>333303551.77446431</v>
      </c>
      <c r="I233" s="19">
        <f t="shared" si="20"/>
        <v>216381751.73324111</v>
      </c>
      <c r="J233" s="19">
        <f t="shared" si="20"/>
        <v>339103611.08353096</v>
      </c>
      <c r="K233" s="19">
        <f t="shared" si="20"/>
        <v>250986523.82707146</v>
      </c>
      <c r="L233" s="19">
        <f t="shared" si="20"/>
        <v>281591059.86721426</v>
      </c>
    </row>
    <row r="234" spans="1:12" x14ac:dyDescent="0.25">
      <c r="A234" s="2" t="s">
        <v>75</v>
      </c>
      <c r="B234" s="2">
        <v>0.72413793103448276</v>
      </c>
      <c r="C234" s="2">
        <f t="shared" ref="C234:L234" si="21">$B$234*C233</f>
        <v>215902618.06959575</v>
      </c>
      <c r="D234" s="2">
        <f t="shared" si="21"/>
        <v>148192307.46351206</v>
      </c>
      <c r="E234" s="2">
        <f t="shared" si="21"/>
        <v>181724145.65089503</v>
      </c>
      <c r="F234" s="2">
        <f t="shared" si="21"/>
        <v>163990541.94157171</v>
      </c>
      <c r="G234" s="2">
        <f t="shared" si="21"/>
        <v>174538937.65978968</v>
      </c>
      <c r="H234" s="2">
        <f t="shared" si="21"/>
        <v>241357744.3884052</v>
      </c>
      <c r="I234" s="2">
        <f t="shared" si="21"/>
        <v>156690234.01372632</v>
      </c>
      <c r="J234" s="2">
        <f t="shared" si="21"/>
        <v>245557787.33634999</v>
      </c>
      <c r="K234" s="2">
        <f t="shared" si="21"/>
        <v>181748862.08167243</v>
      </c>
      <c r="L234" s="2">
        <f t="shared" si="21"/>
        <v>203910767.49005172</v>
      </c>
    </row>
    <row r="235" spans="1:12" x14ac:dyDescent="0.25">
      <c r="A235" s="2" t="s">
        <v>119</v>
      </c>
      <c r="B235" s="2">
        <v>0.27586206896551724</v>
      </c>
      <c r="C235" s="2">
        <f t="shared" ref="C235:L235" si="22">$B$235*C233</f>
        <v>82248616.407465041</v>
      </c>
      <c r="D235" s="2">
        <f t="shared" si="22"/>
        <v>56454212.36705222</v>
      </c>
      <c r="E235" s="2">
        <f t="shared" si="22"/>
        <v>69228245.962245733</v>
      </c>
      <c r="F235" s="2">
        <f t="shared" si="22"/>
        <v>62472587.406313032</v>
      </c>
      <c r="G235" s="2">
        <f t="shared" si="22"/>
        <v>66491023.87039607</v>
      </c>
      <c r="H235" s="2">
        <f t="shared" si="22"/>
        <v>91945807.38605912</v>
      </c>
      <c r="I235" s="2">
        <f t="shared" si="22"/>
        <v>59691517.719514787</v>
      </c>
      <c r="J235" s="2">
        <f t="shared" si="22"/>
        <v>93545823.747180954</v>
      </c>
      <c r="K235" s="2">
        <f t="shared" si="22"/>
        <v>69237661.745399028</v>
      </c>
      <c r="L235" s="2">
        <f t="shared" si="22"/>
        <v>77680292.377162561</v>
      </c>
    </row>
    <row r="236" spans="1:12" s="19" customFormat="1" ht="15.75" hidden="1" thickBot="1" x14ac:dyDescent="0.3">
      <c r="A236" s="18" t="s">
        <v>55</v>
      </c>
      <c r="C236" s="19">
        <f t="shared" ref="C236:L236" si="23">C209*$B226</f>
        <v>23446940.378586467</v>
      </c>
      <c r="D236" s="19">
        <f t="shared" si="23"/>
        <v>23963758.811385334</v>
      </c>
      <c r="E236" s="19">
        <f t="shared" si="23"/>
        <v>23206882.500469923</v>
      </c>
      <c r="F236" s="19">
        <f t="shared" si="23"/>
        <v>22741290.487296991</v>
      </c>
      <c r="G236" s="19">
        <f t="shared" si="23"/>
        <v>21182616.991913538</v>
      </c>
      <c r="H236" s="19">
        <f t="shared" si="23"/>
        <v>14584874.384171054</v>
      </c>
      <c r="I236" s="19">
        <f t="shared" si="23"/>
        <v>16785386.659531955</v>
      </c>
      <c r="J236" s="19">
        <f t="shared" si="23"/>
        <v>8018666.5077575203</v>
      </c>
      <c r="K236" s="19">
        <f t="shared" si="23"/>
        <v>9646613.8812687956</v>
      </c>
      <c r="L236" s="19">
        <f t="shared" si="23"/>
        <v>11679892.861385338</v>
      </c>
    </row>
    <row r="237" spans="1:12" x14ac:dyDescent="0.25">
      <c r="A237" s="2" t="s">
        <v>116</v>
      </c>
      <c r="B237" s="2">
        <v>0.2921348314606742</v>
      </c>
      <c r="C237" s="2">
        <f t="shared" ref="C237:L237" si="24">$B$237*C236</f>
        <v>6849667.9757668339</v>
      </c>
      <c r="D237" s="2">
        <f t="shared" si="24"/>
        <v>7000648.6415283009</v>
      </c>
      <c r="E237" s="2">
        <f t="shared" si="24"/>
        <v>6779538.7080024509</v>
      </c>
      <c r="F237" s="2">
        <f t="shared" si="24"/>
        <v>6643523.0637047403</v>
      </c>
      <c r="G237" s="2">
        <f t="shared" si="24"/>
        <v>6188180.2448286749</v>
      </c>
      <c r="H237" s="2">
        <f t="shared" si="24"/>
        <v>4260749.8200949151</v>
      </c>
      <c r="I237" s="2">
        <f t="shared" si="24"/>
        <v>4903596.1027846169</v>
      </c>
      <c r="J237" s="2">
        <f t="shared" si="24"/>
        <v>2342531.7887830962</v>
      </c>
      <c r="K237" s="2">
        <f t="shared" si="24"/>
        <v>2818111.9203706598</v>
      </c>
      <c r="L237" s="2">
        <f t="shared" si="24"/>
        <v>3412103.5325395376</v>
      </c>
    </row>
    <row r="238" spans="1:12" x14ac:dyDescent="0.25">
      <c r="A238" s="2" t="s">
        <v>117</v>
      </c>
      <c r="B238" s="2">
        <v>0.7078651685393258</v>
      </c>
      <c r="C238" s="2">
        <f t="shared" ref="C238:L238" si="25">$B$238*C236</f>
        <v>16597272.402819633</v>
      </c>
      <c r="D238" s="2">
        <f t="shared" si="25"/>
        <v>16963110.169857033</v>
      </c>
      <c r="E238" s="2">
        <f t="shared" si="25"/>
        <v>16427343.792467473</v>
      </c>
      <c r="F238" s="2">
        <f t="shared" si="25"/>
        <v>16097767.423592251</v>
      </c>
      <c r="G238" s="2">
        <f t="shared" si="25"/>
        <v>14994436.747084863</v>
      </c>
      <c r="H238" s="2">
        <f t="shared" si="25"/>
        <v>10324124.564076139</v>
      </c>
      <c r="I238" s="2">
        <f t="shared" si="25"/>
        <v>11881790.556747338</v>
      </c>
      <c r="J238" s="2">
        <f t="shared" si="25"/>
        <v>5676134.7189744245</v>
      </c>
      <c r="K238" s="2">
        <f t="shared" si="25"/>
        <v>6828501.9608981358</v>
      </c>
      <c r="L238" s="2">
        <f t="shared" si="25"/>
        <v>8267789.3288458008</v>
      </c>
    </row>
    <row r="239" spans="1:12" s="19" customFormat="1" ht="15.75" hidden="1" thickBot="1" x14ac:dyDescent="0.3">
      <c r="A239" s="18" t="s">
        <v>71</v>
      </c>
      <c r="C239" s="20">
        <f t="shared" ref="C239:L239" si="26">C210</f>
        <v>7180030.7496517412</v>
      </c>
      <c r="D239" s="20">
        <f t="shared" si="26"/>
        <v>6811039.7848258708</v>
      </c>
      <c r="E239" s="20">
        <f t="shared" si="26"/>
        <v>6823077.7507462688</v>
      </c>
      <c r="F239" s="20">
        <f t="shared" si="26"/>
        <v>6836161.7518905476</v>
      </c>
      <c r="G239" s="20">
        <f t="shared" si="26"/>
        <v>2892677.8183333329</v>
      </c>
      <c r="H239" s="20">
        <f t="shared" si="26"/>
        <v>2936861.2</v>
      </c>
      <c r="I239" s="20">
        <f t="shared" si="26"/>
        <v>2979573.415</v>
      </c>
      <c r="J239" s="20">
        <f t="shared" si="26"/>
        <v>3019022.6733333329</v>
      </c>
      <c r="K239" s="20">
        <f t="shared" si="26"/>
        <v>3057248.74</v>
      </c>
      <c r="L239" s="20">
        <f t="shared" si="26"/>
        <v>3089470.1716666664</v>
      </c>
    </row>
    <row r="240" spans="1:12" x14ac:dyDescent="0.25">
      <c r="A240" s="2" t="s">
        <v>75</v>
      </c>
      <c r="B240" s="2">
        <v>0.74117647058823533</v>
      </c>
      <c r="C240" s="8">
        <f t="shared" ref="C240:L240" si="27">$B$240*C239</f>
        <v>5321669.8497418789</v>
      </c>
      <c r="D240" s="8">
        <f t="shared" si="27"/>
        <v>5048182.4287532931</v>
      </c>
      <c r="E240" s="8">
        <f t="shared" si="27"/>
        <v>5057104.6858472349</v>
      </c>
      <c r="F240" s="8">
        <f t="shared" si="27"/>
        <v>5066802.2396365236</v>
      </c>
      <c r="G240" s="8">
        <f t="shared" si="27"/>
        <v>2143984.7359411763</v>
      </c>
      <c r="H240" s="8">
        <f t="shared" si="27"/>
        <v>2176732.4188235295</v>
      </c>
      <c r="I240" s="8">
        <f t="shared" si="27"/>
        <v>2208389.7075882354</v>
      </c>
      <c r="J240" s="8">
        <f t="shared" si="27"/>
        <v>2237628.5696470584</v>
      </c>
      <c r="K240" s="8">
        <f t="shared" si="27"/>
        <v>2265960.8308235295</v>
      </c>
      <c r="L240" s="8">
        <f t="shared" si="27"/>
        <v>2289842.5978235295</v>
      </c>
    </row>
    <row r="241" spans="1:12" x14ac:dyDescent="0.25">
      <c r="A241" s="2" t="s">
        <v>118</v>
      </c>
      <c r="B241" s="2">
        <v>0.1647058823529412</v>
      </c>
      <c r="C241" s="8">
        <f t="shared" ref="C241:L241" si="28">$B$241*C239</f>
        <v>1182593.2999426399</v>
      </c>
      <c r="D241" s="8">
        <f t="shared" si="28"/>
        <v>1121818.3175007319</v>
      </c>
      <c r="E241" s="8">
        <f t="shared" si="28"/>
        <v>1123801.0412993857</v>
      </c>
      <c r="F241" s="8">
        <f t="shared" si="28"/>
        <v>1125956.053252561</v>
      </c>
      <c r="G241" s="8">
        <f t="shared" si="28"/>
        <v>476441.05243137258</v>
      </c>
      <c r="H241" s="8">
        <f t="shared" si="28"/>
        <v>483718.31529411772</v>
      </c>
      <c r="I241" s="8">
        <f t="shared" si="28"/>
        <v>490753.26835294126</v>
      </c>
      <c r="J241" s="8">
        <f t="shared" si="28"/>
        <v>497250.79325490195</v>
      </c>
      <c r="K241" s="8">
        <f t="shared" si="28"/>
        <v>503546.85129411775</v>
      </c>
      <c r="L241" s="8">
        <f t="shared" si="28"/>
        <v>508853.91062745103</v>
      </c>
    </row>
    <row r="242" spans="1:12" x14ac:dyDescent="0.25">
      <c r="A242" s="2" t="s">
        <v>81</v>
      </c>
      <c r="B242" s="2">
        <v>9.4117647058823528E-2</v>
      </c>
      <c r="C242" s="8">
        <f t="shared" ref="C242:L242" si="29">$B$242*C239</f>
        <v>675767.59996722266</v>
      </c>
      <c r="D242" s="8">
        <f t="shared" si="29"/>
        <v>641039.03857184667</v>
      </c>
      <c r="E242" s="8">
        <f t="shared" si="29"/>
        <v>642172.02359964885</v>
      </c>
      <c r="F242" s="8">
        <f t="shared" si="29"/>
        <v>643403.45900146326</v>
      </c>
      <c r="G242" s="8">
        <f t="shared" si="29"/>
        <v>272252.02996078425</v>
      </c>
      <c r="H242" s="8">
        <f t="shared" si="29"/>
        <v>276410.46588235296</v>
      </c>
      <c r="I242" s="8">
        <f t="shared" si="29"/>
        <v>280430.43905882351</v>
      </c>
      <c r="J242" s="8">
        <f t="shared" si="29"/>
        <v>284143.31043137249</v>
      </c>
      <c r="K242" s="8">
        <f t="shared" si="29"/>
        <v>287741.05788235296</v>
      </c>
      <c r="L242" s="8">
        <f t="shared" si="29"/>
        <v>290773.66321568622</v>
      </c>
    </row>
    <row r="243" spans="1:12" s="19" customFormat="1" ht="15.75" hidden="1" thickBot="1" x14ac:dyDescent="0.3">
      <c r="A243" s="18" t="s">
        <v>66</v>
      </c>
      <c r="C243" s="20">
        <f t="shared" ref="C243:L243" si="30">C211</f>
        <v>243482508.59073868</v>
      </c>
      <c r="D243" s="20">
        <f t="shared" si="30"/>
        <v>265683552.45220169</v>
      </c>
      <c r="E243" s="20">
        <f t="shared" si="30"/>
        <v>267449255.31556958</v>
      </c>
      <c r="F243" s="20">
        <f t="shared" si="30"/>
        <v>252260511.73202878</v>
      </c>
      <c r="G243" s="20">
        <f t="shared" si="30"/>
        <v>254784837.78433856</v>
      </c>
      <c r="H243" s="20">
        <f t="shared" si="30"/>
        <v>252649060.60826117</v>
      </c>
      <c r="I243" s="20">
        <f t="shared" si="30"/>
        <v>255763567.71337724</v>
      </c>
      <c r="J243" s="20">
        <f t="shared" si="30"/>
        <v>253520237.87101316</v>
      </c>
      <c r="K243" s="20">
        <f t="shared" si="30"/>
        <v>257067992.06900519</v>
      </c>
      <c r="L243" s="20">
        <f t="shared" si="30"/>
        <v>259612793.86153063</v>
      </c>
    </row>
    <row r="244" spans="1:12" x14ac:dyDescent="0.25">
      <c r="A244" s="2" t="s">
        <v>75</v>
      </c>
      <c r="B244" s="2">
        <v>0.74117647058823533</v>
      </c>
      <c r="C244" s="8">
        <f t="shared" ref="C244:L244" si="31">$B$244*C243</f>
        <v>180463506.36725339</v>
      </c>
      <c r="D244" s="8">
        <f t="shared" si="31"/>
        <v>196918397.69986716</v>
      </c>
      <c r="E244" s="8">
        <f t="shared" si="31"/>
        <v>198227095.11624569</v>
      </c>
      <c r="F244" s="8">
        <f t="shared" si="31"/>
        <v>186969555.75432724</v>
      </c>
      <c r="G244" s="8">
        <f t="shared" si="31"/>
        <v>188840526.82839212</v>
      </c>
      <c r="H244" s="8">
        <f t="shared" si="31"/>
        <v>187257539.03906417</v>
      </c>
      <c r="I244" s="8">
        <f t="shared" si="31"/>
        <v>189565938.42285609</v>
      </c>
      <c r="J244" s="8">
        <f t="shared" si="31"/>
        <v>187903235.12792742</v>
      </c>
      <c r="K244" s="8">
        <f t="shared" si="31"/>
        <v>190532747.06290975</v>
      </c>
      <c r="L244" s="8">
        <f t="shared" si="31"/>
        <v>192418894.27384037</v>
      </c>
    </row>
    <row r="245" spans="1:12" x14ac:dyDescent="0.25">
      <c r="A245" s="2" t="s">
        <v>118</v>
      </c>
      <c r="B245" s="2">
        <v>0.1647058823529412</v>
      </c>
      <c r="C245" s="8">
        <f t="shared" ref="C245:L245" si="32">$B$245*C243</f>
        <v>40103001.4149452</v>
      </c>
      <c r="D245" s="8">
        <f t="shared" si="32"/>
        <v>43759643.933303818</v>
      </c>
      <c r="E245" s="8">
        <f t="shared" si="32"/>
        <v>44050465.581387937</v>
      </c>
      <c r="F245" s="8">
        <f t="shared" si="32"/>
        <v>41548790.167628273</v>
      </c>
      <c r="G245" s="8">
        <f t="shared" si="32"/>
        <v>41964561.517420478</v>
      </c>
      <c r="H245" s="8">
        <f t="shared" si="32"/>
        <v>41612786.453125373</v>
      </c>
      <c r="I245" s="8">
        <f t="shared" si="32"/>
        <v>42125764.093968019</v>
      </c>
      <c r="J245" s="8">
        <f t="shared" si="32"/>
        <v>41756274.472872764</v>
      </c>
      <c r="K245" s="8">
        <f t="shared" si="32"/>
        <v>42340610.458424389</v>
      </c>
      <c r="L245" s="8">
        <f t="shared" si="32"/>
        <v>42759754.283075638</v>
      </c>
    </row>
    <row r="246" spans="1:12" x14ac:dyDescent="0.25">
      <c r="A246" s="2" t="s">
        <v>81</v>
      </c>
      <c r="B246" s="2">
        <v>9.4117647058823528E-2</v>
      </c>
      <c r="C246" s="8">
        <f t="shared" ref="C246:L246" si="33">$B$246*C243</f>
        <v>22916000.80854011</v>
      </c>
      <c r="D246" s="8">
        <f t="shared" si="33"/>
        <v>25005510.819030747</v>
      </c>
      <c r="E246" s="8">
        <f t="shared" si="33"/>
        <v>25171694.617935959</v>
      </c>
      <c r="F246" s="8">
        <f t="shared" si="33"/>
        <v>23742165.810073297</v>
      </c>
      <c r="G246" s="8">
        <f t="shared" si="33"/>
        <v>23979749.438525982</v>
      </c>
      <c r="H246" s="8">
        <f t="shared" si="33"/>
        <v>23778735.116071638</v>
      </c>
      <c r="I246" s="8">
        <f t="shared" si="33"/>
        <v>24071865.196553152</v>
      </c>
      <c r="J246" s="8">
        <f t="shared" si="33"/>
        <v>23860728.270213004</v>
      </c>
      <c r="K246" s="8">
        <f t="shared" si="33"/>
        <v>24194634.547671076</v>
      </c>
      <c r="L246" s="8">
        <f t="shared" si="33"/>
        <v>24434145.304614648</v>
      </c>
    </row>
    <row r="247" spans="1:12" s="19" customFormat="1" ht="15.75" hidden="1" thickBot="1" x14ac:dyDescent="0.3">
      <c r="A247" s="18" t="s">
        <v>108</v>
      </c>
      <c r="C247" s="19">
        <f t="shared" ref="C247:L247" si="34">$B225*C212</f>
        <v>7045392.1558552645</v>
      </c>
      <c r="D247" s="19">
        <f t="shared" si="34"/>
        <v>7086573.4450307023</v>
      </c>
      <c r="E247" s="19">
        <f t="shared" si="34"/>
        <v>7195724.6102500008</v>
      </c>
      <c r="F247" s="19">
        <f t="shared" si="34"/>
        <v>6885289.9389517549</v>
      </c>
      <c r="G247" s="19">
        <f t="shared" si="34"/>
        <v>6974115.3475921061</v>
      </c>
      <c r="H247" s="19">
        <f t="shared" si="34"/>
        <v>7060217.5141184218</v>
      </c>
      <c r="I247" s="19">
        <f t="shared" si="34"/>
        <v>6692018.1383289481</v>
      </c>
      <c r="J247" s="19">
        <f t="shared" si="34"/>
        <v>6737449.4233508771</v>
      </c>
      <c r="K247" s="19">
        <f t="shared" si="34"/>
        <v>6794867.1551798247</v>
      </c>
      <c r="L247" s="19">
        <f t="shared" si="34"/>
        <v>6857607.4892368419</v>
      </c>
    </row>
    <row r="248" spans="1:12" x14ac:dyDescent="0.25">
      <c r="A248" s="2" t="s">
        <v>75</v>
      </c>
      <c r="B248" s="2">
        <v>0.74117647058823533</v>
      </c>
      <c r="C248" s="8">
        <f t="shared" ref="C248:L248" si="35">$B$248*C247</f>
        <v>5221878.8919868432</v>
      </c>
      <c r="D248" s="8">
        <f t="shared" si="35"/>
        <v>5252401.4945521681</v>
      </c>
      <c r="E248" s="8">
        <f t="shared" si="35"/>
        <v>5333301.7699500006</v>
      </c>
      <c r="F248" s="8">
        <f t="shared" si="35"/>
        <v>5103214.8959289482</v>
      </c>
      <c r="G248" s="8">
        <f t="shared" si="35"/>
        <v>5169050.1988035608</v>
      </c>
      <c r="H248" s="8">
        <f t="shared" si="35"/>
        <v>5232867.0986995362</v>
      </c>
      <c r="I248" s="8">
        <f t="shared" si="35"/>
        <v>4959966.3848791029</v>
      </c>
      <c r="J248" s="8">
        <f t="shared" si="35"/>
        <v>4993638.9843659448</v>
      </c>
      <c r="K248" s="8">
        <f t="shared" si="35"/>
        <v>5036195.6561921053</v>
      </c>
      <c r="L248" s="8">
        <f t="shared" si="35"/>
        <v>5082697.3155520121</v>
      </c>
    </row>
    <row r="249" spans="1:12" x14ac:dyDescent="0.25">
      <c r="A249" s="2" t="s">
        <v>118</v>
      </c>
      <c r="B249" s="2">
        <v>0.1647058823529412</v>
      </c>
      <c r="C249" s="8">
        <f t="shared" ref="C249:L249" si="36">$B$249*C247</f>
        <v>1160417.5315526319</v>
      </c>
      <c r="D249" s="8">
        <f t="shared" si="36"/>
        <v>1167200.332122704</v>
      </c>
      <c r="E249" s="8">
        <f t="shared" si="36"/>
        <v>1185178.1711000004</v>
      </c>
      <c r="F249" s="8">
        <f t="shared" si="36"/>
        <v>1134047.7546508776</v>
      </c>
      <c r="G249" s="8">
        <f t="shared" si="36"/>
        <v>1148677.821956347</v>
      </c>
      <c r="H249" s="8">
        <f t="shared" si="36"/>
        <v>1162859.3552665638</v>
      </c>
      <c r="I249" s="8">
        <f t="shared" si="36"/>
        <v>1102214.7521953564</v>
      </c>
      <c r="J249" s="8">
        <f t="shared" si="36"/>
        <v>1109697.5520813211</v>
      </c>
      <c r="K249" s="8">
        <f t="shared" si="36"/>
        <v>1119154.5902649125</v>
      </c>
      <c r="L249" s="8">
        <f t="shared" si="36"/>
        <v>1129488.2923448917</v>
      </c>
    </row>
    <row r="250" spans="1:12" x14ac:dyDescent="0.25">
      <c r="A250" s="2" t="s">
        <v>81</v>
      </c>
      <c r="B250" s="2">
        <v>9.4117647058823528E-2</v>
      </c>
      <c r="C250" s="8">
        <f t="shared" ref="C250:L250" si="37">$B$250*C247</f>
        <v>663095.73231578956</v>
      </c>
      <c r="D250" s="8">
        <f t="shared" si="37"/>
        <v>666971.61835583078</v>
      </c>
      <c r="E250" s="8">
        <f t="shared" si="37"/>
        <v>677244.66920000012</v>
      </c>
      <c r="F250" s="8">
        <f t="shared" si="37"/>
        <v>648027.2883719299</v>
      </c>
      <c r="G250" s="8">
        <f t="shared" si="37"/>
        <v>656387.32683219819</v>
      </c>
      <c r="H250" s="8">
        <f t="shared" si="37"/>
        <v>664491.06015232205</v>
      </c>
      <c r="I250" s="8">
        <f t="shared" si="37"/>
        <v>629837.00125448918</v>
      </c>
      <c r="J250" s="8">
        <f t="shared" si="37"/>
        <v>634112.88690361194</v>
      </c>
      <c r="K250" s="8">
        <f t="shared" si="37"/>
        <v>639516.90872280707</v>
      </c>
      <c r="L250" s="8">
        <f t="shared" si="37"/>
        <v>645421.88133993803</v>
      </c>
    </row>
    <row r="251" spans="1:12" s="19" customFormat="1" ht="15.75" hidden="1" thickBot="1" x14ac:dyDescent="0.3">
      <c r="A251" s="18" t="s">
        <v>109</v>
      </c>
      <c r="C251" s="19">
        <f t="shared" ref="C251:L251" si="38">$B225*C213</f>
        <v>68259566.670606643</v>
      </c>
      <c r="D251" s="19">
        <f t="shared" si="38"/>
        <v>71955385.650588542</v>
      </c>
      <c r="E251" s="19">
        <f t="shared" si="38"/>
        <v>72426026.041623309</v>
      </c>
      <c r="F251" s="19">
        <f t="shared" si="38"/>
        <v>68148001.069169462</v>
      </c>
      <c r="G251" s="19">
        <f t="shared" si="38"/>
        <v>66571616.650144748</v>
      </c>
      <c r="H251" s="19">
        <f t="shared" si="38"/>
        <v>63798439.253131576</v>
      </c>
      <c r="I251" s="19">
        <f t="shared" si="38"/>
        <v>63929685.091249987</v>
      </c>
      <c r="J251" s="19">
        <f t="shared" si="38"/>
        <v>63682652.819499999</v>
      </c>
      <c r="K251" s="19">
        <f t="shared" si="38"/>
        <v>63523714.605999999</v>
      </c>
      <c r="L251" s="19">
        <f t="shared" si="38"/>
        <v>63356147.769749992</v>
      </c>
    </row>
    <row r="252" spans="1:12" x14ac:dyDescent="0.25">
      <c r="A252" s="2" t="s">
        <v>75</v>
      </c>
      <c r="B252" s="2">
        <v>0.72413793103448276</v>
      </c>
      <c r="C252" s="8">
        <f t="shared" ref="C252:L252" si="39">$B$252*C251</f>
        <v>49429341.382163428</v>
      </c>
      <c r="D252" s="8">
        <f t="shared" si="39"/>
        <v>52105624.091805495</v>
      </c>
      <c r="E252" s="8">
        <f t="shared" si="39"/>
        <v>52446432.650830671</v>
      </c>
      <c r="F252" s="8">
        <f t="shared" si="39"/>
        <v>49348552.498364091</v>
      </c>
      <c r="G252" s="8">
        <f t="shared" si="39"/>
        <v>48207032.746656545</v>
      </c>
      <c r="H252" s="8">
        <f t="shared" si="39"/>
        <v>46198869.803991832</v>
      </c>
      <c r="I252" s="8">
        <f t="shared" si="39"/>
        <v>46293909.893663786</v>
      </c>
      <c r="J252" s="8">
        <f t="shared" si="39"/>
        <v>46115024.455499999</v>
      </c>
      <c r="K252" s="8">
        <f t="shared" si="39"/>
        <v>45999931.266413793</v>
      </c>
      <c r="L252" s="8">
        <f t="shared" si="39"/>
        <v>45878589.764301717</v>
      </c>
    </row>
    <row r="253" spans="1:12" x14ac:dyDescent="0.25">
      <c r="A253" s="2" t="s">
        <v>119</v>
      </c>
      <c r="B253" s="2">
        <v>0.27586206896551724</v>
      </c>
      <c r="C253" s="2">
        <f t="shared" ref="C253:L253" si="40">$B$253*C251</f>
        <v>18830225.288443211</v>
      </c>
      <c r="D253" s="2">
        <f t="shared" si="40"/>
        <v>19849761.558783047</v>
      </c>
      <c r="E253" s="2">
        <f t="shared" si="40"/>
        <v>19979593.390792638</v>
      </c>
      <c r="F253" s="2">
        <f t="shared" si="40"/>
        <v>18799448.570805367</v>
      </c>
      <c r="G253" s="2">
        <f t="shared" si="40"/>
        <v>18364583.903488208</v>
      </c>
      <c r="H253" s="2">
        <f t="shared" si="40"/>
        <v>17599569.449139744</v>
      </c>
      <c r="I253" s="2">
        <f t="shared" si="40"/>
        <v>17635775.197586205</v>
      </c>
      <c r="J253" s="2">
        <f t="shared" si="40"/>
        <v>17567628.364</v>
      </c>
      <c r="K253" s="2">
        <f t="shared" si="40"/>
        <v>17523783.339586206</v>
      </c>
      <c r="L253" s="2">
        <f t="shared" si="40"/>
        <v>17477558.005448274</v>
      </c>
    </row>
    <row r="254" spans="1:12" s="19" customFormat="1" ht="15.75" hidden="1" thickBot="1" x14ac:dyDescent="0.3">
      <c r="A254" s="18" t="s">
        <v>98</v>
      </c>
      <c r="C254" s="20">
        <f t="shared" ref="C254:L254" si="41">C214</f>
        <v>5826576.9305263162</v>
      </c>
      <c r="D254" s="20">
        <f t="shared" si="41"/>
        <v>5816636.375</v>
      </c>
      <c r="E254" s="20">
        <f t="shared" si="41"/>
        <v>5854584.8755263165</v>
      </c>
      <c r="F254" s="20">
        <f t="shared" si="41"/>
        <v>5896821.9957894739</v>
      </c>
      <c r="G254" s="20">
        <f t="shared" si="41"/>
        <v>5926170.5989473686</v>
      </c>
      <c r="H254" s="20">
        <f t="shared" si="41"/>
        <v>5954082.8915789481</v>
      </c>
      <c r="I254" s="20">
        <f t="shared" si="41"/>
        <v>5991783.4488157891</v>
      </c>
      <c r="J254" s="20">
        <f t="shared" si="41"/>
        <v>6035049.5778947361</v>
      </c>
      <c r="K254" s="20">
        <f t="shared" si="41"/>
        <v>6086680.1910526324</v>
      </c>
      <c r="L254" s="20">
        <f t="shared" si="41"/>
        <v>6145863.4007894751</v>
      </c>
    </row>
    <row r="255" spans="1:12" x14ac:dyDescent="0.25">
      <c r="A255" s="2" t="s">
        <v>75</v>
      </c>
      <c r="B255" s="2">
        <v>1</v>
      </c>
      <c r="C255" s="8">
        <f t="shared" ref="C255:L255" si="42">$B$255*C254</f>
        <v>5826576.9305263162</v>
      </c>
      <c r="D255" s="8">
        <f t="shared" si="42"/>
        <v>5816636.375</v>
      </c>
      <c r="E255" s="8">
        <f t="shared" si="42"/>
        <v>5854584.8755263165</v>
      </c>
      <c r="F255" s="8">
        <f t="shared" si="42"/>
        <v>5896821.9957894739</v>
      </c>
      <c r="G255" s="8">
        <f t="shared" si="42"/>
        <v>5926170.5989473686</v>
      </c>
      <c r="H255" s="8">
        <f t="shared" si="42"/>
        <v>5954082.8915789481</v>
      </c>
      <c r="I255" s="8">
        <f t="shared" si="42"/>
        <v>5991783.4488157891</v>
      </c>
      <c r="J255" s="8">
        <f t="shared" si="42"/>
        <v>6035049.5778947361</v>
      </c>
      <c r="K255" s="8">
        <f t="shared" si="42"/>
        <v>6086680.1910526324</v>
      </c>
      <c r="L255" s="8">
        <f t="shared" si="42"/>
        <v>6145863.4007894751</v>
      </c>
    </row>
    <row r="256" spans="1:12" s="19" customFormat="1" ht="15.75" hidden="1" thickBot="1" x14ac:dyDescent="0.3">
      <c r="A256" s="18" t="s">
        <v>99</v>
      </c>
      <c r="C256" s="19">
        <f t="shared" ref="C256:L256" si="43">$B225*C215</f>
        <v>278060214.63434213</v>
      </c>
      <c r="D256" s="19">
        <f t="shared" si="43"/>
        <v>303801740.35737705</v>
      </c>
      <c r="E256" s="19">
        <f t="shared" si="43"/>
        <v>308844966.00231403</v>
      </c>
      <c r="F256" s="19">
        <f t="shared" si="43"/>
        <v>294634212.94739461</v>
      </c>
      <c r="G256" s="19">
        <f t="shared" si="43"/>
        <v>294942374.71382898</v>
      </c>
      <c r="H256" s="19">
        <f t="shared" si="43"/>
        <v>290180150.20963156</v>
      </c>
      <c r="I256" s="19">
        <f t="shared" si="43"/>
        <v>293525541.60252637</v>
      </c>
      <c r="J256" s="19">
        <f t="shared" si="43"/>
        <v>290818601.21918428</v>
      </c>
      <c r="K256" s="19">
        <f t="shared" si="43"/>
        <v>294389398.16839474</v>
      </c>
      <c r="L256" s="19">
        <f t="shared" si="43"/>
        <v>297626581.2915132</v>
      </c>
    </row>
    <row r="257" spans="1:12" x14ac:dyDescent="0.25">
      <c r="A257" s="2" t="s">
        <v>75</v>
      </c>
      <c r="B257">
        <v>0.5575221238938054</v>
      </c>
      <c r="C257" s="2">
        <f t="shared" ref="C257:L257" si="44">$B$257*C256</f>
        <v>155024721.43330583</v>
      </c>
      <c r="D257" s="2">
        <f t="shared" si="44"/>
        <v>169376191.52667928</v>
      </c>
      <c r="E257" s="2">
        <f t="shared" si="44"/>
        <v>172187901.39952025</v>
      </c>
      <c r="F257" s="2">
        <f t="shared" si="44"/>
        <v>164265092.17421117</v>
      </c>
      <c r="G257" s="2">
        <f t="shared" si="44"/>
        <v>164436899.17673653</v>
      </c>
      <c r="H257" s="2">
        <f t="shared" si="44"/>
        <v>161781853.65669727</v>
      </c>
      <c r="I257" s="2">
        <f t="shared" si="44"/>
        <v>163646983.37132004</v>
      </c>
      <c r="J257" s="2">
        <f t="shared" si="44"/>
        <v>162137804.21954525</v>
      </c>
      <c r="K257" s="2">
        <f t="shared" si="44"/>
        <v>164128602.51866257</v>
      </c>
      <c r="L257" s="2">
        <f t="shared" si="44"/>
        <v>165933403.72889677</v>
      </c>
    </row>
    <row r="258" spans="1:12" x14ac:dyDescent="0.25">
      <c r="A258" s="2" t="s">
        <v>118</v>
      </c>
      <c r="B258">
        <v>0.12389380530973453</v>
      </c>
      <c r="C258" s="2">
        <f t="shared" ref="C258:L258" si="45">$B$258*C256</f>
        <v>34449938.096290179</v>
      </c>
      <c r="D258" s="2">
        <f t="shared" si="45"/>
        <v>37639153.672595389</v>
      </c>
      <c r="E258" s="2">
        <f t="shared" si="45"/>
        <v>38263978.088782273</v>
      </c>
      <c r="F258" s="2">
        <f t="shared" si="45"/>
        <v>36503353.816491373</v>
      </c>
      <c r="G258" s="2">
        <f t="shared" si="45"/>
        <v>36541533.150385894</v>
      </c>
      <c r="H258" s="2">
        <f t="shared" si="45"/>
        <v>35951523.034821615</v>
      </c>
      <c r="I258" s="2">
        <f t="shared" si="45"/>
        <v>36365996.304737784</v>
      </c>
      <c r="J258" s="2">
        <f t="shared" si="45"/>
        <v>36030623.159898944</v>
      </c>
      <c r="K258" s="2">
        <f t="shared" si="45"/>
        <v>36473022.781925015</v>
      </c>
      <c r="L258" s="2">
        <f t="shared" si="45"/>
        <v>36874089.717532612</v>
      </c>
    </row>
    <row r="259" spans="1:12" x14ac:dyDescent="0.25">
      <c r="A259" s="2" t="s">
        <v>119</v>
      </c>
      <c r="B259">
        <v>0.21238938053097345</v>
      </c>
      <c r="C259" s="2">
        <f t="shared" ref="C259:L259" si="46">$B$259*C256</f>
        <v>59057036.736497447</v>
      </c>
      <c r="D259" s="2">
        <f t="shared" si="46"/>
        <v>64524263.438734949</v>
      </c>
      <c r="E259" s="2">
        <f t="shared" si="46"/>
        <v>65595391.009341031</v>
      </c>
      <c r="F259" s="2">
        <f t="shared" si="46"/>
        <v>62577177.971128061</v>
      </c>
      <c r="G259" s="2">
        <f t="shared" si="46"/>
        <v>62642628.257804386</v>
      </c>
      <c r="H259" s="2">
        <f t="shared" si="46"/>
        <v>61631182.345408469</v>
      </c>
      <c r="I259" s="2">
        <f t="shared" si="46"/>
        <v>62341707.950979054</v>
      </c>
      <c r="J259" s="2">
        <f t="shared" si="46"/>
        <v>61766782.559826747</v>
      </c>
      <c r="K259" s="2">
        <f t="shared" si="46"/>
        <v>62525181.911871448</v>
      </c>
      <c r="L259" s="2">
        <f t="shared" si="46"/>
        <v>63212725.230055898</v>
      </c>
    </row>
    <row r="260" spans="1:12" x14ac:dyDescent="0.25">
      <c r="A260" s="2" t="s">
        <v>82</v>
      </c>
      <c r="B260">
        <v>7.0796460176991163E-2</v>
      </c>
      <c r="C260" s="2">
        <f t="shared" ref="C260:L260" si="47">$B$260*C256</f>
        <v>19685678.912165817</v>
      </c>
      <c r="D260" s="2">
        <f t="shared" si="47"/>
        <v>21508087.812911652</v>
      </c>
      <c r="E260" s="2">
        <f t="shared" si="47"/>
        <v>21865130.336447015</v>
      </c>
      <c r="F260" s="2">
        <f t="shared" si="47"/>
        <v>20859059.323709358</v>
      </c>
      <c r="G260" s="2">
        <f t="shared" si="47"/>
        <v>20880876.085934799</v>
      </c>
      <c r="H260" s="2">
        <f t="shared" si="47"/>
        <v>20543727.448469494</v>
      </c>
      <c r="I260" s="2">
        <f t="shared" si="47"/>
        <v>20780569.31699302</v>
      </c>
      <c r="J260" s="2">
        <f t="shared" si="47"/>
        <v>20588927.519942254</v>
      </c>
      <c r="K260" s="2">
        <f t="shared" si="47"/>
        <v>20841727.303957153</v>
      </c>
      <c r="L260" s="2">
        <f t="shared" si="47"/>
        <v>21070908.410018638</v>
      </c>
    </row>
    <row r="261" spans="1:12" x14ac:dyDescent="0.25">
      <c r="A261" s="2" t="s">
        <v>83</v>
      </c>
      <c r="B261">
        <v>3.5398230088495582E-2</v>
      </c>
      <c r="C261" s="2">
        <f t="shared" ref="C261:L261" si="48">$B$261*C256</f>
        <v>9842839.4560829084</v>
      </c>
      <c r="D261" s="2">
        <f t="shared" si="48"/>
        <v>10754043.906455826</v>
      </c>
      <c r="E261" s="2">
        <f t="shared" si="48"/>
        <v>10932565.168223508</v>
      </c>
      <c r="F261" s="2">
        <f t="shared" si="48"/>
        <v>10429529.661854679</v>
      </c>
      <c r="G261" s="2">
        <f t="shared" si="48"/>
        <v>10440438.0429674</v>
      </c>
      <c r="H261" s="2">
        <f t="shared" si="48"/>
        <v>10271863.724234747</v>
      </c>
      <c r="I261" s="2">
        <f t="shared" si="48"/>
        <v>10390284.65849651</v>
      </c>
      <c r="J261" s="2">
        <f t="shared" si="48"/>
        <v>10294463.759971127</v>
      </c>
      <c r="K261" s="2">
        <f t="shared" si="48"/>
        <v>10420863.651978577</v>
      </c>
      <c r="L261" s="2">
        <f t="shared" si="48"/>
        <v>10535454.205009319</v>
      </c>
    </row>
    <row r="262" spans="1:12" s="21" customFormat="1" ht="15.75" hidden="1" thickBot="1" x14ac:dyDescent="0.3">
      <c r="A262" s="23" t="s">
        <v>100</v>
      </c>
    </row>
    <row r="263" spans="1:12" s="19" customFormat="1" ht="15.75" hidden="1" thickBot="1" x14ac:dyDescent="0.3">
      <c r="A263" s="18" t="s">
        <v>101</v>
      </c>
      <c r="C263" s="19">
        <f t="shared" ref="C263:L263" si="49">$B225*C217</f>
        <v>92156951.532235399</v>
      </c>
      <c r="D263" s="19">
        <f t="shared" si="49"/>
        <v>123102063.86598659</v>
      </c>
      <c r="E263" s="19">
        <f t="shared" si="49"/>
        <v>143900083.9556033</v>
      </c>
      <c r="F263" s="19">
        <f t="shared" si="49"/>
        <v>143351345.04634282</v>
      </c>
      <c r="G263" s="19">
        <f t="shared" si="49"/>
        <v>143100762.34842792</v>
      </c>
      <c r="H263" s="19">
        <f t="shared" si="49"/>
        <v>141013145.87288186</v>
      </c>
      <c r="I263" s="19">
        <f t="shared" si="49"/>
        <v>143591479.97921395</v>
      </c>
      <c r="J263" s="19">
        <f t="shared" si="49"/>
        <v>141367873.41087139</v>
      </c>
      <c r="K263" s="19">
        <f t="shared" si="49"/>
        <v>143888005.36557484</v>
      </c>
      <c r="L263" s="19">
        <f t="shared" si="49"/>
        <v>146251573.40648168</v>
      </c>
    </row>
    <row r="264" spans="1:12" x14ac:dyDescent="0.25">
      <c r="A264" t="s">
        <v>82</v>
      </c>
      <c r="B264" s="2">
        <v>0.36363636363636365</v>
      </c>
      <c r="C264" s="2">
        <f t="shared" ref="C264:L264" si="50">$B$264*C263</f>
        <v>33511618.738994692</v>
      </c>
      <c r="D264" s="2">
        <f t="shared" si="50"/>
        <v>44764386.86035876</v>
      </c>
      <c r="E264" s="2">
        <f t="shared" si="50"/>
        <v>52327303.25658302</v>
      </c>
      <c r="F264" s="2">
        <f t="shared" si="50"/>
        <v>52127761.835033752</v>
      </c>
      <c r="G264" s="2">
        <f t="shared" si="50"/>
        <v>52036640.853973791</v>
      </c>
      <c r="H264" s="2">
        <f t="shared" si="50"/>
        <v>51277507.59013886</v>
      </c>
      <c r="I264" s="2">
        <f t="shared" si="50"/>
        <v>52215083.628805079</v>
      </c>
      <c r="J264" s="2">
        <f t="shared" si="50"/>
        <v>51406499.422135048</v>
      </c>
      <c r="K264" s="2">
        <f t="shared" si="50"/>
        <v>52322911.042027213</v>
      </c>
      <c r="L264" s="2">
        <f t="shared" si="50"/>
        <v>53182390.329629704</v>
      </c>
    </row>
    <row r="265" spans="1:12" x14ac:dyDescent="0.25">
      <c r="A265" t="s">
        <v>84</v>
      </c>
      <c r="B265" s="2">
        <v>0.13636363636363635</v>
      </c>
      <c r="C265" s="2">
        <f t="shared" ref="C265:L265" si="51">$B$265*C263</f>
        <v>12566857.027123008</v>
      </c>
      <c r="D265" s="2">
        <f t="shared" si="51"/>
        <v>16786645.072634533</v>
      </c>
      <c r="E265" s="2">
        <f t="shared" si="51"/>
        <v>19622738.721218631</v>
      </c>
      <c r="F265" s="2">
        <f t="shared" si="51"/>
        <v>19547910.688137654</v>
      </c>
      <c r="G265" s="2">
        <f t="shared" si="51"/>
        <v>19513740.32024017</v>
      </c>
      <c r="H265" s="2">
        <f t="shared" si="51"/>
        <v>19229065.34630207</v>
      </c>
      <c r="I265" s="2">
        <f t="shared" si="51"/>
        <v>19580656.360801902</v>
      </c>
      <c r="J265" s="2">
        <f t="shared" si="51"/>
        <v>19277437.283300642</v>
      </c>
      <c r="K265" s="2">
        <f t="shared" si="51"/>
        <v>19621091.640760202</v>
      </c>
      <c r="L265" s="2">
        <f t="shared" si="51"/>
        <v>19943396.373611137</v>
      </c>
    </row>
    <row r="266" spans="1:12" x14ac:dyDescent="0.25">
      <c r="A266" t="s">
        <v>85</v>
      </c>
      <c r="B266" s="2">
        <v>9.0909090909090912E-2</v>
      </c>
      <c r="C266" s="2">
        <f t="shared" ref="C266:L266" si="52">$B$266*C263</f>
        <v>8377904.6847486729</v>
      </c>
      <c r="D266" s="2">
        <f t="shared" si="52"/>
        <v>11191096.71508969</v>
      </c>
      <c r="E266" s="2">
        <f t="shared" si="52"/>
        <v>13081825.814145755</v>
      </c>
      <c r="F266" s="2">
        <f t="shared" si="52"/>
        <v>13031940.458758438</v>
      </c>
      <c r="G266" s="2">
        <f t="shared" si="52"/>
        <v>13009160.213493448</v>
      </c>
      <c r="H266" s="2">
        <f t="shared" si="52"/>
        <v>12819376.897534715</v>
      </c>
      <c r="I266" s="2">
        <f t="shared" si="52"/>
        <v>13053770.90720127</v>
      </c>
      <c r="J266" s="2">
        <f t="shared" si="52"/>
        <v>12851624.855533762</v>
      </c>
      <c r="K266" s="2">
        <f t="shared" si="52"/>
        <v>13080727.760506803</v>
      </c>
      <c r="L266" s="2">
        <f t="shared" si="52"/>
        <v>13295597.582407426</v>
      </c>
    </row>
    <row r="267" spans="1:12" x14ac:dyDescent="0.25">
      <c r="A267" t="s">
        <v>86</v>
      </c>
      <c r="B267" s="2">
        <v>0.40909090909090912</v>
      </c>
      <c r="C267" s="2">
        <f t="shared" ref="C267:L267" si="53">$B$267*C263</f>
        <v>37700571.081369027</v>
      </c>
      <c r="D267" s="2">
        <f t="shared" si="53"/>
        <v>50359935.217903607</v>
      </c>
      <c r="E267" s="2">
        <f t="shared" si="53"/>
        <v>58868216.163655899</v>
      </c>
      <c r="F267" s="2">
        <f t="shared" si="53"/>
        <v>58643732.064412974</v>
      </c>
      <c r="G267" s="2">
        <f t="shared" si="53"/>
        <v>58541220.960720517</v>
      </c>
      <c r="H267" s="2">
        <f t="shared" si="53"/>
        <v>57687196.038906217</v>
      </c>
      <c r="I267" s="2">
        <f t="shared" si="53"/>
        <v>58741969.082405709</v>
      </c>
      <c r="J267" s="2">
        <f t="shared" si="53"/>
        <v>57832311.849901937</v>
      </c>
      <c r="K267" s="2">
        <f t="shared" si="53"/>
        <v>58863274.922280617</v>
      </c>
      <c r="L267" s="2">
        <f t="shared" si="53"/>
        <v>59830189.120833419</v>
      </c>
    </row>
    <row r="268" spans="1:12" s="19" customFormat="1" ht="15.75" hidden="1" thickBot="1" x14ac:dyDescent="0.3">
      <c r="A268" s="18" t="s">
        <v>102</v>
      </c>
      <c r="C268" s="19">
        <f t="shared" ref="C268:H268" si="54">$B226*C218</f>
        <v>394562665.8401103</v>
      </c>
      <c r="D268" s="19">
        <f t="shared" si="54"/>
        <v>423244183.59993792</v>
      </c>
      <c r="E268" s="19">
        <f t="shared" si="54"/>
        <v>430032156.14306992</v>
      </c>
      <c r="F268" s="19">
        <f t="shared" si="54"/>
        <v>414082770.96558297</v>
      </c>
      <c r="G268" s="19">
        <f t="shared" si="54"/>
        <v>415234701.58905321</v>
      </c>
      <c r="H268" s="19">
        <f t="shared" si="54"/>
        <v>399623580.7166121</v>
      </c>
      <c r="I268" s="19">
        <f>AVERAGE(G268:H268)</f>
        <v>407429141.15283263</v>
      </c>
      <c r="J268" s="19">
        <f t="shared" ref="J268:L268" si="55">AVERAGE(H268:I268)</f>
        <v>403526360.93472236</v>
      </c>
      <c r="K268" s="19">
        <f t="shared" si="55"/>
        <v>405477751.04377747</v>
      </c>
      <c r="L268" s="19">
        <f t="shared" si="55"/>
        <v>404502055.98924994</v>
      </c>
    </row>
    <row r="269" spans="1:12" x14ac:dyDescent="0.25">
      <c r="A269" t="s">
        <v>75</v>
      </c>
      <c r="B269">
        <v>0.42567567567567571</v>
      </c>
      <c r="C269" s="2">
        <f t="shared" ref="C269:L269" si="56">C268*$B$269</f>
        <v>167955729.37788481</v>
      </c>
      <c r="D269" s="2">
        <f t="shared" si="56"/>
        <v>180164753.82970333</v>
      </c>
      <c r="E269" s="2">
        <f t="shared" si="56"/>
        <v>183054228.62846896</v>
      </c>
      <c r="F269" s="2">
        <f t="shared" si="56"/>
        <v>176264963.3164306</v>
      </c>
      <c r="G269" s="2">
        <f t="shared" si="56"/>
        <v>176755312.16290781</v>
      </c>
      <c r="H269" s="2">
        <f t="shared" si="56"/>
        <v>170110037.7374768</v>
      </c>
      <c r="I269" s="2">
        <f t="shared" si="56"/>
        <v>173432674.95019227</v>
      </c>
      <c r="J269" s="2">
        <f t="shared" si="56"/>
        <v>171771356.34383455</v>
      </c>
      <c r="K269" s="2">
        <f t="shared" si="56"/>
        <v>172602015.6470134</v>
      </c>
      <c r="L269" s="2">
        <f t="shared" si="56"/>
        <v>172186685.99542397</v>
      </c>
    </row>
    <row r="270" spans="1:12" x14ac:dyDescent="0.25">
      <c r="A270" s="22" t="s">
        <v>76</v>
      </c>
      <c r="B270">
        <v>9.45945945945946E-2</v>
      </c>
      <c r="C270" s="2">
        <f t="shared" ref="C270:L270" si="57">C268*$B$270</f>
        <v>37323495.417307734</v>
      </c>
      <c r="D270" s="2">
        <f t="shared" si="57"/>
        <v>40036611.962156288</v>
      </c>
      <c r="E270" s="2">
        <f t="shared" si="57"/>
        <v>40678717.472993106</v>
      </c>
      <c r="F270" s="2">
        <f t="shared" si="57"/>
        <v>39169991.848095685</v>
      </c>
      <c r="G270" s="2">
        <f t="shared" si="57"/>
        <v>39278958.258423954</v>
      </c>
      <c r="H270" s="2">
        <f t="shared" si="57"/>
        <v>37802230.608328171</v>
      </c>
      <c r="I270" s="2">
        <f t="shared" si="57"/>
        <v>38540594.433376059</v>
      </c>
      <c r="J270" s="2">
        <f t="shared" si="57"/>
        <v>38171412.520852119</v>
      </c>
      <c r="K270" s="2">
        <f t="shared" si="57"/>
        <v>38356003.477114089</v>
      </c>
      <c r="L270" s="2">
        <f t="shared" si="57"/>
        <v>38263707.998983108</v>
      </c>
    </row>
    <row r="271" spans="1:12" x14ac:dyDescent="0.25">
      <c r="A271" t="s">
        <v>77</v>
      </c>
      <c r="B271">
        <v>0.17567567567567569</v>
      </c>
      <c r="C271" s="2">
        <f t="shared" ref="C271:L271" si="58">C268*$B$271</f>
        <v>69315062.917857215</v>
      </c>
      <c r="D271" s="2">
        <f t="shared" si="58"/>
        <v>74353707.929718822</v>
      </c>
      <c r="E271" s="2">
        <f t="shared" si="58"/>
        <v>75546189.59270148</v>
      </c>
      <c r="F271" s="2">
        <f t="shared" si="58"/>
        <v>72744270.575034857</v>
      </c>
      <c r="G271" s="2">
        <f t="shared" si="58"/>
        <v>72946636.765644491</v>
      </c>
      <c r="H271" s="2">
        <f t="shared" si="58"/>
        <v>70204142.558323756</v>
      </c>
      <c r="I271" s="2">
        <f t="shared" si="58"/>
        <v>71575389.661984116</v>
      </c>
      <c r="J271" s="2">
        <f t="shared" si="58"/>
        <v>70889766.110153928</v>
      </c>
      <c r="K271" s="2">
        <f t="shared" si="58"/>
        <v>71232577.886069015</v>
      </c>
      <c r="L271" s="2">
        <f t="shared" si="58"/>
        <v>71061171.998111486</v>
      </c>
    </row>
    <row r="272" spans="1:12" x14ac:dyDescent="0.25">
      <c r="A272" t="s">
        <v>80</v>
      </c>
      <c r="B272">
        <v>0.16891891891891894</v>
      </c>
      <c r="C272" s="2">
        <f t="shared" ref="C272:L272" si="59">C268*$B$272</f>
        <v>66649098.959478103</v>
      </c>
      <c r="D272" s="2">
        <f t="shared" si="59"/>
        <v>71493949.932421952</v>
      </c>
      <c r="E272" s="2">
        <f t="shared" si="59"/>
        <v>72640566.916059121</v>
      </c>
      <c r="F272" s="2">
        <f t="shared" si="59"/>
        <v>69946414.014456585</v>
      </c>
      <c r="G272" s="2">
        <f t="shared" si="59"/>
        <v>70140996.890042782</v>
      </c>
      <c r="H272" s="2">
        <f t="shared" si="59"/>
        <v>67503983.229157463</v>
      </c>
      <c r="I272" s="2">
        <f t="shared" si="59"/>
        <v>68822490.059600115</v>
      </c>
      <c r="J272" s="2">
        <f t="shared" si="59"/>
        <v>68163236.644378781</v>
      </c>
      <c r="K272" s="2">
        <f t="shared" si="59"/>
        <v>68492863.351989448</v>
      </c>
      <c r="L272" s="2">
        <f t="shared" si="59"/>
        <v>68328049.998184115</v>
      </c>
    </row>
    <row r="273" spans="1:12" x14ac:dyDescent="0.25">
      <c r="A273" t="s">
        <v>83</v>
      </c>
      <c r="B273">
        <v>2.7027027027027029E-2</v>
      </c>
      <c r="C273" s="2">
        <f t="shared" ref="C273:L273" si="60">C268*$B$273</f>
        <v>10663855.833516495</v>
      </c>
      <c r="D273" s="2">
        <f t="shared" si="60"/>
        <v>11439031.989187513</v>
      </c>
      <c r="E273" s="2">
        <f t="shared" si="60"/>
        <v>11622490.706569457</v>
      </c>
      <c r="F273" s="2">
        <f t="shared" si="60"/>
        <v>11191426.242313053</v>
      </c>
      <c r="G273" s="2">
        <f t="shared" si="60"/>
        <v>11222559.502406845</v>
      </c>
      <c r="H273" s="2">
        <f t="shared" si="60"/>
        <v>10800637.316665193</v>
      </c>
      <c r="I273" s="2">
        <f t="shared" si="60"/>
        <v>11011598.409536017</v>
      </c>
      <c r="J273" s="2">
        <f t="shared" si="60"/>
        <v>10906117.863100605</v>
      </c>
      <c r="K273" s="2">
        <f t="shared" si="60"/>
        <v>10958858.136318311</v>
      </c>
      <c r="L273" s="2">
        <f t="shared" si="60"/>
        <v>10932487.999709459</v>
      </c>
    </row>
    <row r="274" spans="1:12" x14ac:dyDescent="0.25">
      <c r="A274" t="s">
        <v>87</v>
      </c>
      <c r="B274">
        <v>2.0270270270270268E-2</v>
      </c>
      <c r="C274" s="2">
        <f t="shared" ref="C274:L274" si="61">C268*$B$274</f>
        <v>7997891.8751373701</v>
      </c>
      <c r="D274" s="2">
        <f t="shared" si="61"/>
        <v>8579273.9918906316</v>
      </c>
      <c r="E274" s="2">
        <f t="shared" si="61"/>
        <v>8716868.0299270917</v>
      </c>
      <c r="F274" s="2">
        <f t="shared" si="61"/>
        <v>8393569.6817347892</v>
      </c>
      <c r="G274" s="2">
        <f t="shared" si="61"/>
        <v>8416919.6268051323</v>
      </c>
      <c r="H274" s="2">
        <f t="shared" si="61"/>
        <v>8100477.9874988934</v>
      </c>
      <c r="I274" s="2">
        <f t="shared" si="61"/>
        <v>8258698.8071520114</v>
      </c>
      <c r="J274" s="2">
        <f t="shared" si="61"/>
        <v>8179588.3973254524</v>
      </c>
      <c r="K274" s="2">
        <f t="shared" si="61"/>
        <v>8219143.6022387315</v>
      </c>
      <c r="L274" s="2">
        <f t="shared" si="61"/>
        <v>8199365.9997820929</v>
      </c>
    </row>
    <row r="275" spans="1:12" x14ac:dyDescent="0.25">
      <c r="A275" t="s">
        <v>88</v>
      </c>
      <c r="B275">
        <v>6.7567567567567571E-2</v>
      </c>
      <c r="C275" s="2">
        <f t="shared" ref="C275:L275" si="62">C268*$B$275</f>
        <v>26659639.583791237</v>
      </c>
      <c r="D275" s="2">
        <f t="shared" si="62"/>
        <v>28597579.97296878</v>
      </c>
      <c r="E275" s="2">
        <f t="shared" si="62"/>
        <v>29056226.766423646</v>
      </c>
      <c r="F275" s="2">
        <f t="shared" si="62"/>
        <v>27978565.605782636</v>
      </c>
      <c r="G275" s="2">
        <f t="shared" si="62"/>
        <v>28056398.756017111</v>
      </c>
      <c r="H275" s="2">
        <f t="shared" si="62"/>
        <v>27001593.29166298</v>
      </c>
      <c r="I275" s="2">
        <f t="shared" si="62"/>
        <v>27528996.023840044</v>
      </c>
      <c r="J275" s="2">
        <f t="shared" si="62"/>
        <v>27265294.657751512</v>
      </c>
      <c r="K275" s="2">
        <f t="shared" si="62"/>
        <v>27397145.340795778</v>
      </c>
      <c r="L275" s="2">
        <f t="shared" si="62"/>
        <v>27331219.999273647</v>
      </c>
    </row>
    <row r="276" spans="1:12" x14ac:dyDescent="0.25">
      <c r="A276" t="s">
        <v>89</v>
      </c>
      <c r="B276">
        <v>2.0270270270270268E-2</v>
      </c>
      <c r="C276" s="2">
        <f t="shared" ref="C276:L276" si="63">C268*$B$276</f>
        <v>7997891.8751373701</v>
      </c>
      <c r="D276" s="2">
        <f t="shared" si="63"/>
        <v>8579273.9918906316</v>
      </c>
      <c r="E276" s="2">
        <f t="shared" si="63"/>
        <v>8716868.0299270917</v>
      </c>
      <c r="F276" s="2">
        <f t="shared" si="63"/>
        <v>8393569.6817347892</v>
      </c>
      <c r="G276" s="2">
        <f t="shared" si="63"/>
        <v>8416919.6268051323</v>
      </c>
      <c r="H276" s="2">
        <f t="shared" si="63"/>
        <v>8100477.9874988934</v>
      </c>
      <c r="I276" s="2">
        <f t="shared" si="63"/>
        <v>8258698.8071520114</v>
      </c>
      <c r="J276" s="2">
        <f t="shared" si="63"/>
        <v>8179588.3973254524</v>
      </c>
      <c r="K276" s="2">
        <f t="shared" si="63"/>
        <v>8219143.6022387315</v>
      </c>
      <c r="L276" s="2">
        <f t="shared" si="63"/>
        <v>8199365.9997820929</v>
      </c>
    </row>
    <row r="277" spans="1:12" s="19" customFormat="1" ht="15.75" hidden="1" thickBot="1" x14ac:dyDescent="0.3">
      <c r="A277" s="18" t="s">
        <v>103</v>
      </c>
      <c r="C277" s="19">
        <f t="shared" ref="C277:L277" si="64">$B226*C219</f>
        <v>17089388.749203499</v>
      </c>
      <c r="D277" s="19">
        <f t="shared" si="64"/>
        <v>16901851.376106206</v>
      </c>
      <c r="E277" s="19">
        <f t="shared" si="64"/>
        <v>24713978.951873932</v>
      </c>
      <c r="F277" s="19">
        <f t="shared" si="64"/>
        <v>65564538.652931139</v>
      </c>
      <c r="G277" s="19">
        <f t="shared" si="64"/>
        <v>83403544.681806788</v>
      </c>
      <c r="H277" s="19">
        <f t="shared" si="64"/>
        <v>58233396.360563003</v>
      </c>
      <c r="I277" s="19">
        <f t="shared" si="64"/>
        <v>38013277.207676649</v>
      </c>
      <c r="J277" s="19">
        <f t="shared" si="64"/>
        <v>38131590.777497351</v>
      </c>
      <c r="K277" s="19">
        <f t="shared" si="64"/>
        <v>30357420.180054598</v>
      </c>
      <c r="L277" s="19">
        <f t="shared" si="64"/>
        <v>31534690.498127222</v>
      </c>
    </row>
    <row r="278" spans="1:12" x14ac:dyDescent="0.25">
      <c r="A278" t="s">
        <v>77</v>
      </c>
      <c r="B278">
        <v>0.78787878787878796</v>
      </c>
      <c r="C278" s="2">
        <f t="shared" ref="C278:L278" si="65">C277*$B$278</f>
        <v>13464366.893311849</v>
      </c>
      <c r="D278" s="2">
        <f t="shared" si="65"/>
        <v>13316610.175113982</v>
      </c>
      <c r="E278" s="2">
        <f t="shared" si="65"/>
        <v>19471619.780264311</v>
      </c>
      <c r="F278" s="2">
        <f t="shared" si="65"/>
        <v>51656909.241703324</v>
      </c>
      <c r="G278" s="2">
        <f t="shared" si="65"/>
        <v>65711883.688696265</v>
      </c>
      <c r="H278" s="2">
        <f t="shared" si="65"/>
        <v>45880857.7386254</v>
      </c>
      <c r="I278" s="2">
        <f t="shared" si="65"/>
        <v>29949854.769684635</v>
      </c>
      <c r="J278" s="2">
        <f t="shared" si="65"/>
        <v>30043071.521664582</v>
      </c>
      <c r="K278" s="2">
        <f t="shared" si="65"/>
        <v>23917967.414588474</v>
      </c>
      <c r="L278" s="2">
        <f t="shared" si="65"/>
        <v>24845513.725797206</v>
      </c>
    </row>
    <row r="279" spans="1:12" x14ac:dyDescent="0.25">
      <c r="A279" s="2" t="s">
        <v>79</v>
      </c>
      <c r="B279" s="2">
        <v>0.1818181818181818</v>
      </c>
      <c r="C279" s="2">
        <f t="shared" ref="C279:L279" si="66">C277*$B$279</f>
        <v>3107161.590764272</v>
      </c>
      <c r="D279" s="2">
        <f t="shared" si="66"/>
        <v>3073063.8865647642</v>
      </c>
      <c r="E279" s="2">
        <f t="shared" si="66"/>
        <v>4493450.7185225328</v>
      </c>
      <c r="F279" s="2">
        <f t="shared" si="66"/>
        <v>11920825.209623842</v>
      </c>
      <c r="G279" s="2">
        <f t="shared" si="66"/>
        <v>15164280.851237595</v>
      </c>
      <c r="H279" s="2">
        <f t="shared" si="66"/>
        <v>10587890.24737509</v>
      </c>
      <c r="I279" s="2">
        <f t="shared" si="66"/>
        <v>6911504.9468502989</v>
      </c>
      <c r="J279" s="2">
        <f t="shared" si="66"/>
        <v>6933016.5049995175</v>
      </c>
      <c r="K279" s="2">
        <f t="shared" si="66"/>
        <v>5519530.9418281084</v>
      </c>
      <c r="L279" s="2">
        <f t="shared" si="66"/>
        <v>5733580.0905685853</v>
      </c>
    </row>
    <row r="280" spans="1:12" x14ac:dyDescent="0.25">
      <c r="A280" s="2" t="s">
        <v>90</v>
      </c>
      <c r="B280" s="2">
        <v>3.03030303030303E-2</v>
      </c>
      <c r="C280" s="2">
        <f t="shared" ref="C280:L280" si="67">C277*$B$280</f>
        <v>517860.26512737875</v>
      </c>
      <c r="D280" s="2">
        <f t="shared" si="67"/>
        <v>512177.31442746078</v>
      </c>
      <c r="E280" s="2">
        <f t="shared" si="67"/>
        <v>748908.45308708877</v>
      </c>
      <c r="F280" s="2">
        <f t="shared" si="67"/>
        <v>1986804.2016039738</v>
      </c>
      <c r="G280" s="2">
        <f t="shared" si="67"/>
        <v>2527380.1418729327</v>
      </c>
      <c r="H280" s="2">
        <f t="shared" si="67"/>
        <v>1764648.3745625152</v>
      </c>
      <c r="I280" s="2">
        <f t="shared" si="67"/>
        <v>1151917.4911417165</v>
      </c>
      <c r="J280" s="2">
        <f t="shared" si="67"/>
        <v>1155502.7508332529</v>
      </c>
      <c r="K280" s="2">
        <f t="shared" si="67"/>
        <v>919921.82363801799</v>
      </c>
      <c r="L280" s="2">
        <f t="shared" si="67"/>
        <v>955596.68176143093</v>
      </c>
    </row>
    <row r="281" spans="1:12" x14ac:dyDescent="0.25">
      <c r="A281" s="28" t="s">
        <v>154</v>
      </c>
      <c r="B281" s="2">
        <v>3.0303030303030304E-2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f>H277*$B$281</f>
        <v>1764648.3745625152</v>
      </c>
      <c r="I281" s="2">
        <f t="shared" ref="I281:L281" si="68">I277*$B$281</f>
        <v>1151917.4911417167</v>
      </c>
      <c r="J281" s="2">
        <f t="shared" si="68"/>
        <v>1155502.7508332531</v>
      </c>
      <c r="K281" s="2">
        <f t="shared" si="68"/>
        <v>919921.8236380181</v>
      </c>
      <c r="L281" s="2">
        <f t="shared" si="68"/>
        <v>955596.68176143104</v>
      </c>
    </row>
    <row r="282" spans="1:12" s="19" customFormat="1" ht="15.75" hidden="1" thickBot="1" x14ac:dyDescent="0.3">
      <c r="A282" s="18" t="s">
        <v>104</v>
      </c>
      <c r="C282" s="19">
        <f t="shared" ref="C282:L282" si="69">$B225*C220</f>
        <v>65452807.358494878</v>
      </c>
      <c r="D282" s="19">
        <f t="shared" si="69"/>
        <v>73507231.928842098</v>
      </c>
      <c r="E282" s="19">
        <f t="shared" si="69"/>
        <v>78044591.712610826</v>
      </c>
      <c r="F282" s="19">
        <f t="shared" si="69"/>
        <v>73530740.276428953</v>
      </c>
      <c r="G282" s="19">
        <f t="shared" si="69"/>
        <v>72650734.809197366</v>
      </c>
      <c r="H282" s="19">
        <f t="shared" si="69"/>
        <v>70781675.329460517</v>
      </c>
      <c r="I282" s="19">
        <f t="shared" si="69"/>
        <v>71699191.767065793</v>
      </c>
      <c r="J282" s="19">
        <f t="shared" si="69"/>
        <v>70201955.95860526</v>
      </c>
      <c r="K282" s="19">
        <f t="shared" si="69"/>
        <v>71047043.627855256</v>
      </c>
      <c r="L282" s="19">
        <f t="shared" si="69"/>
        <v>71451386.809868425</v>
      </c>
    </row>
    <row r="283" spans="1:12" x14ac:dyDescent="0.25">
      <c r="A283" t="s">
        <v>75</v>
      </c>
      <c r="B283">
        <v>0.88732394366197187</v>
      </c>
      <c r="C283" s="2">
        <f t="shared" ref="C283:L283" si="70">$B$283*C282</f>
        <v>58077843.149087004</v>
      </c>
      <c r="D283" s="2">
        <f t="shared" si="70"/>
        <v>65224726.922775388</v>
      </c>
      <c r="E283" s="2">
        <f t="shared" si="70"/>
        <v>69250834.899922282</v>
      </c>
      <c r="F283" s="2">
        <f t="shared" si="70"/>
        <v>65245586.442465127</v>
      </c>
      <c r="G283" s="2">
        <f t="shared" si="70"/>
        <v>64464736.520837106</v>
      </c>
      <c r="H283" s="2">
        <f t="shared" si="70"/>
        <v>62806275.292338207</v>
      </c>
      <c r="I283" s="2">
        <f t="shared" si="70"/>
        <v>63620409.596128806</v>
      </c>
      <c r="J283" s="2">
        <f t="shared" si="70"/>
        <v>62291876.413973682</v>
      </c>
      <c r="K283" s="2">
        <f t="shared" si="70"/>
        <v>63041742.937392697</v>
      </c>
      <c r="L283" s="2">
        <f t="shared" si="70"/>
        <v>63400526.324249454</v>
      </c>
    </row>
    <row r="284" spans="1:12" x14ac:dyDescent="0.25">
      <c r="A284" s="2" t="s">
        <v>82</v>
      </c>
      <c r="B284">
        <v>0.11267605633802813</v>
      </c>
      <c r="C284" s="2">
        <f t="shared" ref="C284:L284" si="71">$B$284*C282</f>
        <v>7374964.2094078707</v>
      </c>
      <c r="D284" s="2">
        <f t="shared" si="71"/>
        <v>8282505.0060667126</v>
      </c>
      <c r="E284" s="2">
        <f t="shared" si="71"/>
        <v>8793756.8126885407</v>
      </c>
      <c r="F284" s="2">
        <f t="shared" si="71"/>
        <v>8285153.8339638226</v>
      </c>
      <c r="G284" s="2">
        <f t="shared" si="71"/>
        <v>8185998.2883602642</v>
      </c>
      <c r="H284" s="2">
        <f t="shared" si="71"/>
        <v>7975400.0371223092</v>
      </c>
      <c r="I284" s="2">
        <f t="shared" si="71"/>
        <v>8078782.1709369877</v>
      </c>
      <c r="J284" s="2">
        <f t="shared" si="71"/>
        <v>7910079.5446315762</v>
      </c>
      <c r="K284" s="2">
        <f t="shared" si="71"/>
        <v>8005300.6904625613</v>
      </c>
      <c r="L284" s="2">
        <f t="shared" si="71"/>
        <v>8050860.485618975</v>
      </c>
    </row>
    <row r="285" spans="1:12" s="19" customFormat="1" ht="15.75" hidden="1" thickBot="1" x14ac:dyDescent="0.3">
      <c r="A285" s="18" t="s">
        <v>105</v>
      </c>
      <c r="C285" s="20">
        <f t="shared" ref="C285:H285" si="72">C221</f>
        <v>927637.83394736843</v>
      </c>
      <c r="D285" s="20">
        <f t="shared" si="72"/>
        <v>777066.97697368416</v>
      </c>
      <c r="E285" s="20">
        <f t="shared" si="72"/>
        <v>630153.08855263167</v>
      </c>
      <c r="F285" s="20">
        <f t="shared" si="72"/>
        <v>3543.6963157894734</v>
      </c>
      <c r="G285" s="20">
        <f t="shared" si="72"/>
        <v>3783.6457894736841</v>
      </c>
      <c r="H285" s="20">
        <f t="shared" si="72"/>
        <v>4031.9913157894744</v>
      </c>
      <c r="I285" s="20">
        <f>AVERAGE(G285:H285)</f>
        <v>3907.8185526315792</v>
      </c>
      <c r="J285" s="20">
        <f t="shared" ref="J285:L285" si="73">AVERAGE(H285:I285)</f>
        <v>3969.9049342105268</v>
      </c>
      <c r="K285" s="20">
        <f t="shared" si="73"/>
        <v>3938.8617434210528</v>
      </c>
      <c r="L285" s="20">
        <f t="shared" si="73"/>
        <v>3954.38333881579</v>
      </c>
    </row>
    <row r="286" spans="1:12" x14ac:dyDescent="0.25">
      <c r="A286" t="s">
        <v>75</v>
      </c>
      <c r="B286" s="2">
        <v>0.69230769230769229</v>
      </c>
      <c r="C286" s="2">
        <f t="shared" ref="C286:L286" si="74">C285*$B$286</f>
        <v>642210.80811740889</v>
      </c>
      <c r="D286" s="2">
        <f t="shared" si="74"/>
        <v>537969.44559716596</v>
      </c>
      <c r="E286" s="2">
        <f t="shared" si="74"/>
        <v>436259.83053643728</v>
      </c>
      <c r="F286" s="2">
        <f t="shared" si="74"/>
        <v>2453.3282186234815</v>
      </c>
      <c r="G286" s="2">
        <f t="shared" si="74"/>
        <v>2619.4470850202429</v>
      </c>
      <c r="H286" s="2">
        <f t="shared" si="74"/>
        <v>2791.3786032388666</v>
      </c>
      <c r="I286" s="2">
        <f t="shared" si="74"/>
        <v>2705.4128441295547</v>
      </c>
      <c r="J286" s="2">
        <f t="shared" si="74"/>
        <v>2748.3957236842107</v>
      </c>
      <c r="K286" s="2">
        <f t="shared" si="74"/>
        <v>2726.9042839068825</v>
      </c>
      <c r="L286" s="2">
        <f t="shared" si="74"/>
        <v>2737.650003795547</v>
      </c>
    </row>
    <row r="287" spans="1:12" x14ac:dyDescent="0.25">
      <c r="A287" t="s">
        <v>80</v>
      </c>
      <c r="B287" s="2">
        <v>0.27472527472527469</v>
      </c>
      <c r="C287" s="2">
        <f t="shared" ref="C287:L287" si="75">C285*$B$287</f>
        <v>254845.55877674953</v>
      </c>
      <c r="D287" s="2">
        <f t="shared" si="75"/>
        <v>213479.9387290341</v>
      </c>
      <c r="E287" s="2">
        <f t="shared" si="75"/>
        <v>173118.98037160208</v>
      </c>
      <c r="F287" s="2">
        <f t="shared" si="75"/>
        <v>973.54294389820689</v>
      </c>
      <c r="G287" s="2">
        <f t="shared" si="75"/>
        <v>1039.4631289762867</v>
      </c>
      <c r="H287" s="2">
        <f t="shared" si="75"/>
        <v>1107.689921920185</v>
      </c>
      <c r="I287" s="2">
        <f t="shared" si="75"/>
        <v>1073.576525448236</v>
      </c>
      <c r="J287" s="2">
        <f t="shared" si="75"/>
        <v>1090.6332236842106</v>
      </c>
      <c r="K287" s="2">
        <f t="shared" si="75"/>
        <v>1082.1048745662231</v>
      </c>
      <c r="L287" s="2">
        <f t="shared" si="75"/>
        <v>1086.3690491252169</v>
      </c>
    </row>
    <row r="288" spans="1:12" x14ac:dyDescent="0.25">
      <c r="A288" s="2" t="s">
        <v>91</v>
      </c>
      <c r="B288" s="2">
        <v>3.2967032967032961E-2</v>
      </c>
      <c r="C288" s="2">
        <f t="shared" ref="C288:L288" si="76">C285*$B$288</f>
        <v>30581.467053209944</v>
      </c>
      <c r="D288" s="2">
        <f t="shared" si="76"/>
        <v>25617.592647484089</v>
      </c>
      <c r="E288" s="2">
        <f t="shared" si="76"/>
        <v>20774.27764459225</v>
      </c>
      <c r="F288" s="2">
        <f t="shared" si="76"/>
        <v>116.82515326778481</v>
      </c>
      <c r="G288" s="2">
        <f t="shared" si="76"/>
        <v>124.7355754771544</v>
      </c>
      <c r="H288" s="2">
        <f t="shared" si="76"/>
        <v>132.92279063042221</v>
      </c>
      <c r="I288" s="2">
        <f t="shared" si="76"/>
        <v>128.82918305378831</v>
      </c>
      <c r="J288" s="2">
        <f t="shared" si="76"/>
        <v>130.87598684210525</v>
      </c>
      <c r="K288" s="2">
        <f t="shared" si="76"/>
        <v>129.85258494794678</v>
      </c>
      <c r="L288" s="2">
        <f t="shared" si="76"/>
        <v>130.36428589502603</v>
      </c>
    </row>
    <row r="289" spans="1:12" s="30" customFormat="1" ht="15.75" hidden="1" thickBot="1" x14ac:dyDescent="0.3">
      <c r="A289" s="29" t="s">
        <v>62</v>
      </c>
      <c r="C289" s="31">
        <f t="shared" ref="C289:L289" si="77">C222*$B$226</f>
        <v>128231103.03100766</v>
      </c>
      <c r="D289" s="31">
        <f t="shared" si="77"/>
        <v>149779874.46255931</v>
      </c>
      <c r="E289" s="31">
        <f t="shared" si="77"/>
        <v>156376255.86047167</v>
      </c>
      <c r="F289" s="31">
        <f t="shared" si="77"/>
        <v>167695532.9248164</v>
      </c>
      <c r="G289" s="31">
        <f t="shared" si="77"/>
        <v>177901458.8585726</v>
      </c>
      <c r="H289" s="31">
        <f t="shared" si="77"/>
        <v>185087093.96972051</v>
      </c>
      <c r="I289" s="31">
        <f t="shared" si="77"/>
        <v>188597559.99176079</v>
      </c>
      <c r="J289" s="31">
        <f t="shared" si="77"/>
        <v>186619995.0985921</v>
      </c>
      <c r="K289" s="31">
        <f t="shared" si="77"/>
        <v>188645659.03682899</v>
      </c>
      <c r="L289" s="31">
        <f t="shared" si="77"/>
        <v>190622554.0397763</v>
      </c>
    </row>
    <row r="290" spans="1:12" x14ac:dyDescent="0.25">
      <c r="A290" s="2" t="s">
        <v>75</v>
      </c>
      <c r="B290" s="2">
        <v>0.63636363636363646</v>
      </c>
      <c r="C290" s="8">
        <f t="shared" ref="C290:L290" si="78">C289*$B$290</f>
        <v>81601611.019732162</v>
      </c>
      <c r="D290" s="8">
        <f t="shared" si="78"/>
        <v>95314465.56708321</v>
      </c>
      <c r="E290" s="8">
        <f t="shared" si="78"/>
        <v>99512162.820300162</v>
      </c>
      <c r="F290" s="8">
        <f t="shared" si="78"/>
        <v>106715339.13397409</v>
      </c>
      <c r="G290" s="8">
        <f t="shared" si="78"/>
        <v>113210019.27363713</v>
      </c>
      <c r="H290" s="8">
        <f t="shared" si="78"/>
        <v>117782696.16254944</v>
      </c>
      <c r="I290" s="8">
        <f t="shared" si="78"/>
        <v>120016629.08566597</v>
      </c>
      <c r="J290" s="8">
        <f t="shared" si="78"/>
        <v>118758178.69910409</v>
      </c>
      <c r="K290" s="8">
        <f t="shared" si="78"/>
        <v>120047237.5688912</v>
      </c>
      <c r="L290" s="8">
        <f t="shared" si="78"/>
        <v>121305261.66167584</v>
      </c>
    </row>
    <row r="291" spans="1:12" x14ac:dyDescent="0.25">
      <c r="A291" s="2" t="s">
        <v>88</v>
      </c>
      <c r="B291" s="2">
        <v>7.3089700996677734E-2</v>
      </c>
      <c r="C291" s="8">
        <f t="shared" ref="C291:L291" si="79">C289*$B$291</f>
        <v>9372372.9790105261</v>
      </c>
      <c r="D291" s="8">
        <f t="shared" si="79"/>
        <v>10947366.239788387</v>
      </c>
      <c r="E291" s="8">
        <f t="shared" si="79"/>
        <v>11429493.783821849</v>
      </c>
      <c r="F291" s="8">
        <f t="shared" si="79"/>
        <v>12256816.359953357</v>
      </c>
      <c r="G291" s="8">
        <f t="shared" si="79"/>
        <v>13002764.434845837</v>
      </c>
      <c r="H291" s="8">
        <f t="shared" si="79"/>
        <v>13527960.356590867</v>
      </c>
      <c r="I291" s="8">
        <f t="shared" si="79"/>
        <v>13784539.268500788</v>
      </c>
      <c r="J291" s="8">
        <f t="shared" si="79"/>
        <v>13639999.641757561</v>
      </c>
      <c r="K291" s="8">
        <f t="shared" si="79"/>
        <v>13788054.813323049</v>
      </c>
      <c r="L291" s="8">
        <f t="shared" si="79"/>
        <v>13932545.477990292</v>
      </c>
    </row>
    <row r="292" spans="1:12" x14ac:dyDescent="0.25">
      <c r="A292" s="2" t="s">
        <v>77</v>
      </c>
      <c r="B292" s="2">
        <v>0.26262626262626265</v>
      </c>
      <c r="C292" s="8">
        <f t="shared" ref="C292:L292" si="80">C289*$B$292</f>
        <v>33676855.341476761</v>
      </c>
      <c r="D292" s="8">
        <f t="shared" si="80"/>
        <v>39336128.646732755</v>
      </c>
      <c r="E292" s="8">
        <f t="shared" si="80"/>
        <v>41068511.640123874</v>
      </c>
      <c r="F292" s="8">
        <f t="shared" si="80"/>
        <v>44041251.071163908</v>
      </c>
      <c r="G292" s="8">
        <f t="shared" si="80"/>
        <v>46721595.255786747</v>
      </c>
      <c r="H292" s="8">
        <f t="shared" si="80"/>
        <v>48608731.749623574</v>
      </c>
      <c r="I292" s="8">
        <f t="shared" si="80"/>
        <v>49530672.321068496</v>
      </c>
      <c r="J292" s="8">
        <f t="shared" si="80"/>
        <v>49011311.844074696</v>
      </c>
      <c r="K292" s="8">
        <f t="shared" si="80"/>
        <v>49543304.393510647</v>
      </c>
      <c r="L292" s="8">
        <f t="shared" si="80"/>
        <v>50062488.939739235</v>
      </c>
    </row>
    <row r="293" spans="1:12" s="30" customFormat="1" ht="15.75" hidden="1" thickBot="1" x14ac:dyDescent="0.3">
      <c r="A293" s="29" t="s">
        <v>155</v>
      </c>
      <c r="C293" s="31">
        <f t="shared" ref="C293:L293" si="81">C223*$B$225</f>
        <v>176880256.33290988</v>
      </c>
      <c r="D293" s="31">
        <f t="shared" si="81"/>
        <v>205695706.20549178</v>
      </c>
      <c r="E293" s="31">
        <f t="shared" si="81"/>
        <v>230082012.48636305</v>
      </c>
      <c r="F293" s="31">
        <f t="shared" si="81"/>
        <v>226532296.39728108</v>
      </c>
      <c r="G293" s="31">
        <f t="shared" si="81"/>
        <v>243098535.28306717</v>
      </c>
      <c r="H293" s="31">
        <f t="shared" si="81"/>
        <v>241017239.88728777</v>
      </c>
      <c r="I293" s="31">
        <f t="shared" si="81"/>
        <v>244498228.04704562</v>
      </c>
      <c r="J293" s="31">
        <f t="shared" si="81"/>
        <v>239069128.65535399</v>
      </c>
      <c r="K293" s="31">
        <f t="shared" si="81"/>
        <v>240641027.85264641</v>
      </c>
      <c r="L293" s="31">
        <f t="shared" si="81"/>
        <v>242257676.2505697</v>
      </c>
    </row>
    <row r="294" spans="1:12" x14ac:dyDescent="0.25">
      <c r="A294" s="2" t="s">
        <v>75</v>
      </c>
      <c r="B294" s="2">
        <v>0.68478260869565211</v>
      </c>
      <c r="C294" s="8">
        <f t="shared" ref="C294:L294" si="82">C293*$B$294</f>
        <v>121124523.35840566</v>
      </c>
      <c r="D294" s="8">
        <f t="shared" si="82"/>
        <v>140856842.29289109</v>
      </c>
      <c r="E294" s="8">
        <f t="shared" si="82"/>
        <v>157556160.72435731</v>
      </c>
      <c r="F294" s="8">
        <f t="shared" si="82"/>
        <v>155125376.88074681</v>
      </c>
      <c r="G294" s="8">
        <f t="shared" si="82"/>
        <v>166469649.16123077</v>
      </c>
      <c r="H294" s="8">
        <f t="shared" si="82"/>
        <v>165044414.2706427</v>
      </c>
      <c r="I294" s="8">
        <f t="shared" si="82"/>
        <v>167428134.42352036</v>
      </c>
      <c r="J294" s="8">
        <f t="shared" si="82"/>
        <v>163710381.57920977</v>
      </c>
      <c r="K294" s="8">
        <f t="shared" si="82"/>
        <v>164786790.81213829</v>
      </c>
      <c r="L294" s="8">
        <f t="shared" si="82"/>
        <v>165893843.51941183</v>
      </c>
    </row>
    <row r="295" spans="1:12" x14ac:dyDescent="0.25">
      <c r="A295" s="2" t="s">
        <v>156</v>
      </c>
      <c r="B295" s="2">
        <v>3.2608695652173912E-2</v>
      </c>
      <c r="C295" s="8">
        <f t="shared" ref="C295:L295" si="83">C293*$B$295</f>
        <v>5767834.4456383651</v>
      </c>
      <c r="D295" s="8">
        <f t="shared" si="83"/>
        <v>6707468.6806138624</v>
      </c>
      <c r="E295" s="8">
        <f t="shared" si="83"/>
        <v>7502674.3202074906</v>
      </c>
      <c r="F295" s="8">
        <f t="shared" si="83"/>
        <v>7386922.7086069919</v>
      </c>
      <c r="G295" s="8">
        <f t="shared" si="83"/>
        <v>7927126.1505347984</v>
      </c>
      <c r="H295" s="8">
        <f t="shared" si="83"/>
        <v>7859257.8224115577</v>
      </c>
      <c r="I295" s="8">
        <f t="shared" si="83"/>
        <v>7972768.3058819221</v>
      </c>
      <c r="J295" s="8">
        <f t="shared" si="83"/>
        <v>7795732.456152847</v>
      </c>
      <c r="K295" s="8">
        <f t="shared" si="83"/>
        <v>7846990.0386732519</v>
      </c>
      <c r="L295" s="8">
        <f t="shared" si="83"/>
        <v>7899706.834257707</v>
      </c>
    </row>
    <row r="296" spans="1:12" x14ac:dyDescent="0.25">
      <c r="A296" s="2" t="s">
        <v>77</v>
      </c>
      <c r="B296" s="2">
        <v>0.28260869565217389</v>
      </c>
      <c r="C296" s="8">
        <f t="shared" ref="C296:L296" si="84">C293*$B$296</f>
        <v>49987898.528865829</v>
      </c>
      <c r="D296" s="8">
        <f t="shared" si="84"/>
        <v>58131395.231986806</v>
      </c>
      <c r="E296" s="8">
        <f t="shared" si="84"/>
        <v>65023177.441798247</v>
      </c>
      <c r="F296" s="8">
        <f t="shared" si="84"/>
        <v>64019996.807927258</v>
      </c>
      <c r="G296" s="8">
        <f t="shared" si="84"/>
        <v>68701759.971301585</v>
      </c>
      <c r="H296" s="8">
        <f t="shared" si="84"/>
        <v>68113567.794233501</v>
      </c>
      <c r="I296" s="8">
        <f t="shared" si="84"/>
        <v>69097325.317643315</v>
      </c>
      <c r="J296" s="8">
        <f t="shared" si="84"/>
        <v>67563014.619991347</v>
      </c>
      <c r="K296" s="8">
        <f t="shared" si="84"/>
        <v>68007247.001834854</v>
      </c>
      <c r="L296" s="8">
        <f t="shared" si="84"/>
        <v>68464125.896900132</v>
      </c>
    </row>
    <row r="301" spans="1:12" x14ac:dyDescent="0.25">
      <c r="H301" s="16"/>
      <c r="I301" s="16"/>
      <c r="J301" s="16"/>
      <c r="K301" s="16"/>
      <c r="L301" s="16"/>
    </row>
  </sheetData>
  <autoFilter ref="A229:L296" xr:uid="{7054496A-AF4B-4EC1-B368-49C550220A1C}">
    <filterColumn colId="0">
      <filters>
        <filter val="AJ Vaccines A/S"/>
        <filter val="BB- NCIPD Ltd. (Bulgaria)"/>
        <filter val="Beijing Institute of Biological Products Co., Ltd."/>
        <filter val="Bharat Biotech International Limited"/>
        <filter val="Bilthoven Biologicals B.V."/>
        <filter val="Biological E Limited"/>
        <filter val="Centro de Ingenieria Genetica y Biotecnologia"/>
        <filter val="GlaxoSmithKline Biologicals SA"/>
        <filter val="GSK"/>
        <filter val="Haffkine Bio Pharmaceutical Corporation Ltd"/>
        <filter val="Innovative Biotech"/>
        <filter val="LG Chem Ltd"/>
        <filter val="Merck Sharp &amp; Dohme LLC"/>
        <filter val="Panacea Biotec Ltd."/>
        <filter val="Pfizer"/>
        <filter val="PT Bio Farma (Persero)"/>
        <filter val="PT Bio Pharma"/>
        <filter val="Sanofi Healthcare India Private Limited"/>
        <filter val="Sanofi Pasteur"/>
        <filter val="Serum Institute of India"/>
        <filter val="Serum Institute of India Pvt. Ltd."/>
        <filter val="Xiamen Innovax Biotech Co. Ltd."/>
      </filters>
    </filterColumn>
  </autoFilter>
  <mergeCells count="52">
    <mergeCell ref="A187:A191"/>
    <mergeCell ref="A192:A195"/>
    <mergeCell ref="A196:A198"/>
    <mergeCell ref="A199:A203"/>
    <mergeCell ref="A164:A167"/>
    <mergeCell ref="A168:A172"/>
    <mergeCell ref="A173:A175"/>
    <mergeCell ref="A176:A178"/>
    <mergeCell ref="A179:A181"/>
    <mergeCell ref="A182:A186"/>
    <mergeCell ref="A161:A163"/>
    <mergeCell ref="A120:A122"/>
    <mergeCell ref="A123:A125"/>
    <mergeCell ref="A126:A129"/>
    <mergeCell ref="A130:A134"/>
    <mergeCell ref="A135:A136"/>
    <mergeCell ref="A137:A140"/>
    <mergeCell ref="A142:A145"/>
    <mergeCell ref="A146:A149"/>
    <mergeCell ref="A150:A152"/>
    <mergeCell ref="A153:A156"/>
    <mergeCell ref="A157:A160"/>
    <mergeCell ref="A114:A118"/>
    <mergeCell ref="A75:A76"/>
    <mergeCell ref="A78:A81"/>
    <mergeCell ref="A82:A85"/>
    <mergeCell ref="A86:A89"/>
    <mergeCell ref="A90:A94"/>
    <mergeCell ref="A95:A97"/>
    <mergeCell ref="A98:A100"/>
    <mergeCell ref="A101:A103"/>
    <mergeCell ref="A104:A106"/>
    <mergeCell ref="A107:A109"/>
    <mergeCell ref="A110:A113"/>
    <mergeCell ref="A70:A74"/>
    <mergeCell ref="A31:A33"/>
    <mergeCell ref="A34:A36"/>
    <mergeCell ref="A37:A38"/>
    <mergeCell ref="A39:A41"/>
    <mergeCell ref="A42:A44"/>
    <mergeCell ref="A45:A49"/>
    <mergeCell ref="A50:A53"/>
    <mergeCell ref="A54:A57"/>
    <mergeCell ref="A58:A61"/>
    <mergeCell ref="A62:A64"/>
    <mergeCell ref="A65:A69"/>
    <mergeCell ref="A28:A30"/>
    <mergeCell ref="A2:A6"/>
    <mergeCell ref="A7:A10"/>
    <mergeCell ref="A11:A14"/>
    <mergeCell ref="A17:A21"/>
    <mergeCell ref="A22:A26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28539-2602-4D9E-BF99-AB1A3FA50A1F}">
  <dimension ref="A1:W63"/>
  <sheetViews>
    <sheetView topLeftCell="I39" workbookViewId="0">
      <selection activeCell="M55" sqref="M55:W55"/>
    </sheetView>
  </sheetViews>
  <sheetFormatPr defaultRowHeight="15" x14ac:dyDescent="0.25"/>
  <cols>
    <col min="1" max="1" width="39.7109375" bestFit="1" customWidth="1"/>
    <col min="2" max="11" width="13.5703125" bestFit="1" customWidth="1"/>
    <col min="13" max="13" width="16.28515625" bestFit="1" customWidth="1"/>
    <col min="14" max="23" width="12.28515625" bestFit="1" customWidth="1"/>
  </cols>
  <sheetData>
    <row r="1" spans="1:23" x14ac:dyDescent="0.25">
      <c r="A1" t="s">
        <v>120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23" x14ac:dyDescent="0.25">
      <c r="A2" t="s">
        <v>123</v>
      </c>
      <c r="B2" s="2">
        <v>12566857.027123008</v>
      </c>
      <c r="C2" s="2">
        <v>16786645.072634533</v>
      </c>
      <c r="D2" s="2">
        <v>19622738.721218631</v>
      </c>
      <c r="E2" s="2">
        <v>19547910.688137654</v>
      </c>
      <c r="F2" s="2">
        <v>19513740.32024017</v>
      </c>
      <c r="G2" s="2">
        <v>19229065.34630207</v>
      </c>
      <c r="H2" s="2">
        <v>19580656.360801902</v>
      </c>
      <c r="I2" s="2">
        <v>19277437.283300642</v>
      </c>
      <c r="J2" s="2">
        <v>19621091.640760202</v>
      </c>
      <c r="K2" s="2">
        <v>19943396.373611137</v>
      </c>
    </row>
    <row r="3" spans="1:23" x14ac:dyDescent="0.25">
      <c r="A3" s="2" t="s">
        <v>140</v>
      </c>
      <c r="B3" s="8">
        <v>675767.59996722266</v>
      </c>
      <c r="C3" s="8">
        <v>641039.03857184667</v>
      </c>
      <c r="D3" s="8">
        <v>642172.02359964885</v>
      </c>
      <c r="E3" s="8">
        <v>643403.45900146326</v>
      </c>
      <c r="F3" s="8">
        <v>272252.02996078425</v>
      </c>
      <c r="G3" s="8">
        <v>276410.46588235296</v>
      </c>
      <c r="H3" s="8">
        <v>280430.43905882351</v>
      </c>
      <c r="I3" s="8">
        <v>284143.31043137249</v>
      </c>
      <c r="J3" s="8">
        <v>287741.05788235296</v>
      </c>
      <c r="K3" s="8">
        <v>290773.66321568622</v>
      </c>
      <c r="M3" s="24" t="s">
        <v>121</v>
      </c>
      <c r="N3" t="s">
        <v>161</v>
      </c>
      <c r="O3" t="s">
        <v>162</v>
      </c>
      <c r="P3" t="s">
        <v>163</v>
      </c>
      <c r="Q3" t="s">
        <v>164</v>
      </c>
      <c r="R3" t="s">
        <v>165</v>
      </c>
      <c r="S3" t="s">
        <v>166</v>
      </c>
      <c r="T3" t="s">
        <v>167</v>
      </c>
      <c r="U3" t="s">
        <v>168</v>
      </c>
      <c r="V3" t="s">
        <v>169</v>
      </c>
      <c r="W3" t="s">
        <v>170</v>
      </c>
    </row>
    <row r="4" spans="1:23" x14ac:dyDescent="0.25">
      <c r="A4" s="2" t="s">
        <v>140</v>
      </c>
      <c r="B4" s="8">
        <v>22916000.80854011</v>
      </c>
      <c r="C4" s="8">
        <v>25005510.819030747</v>
      </c>
      <c r="D4" s="8">
        <v>25171694.617935959</v>
      </c>
      <c r="E4" s="8">
        <v>23742165.810073297</v>
      </c>
      <c r="F4" s="8">
        <v>23979749.438525982</v>
      </c>
      <c r="G4" s="8">
        <v>23778735.116071638</v>
      </c>
      <c r="H4" s="8">
        <v>24071865.196553152</v>
      </c>
      <c r="I4" s="8">
        <v>23860728.270213004</v>
      </c>
      <c r="J4" s="8">
        <v>24194634.547671076</v>
      </c>
      <c r="K4" s="8">
        <v>24434145.304614648</v>
      </c>
      <c r="M4" s="22" t="s">
        <v>123</v>
      </c>
      <c r="N4">
        <v>12566857.027123008</v>
      </c>
      <c r="O4">
        <v>16786645.072634533</v>
      </c>
      <c r="P4">
        <v>19622738.721218631</v>
      </c>
      <c r="Q4">
        <v>19547910.688137654</v>
      </c>
      <c r="R4">
        <v>19513740.32024017</v>
      </c>
      <c r="S4">
        <v>19229065.34630207</v>
      </c>
      <c r="T4">
        <v>19580656.360801902</v>
      </c>
      <c r="U4">
        <v>19277437.283300642</v>
      </c>
      <c r="V4">
        <v>19621091.640760202</v>
      </c>
      <c r="W4">
        <v>19943396.373611137</v>
      </c>
    </row>
    <row r="5" spans="1:23" x14ac:dyDescent="0.25">
      <c r="A5" s="2" t="s">
        <v>140</v>
      </c>
      <c r="B5" s="8">
        <v>663095.73231578956</v>
      </c>
      <c r="C5" s="8">
        <v>666971.61835583078</v>
      </c>
      <c r="D5" s="8">
        <v>677244.66920000012</v>
      </c>
      <c r="E5" s="8">
        <v>648027.2883719299</v>
      </c>
      <c r="F5" s="8">
        <v>656387.32683219819</v>
      </c>
      <c r="G5" s="8">
        <v>664491.06015232205</v>
      </c>
      <c r="H5" s="8">
        <v>629837.00125448918</v>
      </c>
      <c r="I5" s="8">
        <v>634112.88690361194</v>
      </c>
      <c r="J5" s="8">
        <v>639516.90872280707</v>
      </c>
      <c r="K5" s="8">
        <v>645421.88133993803</v>
      </c>
      <c r="M5" s="22" t="s">
        <v>140</v>
      </c>
      <c r="N5">
        <v>24254864.140823122</v>
      </c>
      <c r="O5">
        <v>26313521.475958422</v>
      </c>
      <c r="P5">
        <v>26491111.310735609</v>
      </c>
      <c r="Q5">
        <v>25033596.557446688</v>
      </c>
      <c r="R5">
        <v>24908388.795318965</v>
      </c>
      <c r="S5">
        <v>24719636.642106313</v>
      </c>
      <c r="T5">
        <v>24982132.636866461</v>
      </c>
      <c r="U5">
        <v>24778984.46754799</v>
      </c>
      <c r="V5">
        <v>25121892.514276236</v>
      </c>
      <c r="W5">
        <v>25370340.849170271</v>
      </c>
    </row>
    <row r="6" spans="1:23" x14ac:dyDescent="0.25">
      <c r="A6" t="s">
        <v>141</v>
      </c>
      <c r="B6" s="2">
        <v>7997891.8751373701</v>
      </c>
      <c r="C6" s="2">
        <v>8579273.9918906316</v>
      </c>
      <c r="D6" s="2">
        <v>8716868.0299270917</v>
      </c>
      <c r="E6" s="2">
        <v>8393569.6817347892</v>
      </c>
      <c r="F6" s="2">
        <v>8416919.6268051323</v>
      </c>
      <c r="G6" s="2">
        <v>8100477.9874988934</v>
      </c>
      <c r="H6" s="2">
        <v>8258698.8071520114</v>
      </c>
      <c r="I6" s="2">
        <v>8179588.3973254524</v>
      </c>
      <c r="J6" s="2">
        <v>8219143.6022387315</v>
      </c>
      <c r="K6" s="2">
        <v>8199365.9997820929</v>
      </c>
      <c r="M6" s="22" t="s">
        <v>141</v>
      </c>
      <c r="N6">
        <v>7997891.8751373701</v>
      </c>
      <c r="O6">
        <v>8579273.9918906316</v>
      </c>
      <c r="P6">
        <v>8716868.0299270917</v>
      </c>
      <c r="Q6">
        <v>8393569.6817347892</v>
      </c>
      <c r="R6">
        <v>8416919.6268051323</v>
      </c>
      <c r="S6">
        <v>8100477.9874988934</v>
      </c>
      <c r="T6">
        <v>8258698.8071520114</v>
      </c>
      <c r="U6">
        <v>8179588.3973254524</v>
      </c>
      <c r="V6">
        <v>8219143.6022387315</v>
      </c>
      <c r="W6">
        <v>8199365.9997820929</v>
      </c>
    </row>
    <row r="7" spans="1:23" x14ac:dyDescent="0.25">
      <c r="A7" t="s">
        <v>142</v>
      </c>
      <c r="B7" s="2">
        <v>26659639.583791237</v>
      </c>
      <c r="C7" s="2">
        <v>28597579.97296878</v>
      </c>
      <c r="D7" s="2">
        <v>29056226.766423646</v>
      </c>
      <c r="E7" s="2">
        <v>27978565.605782636</v>
      </c>
      <c r="F7" s="2">
        <v>28056398.756017111</v>
      </c>
      <c r="G7" s="2">
        <v>27001593.29166298</v>
      </c>
      <c r="H7" s="2">
        <v>27528996.023840044</v>
      </c>
      <c r="I7" s="2">
        <v>27265294.657751512</v>
      </c>
      <c r="J7" s="2">
        <v>27397145.340795778</v>
      </c>
      <c r="K7" s="2">
        <v>27331219.999273647</v>
      </c>
      <c r="M7" s="22" t="s">
        <v>142</v>
      </c>
      <c r="N7">
        <v>36032012.562801763</v>
      </c>
      <c r="O7">
        <v>39544946.21275717</v>
      </c>
      <c r="P7">
        <v>40485720.550245494</v>
      </c>
      <c r="Q7">
        <v>40235381.965735994</v>
      </c>
      <c r="R7">
        <v>41059163.190862946</v>
      </c>
      <c r="S7">
        <v>40529553.648253843</v>
      </c>
      <c r="T7">
        <v>41313535.29234083</v>
      </c>
      <c r="U7">
        <v>40905294.299509071</v>
      </c>
      <c r="V7">
        <v>41185200.154118828</v>
      </c>
      <c r="W7">
        <v>41263765.477263942</v>
      </c>
    </row>
    <row r="8" spans="1:23" x14ac:dyDescent="0.25">
      <c r="A8" s="2" t="s">
        <v>142</v>
      </c>
      <c r="B8" s="8">
        <v>9372372.9790105261</v>
      </c>
      <c r="C8" s="8">
        <v>10947366.239788387</v>
      </c>
      <c r="D8" s="8">
        <v>11429493.783821849</v>
      </c>
      <c r="E8" s="8">
        <v>12256816.359953357</v>
      </c>
      <c r="F8" s="8">
        <v>13002764.434845837</v>
      </c>
      <c r="G8" s="8">
        <v>13527960.356590867</v>
      </c>
      <c r="H8" s="8">
        <v>13784539.268500788</v>
      </c>
      <c r="I8" s="8">
        <v>13639999.641757561</v>
      </c>
      <c r="J8" s="8">
        <v>13788054.813323049</v>
      </c>
      <c r="K8" s="8">
        <v>13932545.477990292</v>
      </c>
      <c r="M8" s="22" t="s">
        <v>143</v>
      </c>
      <c r="N8">
        <v>8377904.6847486729</v>
      </c>
      <c r="O8">
        <v>11191096.71508969</v>
      </c>
      <c r="P8">
        <v>13081825.814145755</v>
      </c>
      <c r="Q8">
        <v>13031940.458758438</v>
      </c>
      <c r="R8">
        <v>13009160.213493448</v>
      </c>
      <c r="S8">
        <v>12819376.897534715</v>
      </c>
      <c r="T8">
        <v>13053770.90720127</v>
      </c>
      <c r="U8">
        <v>12851624.855533762</v>
      </c>
      <c r="V8">
        <v>13080727.760506803</v>
      </c>
      <c r="W8">
        <v>13295597.582407426</v>
      </c>
    </row>
    <row r="9" spans="1:23" x14ac:dyDescent="0.25">
      <c r="A9" t="s">
        <v>143</v>
      </c>
      <c r="B9" s="2">
        <v>8377904.6847486729</v>
      </c>
      <c r="C9" s="2">
        <v>11191096.71508969</v>
      </c>
      <c r="D9" s="2">
        <v>13081825.814145755</v>
      </c>
      <c r="E9" s="2">
        <v>13031940.458758438</v>
      </c>
      <c r="F9" s="2">
        <v>13009160.213493448</v>
      </c>
      <c r="G9" s="2">
        <v>12819376.897534715</v>
      </c>
      <c r="H9" s="2">
        <v>13053770.90720127</v>
      </c>
      <c r="I9" s="2">
        <v>12851624.855533762</v>
      </c>
      <c r="J9" s="2">
        <v>13080727.760506803</v>
      </c>
      <c r="K9" s="2">
        <v>13295597.582407426</v>
      </c>
      <c r="M9" s="22" t="s">
        <v>144</v>
      </c>
      <c r="N9">
        <v>160135878.43240571</v>
      </c>
      <c r="O9">
        <v>140828237.3645702</v>
      </c>
      <c r="P9">
        <v>154803230.3623794</v>
      </c>
      <c r="Q9">
        <v>143849213.94824648</v>
      </c>
      <c r="R9">
        <v>147498236.03168866</v>
      </c>
      <c r="S9">
        <v>171176559.18060732</v>
      </c>
      <c r="T9">
        <v>139669000.86808005</v>
      </c>
      <c r="U9">
        <v>172880234.67100769</v>
      </c>
      <c r="V9">
        <v>149286626.99685669</v>
      </c>
      <c r="W9">
        <v>158370575.61266673</v>
      </c>
    </row>
    <row r="10" spans="1:23" x14ac:dyDescent="0.25">
      <c r="A10" s="2" t="s">
        <v>144</v>
      </c>
      <c r="B10" s="2">
        <v>82248616.407465041</v>
      </c>
      <c r="C10" s="2">
        <v>56454212.36705222</v>
      </c>
      <c r="D10" s="2">
        <v>69228245.962245733</v>
      </c>
      <c r="E10" s="2">
        <v>62472587.406313032</v>
      </c>
      <c r="F10" s="2">
        <v>66491023.87039607</v>
      </c>
      <c r="G10" s="2">
        <v>91945807.38605912</v>
      </c>
      <c r="H10" s="2">
        <v>59691517.719514787</v>
      </c>
      <c r="I10" s="2">
        <v>93545823.747180954</v>
      </c>
      <c r="J10" s="2">
        <v>69237661.745399028</v>
      </c>
      <c r="K10" s="2">
        <v>77680292.377162561</v>
      </c>
      <c r="M10" s="22" t="s">
        <v>145</v>
      </c>
      <c r="N10">
        <v>30581.467053209944</v>
      </c>
      <c r="O10">
        <v>25617.592647484089</v>
      </c>
      <c r="P10">
        <v>20774.27764459225</v>
      </c>
      <c r="Q10">
        <v>116.82515326778481</v>
      </c>
      <c r="R10">
        <v>124.7355754771544</v>
      </c>
      <c r="S10">
        <v>132.92279063042221</v>
      </c>
      <c r="T10">
        <v>128.82918305378831</v>
      </c>
      <c r="U10">
        <v>130.87598684210525</v>
      </c>
      <c r="V10">
        <v>129.85258494794678</v>
      </c>
      <c r="W10">
        <v>130.36428589502603</v>
      </c>
    </row>
    <row r="11" spans="1:23" x14ac:dyDescent="0.25">
      <c r="A11" s="2" t="s">
        <v>144</v>
      </c>
      <c r="B11" s="2">
        <v>18830225.288443211</v>
      </c>
      <c r="C11" s="2">
        <v>19849761.558783047</v>
      </c>
      <c r="D11" s="2">
        <v>19979593.390792638</v>
      </c>
      <c r="E11" s="2">
        <v>18799448.570805367</v>
      </c>
      <c r="F11" s="2">
        <v>18364583.903488208</v>
      </c>
      <c r="G11" s="2">
        <v>17599569.449139744</v>
      </c>
      <c r="H11" s="2">
        <v>17635775.197586205</v>
      </c>
      <c r="I11" s="2">
        <v>17567628.364</v>
      </c>
      <c r="J11" s="2">
        <v>17523783.339586206</v>
      </c>
      <c r="K11" s="2">
        <v>17477558.005448274</v>
      </c>
      <c r="M11" s="22" t="s">
        <v>116</v>
      </c>
      <c r="N11">
        <v>173293851.65727848</v>
      </c>
      <c r="O11">
        <v>192138490.62508065</v>
      </c>
      <c r="P11">
        <v>207889037.16289034</v>
      </c>
      <c r="Q11">
        <v>239105950.75953406</v>
      </c>
      <c r="R11">
        <v>260270055.92625776</v>
      </c>
      <c r="S11">
        <v>237068049.66090113</v>
      </c>
      <c r="T11">
        <v>225056838.17316517</v>
      </c>
      <c r="U11">
        <v>219849695.88466766</v>
      </c>
      <c r="V11">
        <v>215519208.61637363</v>
      </c>
      <c r="W11">
        <v>217845404.09308761</v>
      </c>
    </row>
    <row r="12" spans="1:23" x14ac:dyDescent="0.25">
      <c r="A12" s="2" t="s">
        <v>144</v>
      </c>
      <c r="B12" s="2">
        <v>59057036.736497447</v>
      </c>
      <c r="C12" s="2">
        <v>64524263.438734949</v>
      </c>
      <c r="D12" s="2">
        <v>65595391.009341031</v>
      </c>
      <c r="E12" s="2">
        <v>62577177.971128061</v>
      </c>
      <c r="F12" s="2">
        <v>62642628.257804386</v>
      </c>
      <c r="G12" s="2">
        <v>61631182.345408469</v>
      </c>
      <c r="H12" s="2">
        <v>62341707.950979054</v>
      </c>
      <c r="I12" s="2">
        <v>61766782.559826747</v>
      </c>
      <c r="J12" s="2">
        <v>62525181.911871448</v>
      </c>
      <c r="K12" s="2">
        <v>63212725.230055898</v>
      </c>
      <c r="M12" s="22" t="s">
        <v>146</v>
      </c>
      <c r="N12">
        <v>7997891.8751373701</v>
      </c>
      <c r="O12">
        <v>8579273.9918906316</v>
      </c>
      <c r="P12">
        <v>8716868.0299270917</v>
      </c>
      <c r="Q12">
        <v>8393569.6817347892</v>
      </c>
      <c r="R12">
        <v>8416919.6268051323</v>
      </c>
      <c r="S12">
        <v>8100477.9874988934</v>
      </c>
      <c r="T12">
        <v>8258698.8071520114</v>
      </c>
      <c r="U12">
        <v>8179588.3973254524</v>
      </c>
      <c r="V12">
        <v>8219143.6022387315</v>
      </c>
      <c r="W12">
        <v>8199365.9997820929</v>
      </c>
    </row>
    <row r="13" spans="1:23" x14ac:dyDescent="0.25">
      <c r="A13" s="2" t="s">
        <v>145</v>
      </c>
      <c r="B13" s="2">
        <v>30581.467053209944</v>
      </c>
      <c r="C13" s="2">
        <v>25617.592647484089</v>
      </c>
      <c r="D13" s="2">
        <v>20774.27764459225</v>
      </c>
      <c r="E13" s="2">
        <v>116.82515326778481</v>
      </c>
      <c r="F13" s="2">
        <v>124.7355754771544</v>
      </c>
      <c r="G13" s="2">
        <v>132.92279063042221</v>
      </c>
      <c r="H13" s="2">
        <v>128.82918305378831</v>
      </c>
      <c r="I13" s="2">
        <v>130.87598684210525</v>
      </c>
      <c r="J13" s="2">
        <v>129.85258494794678</v>
      </c>
      <c r="K13" s="2">
        <v>130.36428589502603</v>
      </c>
      <c r="M13" s="22" t="s">
        <v>154</v>
      </c>
      <c r="N13">
        <v>0</v>
      </c>
      <c r="O13">
        <v>0</v>
      </c>
      <c r="P13">
        <v>0</v>
      </c>
      <c r="Q13">
        <v>0</v>
      </c>
      <c r="R13">
        <v>0</v>
      </c>
      <c r="S13">
        <v>1764648.3745625152</v>
      </c>
      <c r="T13">
        <v>1151917.4911417167</v>
      </c>
      <c r="U13">
        <v>1155502.7508332531</v>
      </c>
      <c r="V13">
        <v>919921.8236380181</v>
      </c>
      <c r="W13">
        <v>955596.68176143104</v>
      </c>
    </row>
    <row r="14" spans="1:23" x14ac:dyDescent="0.25">
      <c r="A14" t="s">
        <v>116</v>
      </c>
      <c r="B14" s="2">
        <v>69315062.917857215</v>
      </c>
      <c r="C14" s="2">
        <v>74353707.929718822</v>
      </c>
      <c r="D14" s="2">
        <v>75546189.59270148</v>
      </c>
      <c r="E14" s="2">
        <v>72744270.575034857</v>
      </c>
      <c r="F14" s="2">
        <v>72946636.765644491</v>
      </c>
      <c r="G14" s="2">
        <v>70204142.558323756</v>
      </c>
      <c r="H14" s="2">
        <v>71575389.661984116</v>
      </c>
      <c r="I14" s="2">
        <v>70889766.110153928</v>
      </c>
      <c r="J14" s="2">
        <v>71232577.886069015</v>
      </c>
      <c r="K14" s="2">
        <v>71061171.998111486</v>
      </c>
      <c r="M14" s="22" t="s">
        <v>147</v>
      </c>
      <c r="N14">
        <v>60572261.860568382</v>
      </c>
      <c r="O14">
        <v>74554979.679337129</v>
      </c>
      <c r="P14">
        <v>82986190.40571858</v>
      </c>
      <c r="Q14">
        <v>81271974.99270694</v>
      </c>
      <c r="R14">
        <v>81103515.228268862</v>
      </c>
      <c r="S14">
        <v>79796635.075730667</v>
      </c>
      <c r="T14">
        <v>81074435.116735086</v>
      </c>
      <c r="U14">
        <v>79905506.486708879</v>
      </c>
      <c r="V14">
        <v>81169939.036446929</v>
      </c>
      <c r="W14">
        <v>82304159.225267321</v>
      </c>
    </row>
    <row r="15" spans="1:23" x14ac:dyDescent="0.25">
      <c r="A15" t="s">
        <v>116</v>
      </c>
      <c r="B15" s="2">
        <v>13464366.893311849</v>
      </c>
      <c r="C15" s="2">
        <v>13316610.175113982</v>
      </c>
      <c r="D15" s="2">
        <v>19471619.780264311</v>
      </c>
      <c r="E15" s="2">
        <v>51656909.241703324</v>
      </c>
      <c r="F15" s="2">
        <v>65711883.688696265</v>
      </c>
      <c r="G15" s="2">
        <v>45880857.7386254</v>
      </c>
      <c r="H15" s="2">
        <v>29949854.769684635</v>
      </c>
      <c r="I15" s="2">
        <v>30043071.521664582</v>
      </c>
      <c r="J15" s="2">
        <v>23917967.414588474</v>
      </c>
      <c r="K15" s="2">
        <v>24845513.725797206</v>
      </c>
      <c r="M15" s="22" t="s">
        <v>148</v>
      </c>
      <c r="N15">
        <v>3107161.590764272</v>
      </c>
      <c r="O15">
        <v>3073063.8865647642</v>
      </c>
      <c r="P15">
        <v>4493450.7185225328</v>
      </c>
      <c r="Q15">
        <v>11920825.209623842</v>
      </c>
      <c r="R15">
        <v>15164280.851237595</v>
      </c>
      <c r="S15">
        <v>10587890.24737509</v>
      </c>
      <c r="T15">
        <v>6911504.9468502989</v>
      </c>
      <c r="U15">
        <v>6933016.5049995175</v>
      </c>
      <c r="V15">
        <v>5519530.9418281084</v>
      </c>
      <c r="W15">
        <v>5733580.0905685853</v>
      </c>
    </row>
    <row r="16" spans="1:23" x14ac:dyDescent="0.25">
      <c r="A16" t="s">
        <v>116</v>
      </c>
      <c r="B16" s="8">
        <v>33676855.341476761</v>
      </c>
      <c r="C16" s="8">
        <v>39336128.646732755</v>
      </c>
      <c r="D16" s="8">
        <v>41068511.640123874</v>
      </c>
      <c r="E16" s="8">
        <v>44041251.071163908</v>
      </c>
      <c r="F16" s="8">
        <v>46721595.255786747</v>
      </c>
      <c r="G16" s="8">
        <v>48608731.749623574</v>
      </c>
      <c r="H16" s="8">
        <v>49530672.321068496</v>
      </c>
      <c r="I16" s="8">
        <v>49011311.844074696</v>
      </c>
      <c r="J16" s="8">
        <v>49543304.393510647</v>
      </c>
      <c r="K16" s="8">
        <v>50062488.939739235</v>
      </c>
      <c r="M16" s="22" t="s">
        <v>149</v>
      </c>
      <c r="N16">
        <v>20506695.289599404</v>
      </c>
      <c r="O16">
        <v>22193075.895643339</v>
      </c>
      <c r="P16">
        <v>22555055.874792963</v>
      </c>
      <c r="Q16">
        <v>21620955.904167734</v>
      </c>
      <c r="R16">
        <v>21662997.545374244</v>
      </c>
      <c r="S16">
        <v>21072501.04089994</v>
      </c>
      <c r="T16">
        <v>21401883.068032525</v>
      </c>
      <c r="U16">
        <v>21200581.62307173</v>
      </c>
      <c r="V16">
        <v>21379721.788296886</v>
      </c>
      <c r="W16">
        <v>21467942.204718776</v>
      </c>
    </row>
    <row r="17" spans="1:23" x14ac:dyDescent="0.25">
      <c r="A17" t="s">
        <v>116</v>
      </c>
      <c r="B17" s="8">
        <v>49987898.528865829</v>
      </c>
      <c r="C17" s="8">
        <v>58131395.231986806</v>
      </c>
      <c r="D17" s="8">
        <v>65023177.441798247</v>
      </c>
      <c r="E17" s="8">
        <v>64019996.807927258</v>
      </c>
      <c r="F17" s="8">
        <v>68701759.971301585</v>
      </c>
      <c r="G17" s="8">
        <v>68113567.794233501</v>
      </c>
      <c r="H17" s="8">
        <v>69097325.317643315</v>
      </c>
      <c r="I17" s="8">
        <v>67563014.619991347</v>
      </c>
      <c r="J17" s="8">
        <v>68007247.001834854</v>
      </c>
      <c r="K17" s="8">
        <v>68464125.896900132</v>
      </c>
      <c r="M17" s="22" t="s">
        <v>156</v>
      </c>
      <c r="N17">
        <v>5767834.4456383651</v>
      </c>
      <c r="O17">
        <v>6707468.6806138624</v>
      </c>
      <c r="P17">
        <v>7502674.3202074906</v>
      </c>
      <c r="Q17">
        <v>7386922.7086069919</v>
      </c>
      <c r="R17">
        <v>7927126.1505347984</v>
      </c>
      <c r="S17">
        <v>7859257.8224115577</v>
      </c>
      <c r="T17">
        <v>7972768.3058819221</v>
      </c>
      <c r="U17">
        <v>7795732.456152847</v>
      </c>
      <c r="V17">
        <v>7846990.0386732519</v>
      </c>
      <c r="W17">
        <v>7899706.834257707</v>
      </c>
    </row>
    <row r="18" spans="1:23" x14ac:dyDescent="0.25">
      <c r="A18" s="2" t="s">
        <v>116</v>
      </c>
      <c r="B18" s="2">
        <v>6849667.9757668339</v>
      </c>
      <c r="C18" s="2">
        <v>7000648.6415283009</v>
      </c>
      <c r="D18" s="2">
        <v>6779538.7080024509</v>
      </c>
      <c r="E18" s="2">
        <v>6643523.0637047403</v>
      </c>
      <c r="F18" s="2">
        <v>6188180.2448286749</v>
      </c>
      <c r="G18" s="2">
        <v>4260749.8200949151</v>
      </c>
      <c r="H18" s="2">
        <v>4903596.1027846169</v>
      </c>
      <c r="I18" s="2">
        <v>2342531.7887830962</v>
      </c>
      <c r="J18" s="2">
        <v>2818111.9203706598</v>
      </c>
      <c r="K18" s="2">
        <v>3412103.5325395376</v>
      </c>
      <c r="M18" s="22" t="s">
        <v>150</v>
      </c>
      <c r="N18">
        <v>116637530.12462234</v>
      </c>
      <c r="O18">
        <v>129934300.78440213</v>
      </c>
      <c r="P18">
        <v>128173597.85699782</v>
      </c>
      <c r="Q18">
        <v>122968102.22549307</v>
      </c>
      <c r="R18">
        <v>123067070.21338814</v>
      </c>
      <c r="S18">
        <v>120440803.69414254</v>
      </c>
      <c r="T18">
        <v>121879194.17712346</v>
      </c>
      <c r="U18">
        <v>120972843.44714424</v>
      </c>
      <c r="V18">
        <v>122373461.9525522</v>
      </c>
      <c r="W18">
        <v>123285374.16737279</v>
      </c>
    </row>
    <row r="19" spans="1:23" x14ac:dyDescent="0.25">
      <c r="A19" t="s">
        <v>146</v>
      </c>
      <c r="B19" s="2">
        <v>7997891.8751373701</v>
      </c>
      <c r="C19" s="2">
        <v>8579273.9918906316</v>
      </c>
      <c r="D19" s="2">
        <v>8716868.0299270917</v>
      </c>
      <c r="E19" s="2">
        <v>8393569.6817347892</v>
      </c>
      <c r="F19" s="2">
        <v>8416919.6268051323</v>
      </c>
      <c r="G19" s="2">
        <v>8100477.9874988934</v>
      </c>
      <c r="H19" s="2">
        <v>8258698.8071520114</v>
      </c>
      <c r="I19" s="2">
        <v>8179588.3973254524</v>
      </c>
      <c r="J19" s="2">
        <v>8219143.6022387315</v>
      </c>
      <c r="K19" s="2">
        <v>8199365.9997820929</v>
      </c>
      <c r="M19" s="22" t="s">
        <v>151</v>
      </c>
      <c r="N19">
        <v>104604515.59962387</v>
      </c>
      <c r="O19">
        <v>122067365.0890546</v>
      </c>
      <c r="P19">
        <v>131681902.06008662</v>
      </c>
      <c r="Q19">
        <v>128591119.62181345</v>
      </c>
      <c r="R19">
        <v>128683257.31389226</v>
      </c>
      <c r="S19">
        <v>125192286.95798559</v>
      </c>
      <c r="T19">
        <v>127565532.71853128</v>
      </c>
      <c r="U19">
        <v>125996639.12750441</v>
      </c>
      <c r="V19">
        <v>127357220.37914462</v>
      </c>
      <c r="W19">
        <v>128159325.48806667</v>
      </c>
    </row>
    <row r="20" spans="1:23" x14ac:dyDescent="0.25">
      <c r="A20" s="28" t="s">
        <v>154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1764648.3745625152</v>
      </c>
      <c r="H20" s="2">
        <v>1151917.4911417167</v>
      </c>
      <c r="I20" s="2">
        <v>1155502.7508332531</v>
      </c>
      <c r="J20" s="2">
        <v>919921.8236380181</v>
      </c>
      <c r="K20" s="2">
        <v>955596.68176143104</v>
      </c>
      <c r="M20" s="22" t="s">
        <v>152</v>
      </c>
      <c r="N20">
        <v>1074070882.6812479</v>
      </c>
      <c r="O20">
        <v>1109716035.8583312</v>
      </c>
      <c r="P20">
        <v>1159989115.601326</v>
      </c>
      <c r="Q20">
        <v>1115778899.6594408</v>
      </c>
      <c r="R20">
        <v>1141615418.115515</v>
      </c>
      <c r="S20">
        <v>1191454615.3758273</v>
      </c>
      <c r="T20">
        <v>1120381970.2281682</v>
      </c>
      <c r="U20">
        <v>1192524976.6888795</v>
      </c>
      <c r="V20">
        <v>1139223052.509228</v>
      </c>
      <c r="W20">
        <v>1169589562.8925073</v>
      </c>
    </row>
    <row r="21" spans="1:23" x14ac:dyDescent="0.25">
      <c r="A21" s="2" t="s">
        <v>147</v>
      </c>
      <c r="B21" s="2">
        <v>19685678.912165817</v>
      </c>
      <c r="C21" s="2">
        <v>21508087.812911652</v>
      </c>
      <c r="D21" s="2">
        <v>21865130.336447015</v>
      </c>
      <c r="E21" s="2">
        <v>20859059.323709358</v>
      </c>
      <c r="F21" s="2">
        <v>20880876.085934799</v>
      </c>
      <c r="G21" s="2">
        <v>20543727.448469494</v>
      </c>
      <c r="H21" s="2">
        <v>20780569.31699302</v>
      </c>
      <c r="I21" s="2">
        <v>20588927.519942254</v>
      </c>
      <c r="J21" s="2">
        <v>20841727.303957153</v>
      </c>
      <c r="K21" s="2">
        <v>21070908.410018638</v>
      </c>
      <c r="M21" s="22" t="s">
        <v>153</v>
      </c>
      <c r="N21">
        <v>517860.26512737875</v>
      </c>
      <c r="O21">
        <v>512177.31442746078</v>
      </c>
      <c r="P21">
        <v>748908.45308708877</v>
      </c>
      <c r="Q21">
        <v>1986804.2016039738</v>
      </c>
      <c r="R21">
        <v>2527380.1418729327</v>
      </c>
      <c r="S21">
        <v>1764648.3745625152</v>
      </c>
      <c r="T21">
        <v>1151917.4911417165</v>
      </c>
      <c r="U21">
        <v>1155502.7508332529</v>
      </c>
      <c r="V21">
        <v>919921.82363801799</v>
      </c>
      <c r="W21">
        <v>955596.68176143093</v>
      </c>
    </row>
    <row r="22" spans="1:23" x14ac:dyDescent="0.25">
      <c r="A22" s="2" t="s">
        <v>147</v>
      </c>
      <c r="B22" s="2">
        <v>33511618.738994692</v>
      </c>
      <c r="C22" s="2">
        <v>44764386.86035876</v>
      </c>
      <c r="D22" s="2">
        <v>52327303.25658302</v>
      </c>
      <c r="E22" s="2">
        <v>52127761.835033752</v>
      </c>
      <c r="F22" s="2">
        <v>52036640.853973791</v>
      </c>
      <c r="G22" s="2">
        <v>51277507.59013886</v>
      </c>
      <c r="H22" s="2">
        <v>52215083.628805079</v>
      </c>
      <c r="I22" s="2">
        <v>51406499.422135048</v>
      </c>
      <c r="J22" s="2">
        <v>52322911.042027213</v>
      </c>
      <c r="K22" s="2">
        <v>53182390.329629704</v>
      </c>
      <c r="M22" s="22" t="s">
        <v>122</v>
      </c>
      <c r="N22">
        <v>1816472475.5797007</v>
      </c>
      <c r="O22">
        <v>1912745570.2308939</v>
      </c>
      <c r="P22">
        <v>2017959069.5498531</v>
      </c>
      <c r="Q22">
        <v>1989116855.0899386</v>
      </c>
      <c r="R22">
        <v>2044843754.0271316</v>
      </c>
      <c r="S22">
        <v>2081676617.2369916</v>
      </c>
      <c r="T22">
        <v>1969664584.2255492</v>
      </c>
      <c r="U22">
        <v>2064542880.9683323</v>
      </c>
      <c r="V22">
        <v>1986962925.033401</v>
      </c>
      <c r="W22">
        <v>2032838786.6183393</v>
      </c>
    </row>
    <row r="23" spans="1:23" x14ac:dyDescent="0.25">
      <c r="A23" s="2" t="s">
        <v>147</v>
      </c>
      <c r="B23" s="2">
        <v>7374964.2094078707</v>
      </c>
      <c r="C23" s="2">
        <v>8282505.0060667126</v>
      </c>
      <c r="D23" s="2">
        <v>8793756.8126885407</v>
      </c>
      <c r="E23" s="2">
        <v>8285153.8339638226</v>
      </c>
      <c r="F23" s="2">
        <v>8185998.2883602642</v>
      </c>
      <c r="G23" s="2">
        <v>7975400.0371223092</v>
      </c>
      <c r="H23" s="2">
        <v>8078782.1709369877</v>
      </c>
      <c r="I23" s="2">
        <v>7910079.5446315762</v>
      </c>
      <c r="J23" s="2">
        <v>8005300.6904625613</v>
      </c>
      <c r="K23" s="2">
        <v>8050860.485618975</v>
      </c>
    </row>
    <row r="24" spans="1:23" x14ac:dyDescent="0.25">
      <c r="A24" s="2" t="s">
        <v>148</v>
      </c>
      <c r="B24" s="2">
        <v>3107161.590764272</v>
      </c>
      <c r="C24" s="2">
        <v>3073063.8865647642</v>
      </c>
      <c r="D24" s="2">
        <v>4493450.7185225328</v>
      </c>
      <c r="E24" s="2">
        <v>11920825.209623842</v>
      </c>
      <c r="F24" s="2">
        <v>15164280.851237595</v>
      </c>
      <c r="G24" s="2">
        <v>10587890.24737509</v>
      </c>
      <c r="H24" s="2">
        <v>6911504.9468502989</v>
      </c>
      <c r="I24" s="2">
        <v>6933016.5049995175</v>
      </c>
      <c r="J24" s="2">
        <v>5519530.9418281084</v>
      </c>
      <c r="K24" s="2">
        <v>5733580.0905685853</v>
      </c>
    </row>
    <row r="25" spans="1:23" x14ac:dyDescent="0.25">
      <c r="A25" s="2" t="s">
        <v>149</v>
      </c>
      <c r="B25" s="2">
        <v>9842839.4560829084</v>
      </c>
      <c r="C25" s="2">
        <v>10754043.906455826</v>
      </c>
      <c r="D25" s="2">
        <v>10932565.168223508</v>
      </c>
      <c r="E25" s="2">
        <v>10429529.661854679</v>
      </c>
      <c r="F25" s="2">
        <v>10440438.0429674</v>
      </c>
      <c r="G25" s="2">
        <v>10271863.724234747</v>
      </c>
      <c r="H25" s="2">
        <v>10390284.65849651</v>
      </c>
      <c r="I25" s="2">
        <v>10294463.759971127</v>
      </c>
      <c r="J25" s="2">
        <v>10420863.651978577</v>
      </c>
      <c r="K25" s="2">
        <v>10535454.205009319</v>
      </c>
      <c r="M25" t="s">
        <v>121</v>
      </c>
      <c r="N25" t="s">
        <v>161</v>
      </c>
      <c r="O25" t="s">
        <v>162</v>
      </c>
      <c r="P25" t="s">
        <v>163</v>
      </c>
      <c r="Q25" t="s">
        <v>164</v>
      </c>
      <c r="R25" t="s">
        <v>165</v>
      </c>
      <c r="S25" t="s">
        <v>166</v>
      </c>
      <c r="T25" t="s">
        <v>167</v>
      </c>
      <c r="U25" t="s">
        <v>168</v>
      </c>
      <c r="V25" t="s">
        <v>169</v>
      </c>
      <c r="W25" t="s">
        <v>170</v>
      </c>
    </row>
    <row r="26" spans="1:23" x14ac:dyDescent="0.25">
      <c r="A26" s="2" t="s">
        <v>149</v>
      </c>
      <c r="B26" s="2">
        <v>10663855.833516495</v>
      </c>
      <c r="C26" s="2">
        <v>11439031.989187513</v>
      </c>
      <c r="D26" s="2">
        <v>11622490.706569457</v>
      </c>
      <c r="E26" s="2">
        <v>11191426.242313053</v>
      </c>
      <c r="F26" s="2">
        <v>11222559.502406845</v>
      </c>
      <c r="G26" s="2">
        <v>10800637.316665193</v>
      </c>
      <c r="H26" s="2">
        <v>11011598.409536017</v>
      </c>
      <c r="I26" s="2">
        <v>10906117.863100605</v>
      </c>
      <c r="J26" s="2">
        <v>10958858.136318311</v>
      </c>
      <c r="K26" s="2">
        <v>10932487.999709459</v>
      </c>
      <c r="M26" t="s">
        <v>123</v>
      </c>
      <c r="N26">
        <v>12566857.027123008</v>
      </c>
      <c r="O26">
        <v>16786645.072634533</v>
      </c>
      <c r="P26">
        <v>19622738.721218631</v>
      </c>
      <c r="Q26">
        <v>19547910.688137654</v>
      </c>
      <c r="R26">
        <v>19513740.32024017</v>
      </c>
      <c r="S26">
        <v>19229065.34630207</v>
      </c>
      <c r="T26">
        <v>19580656.360801902</v>
      </c>
      <c r="U26">
        <v>19277437.283300642</v>
      </c>
      <c r="V26">
        <v>19621091.640760202</v>
      </c>
      <c r="W26">
        <v>19943396.373611137</v>
      </c>
    </row>
    <row r="27" spans="1:23" x14ac:dyDescent="0.25">
      <c r="A27" s="2" t="s">
        <v>156</v>
      </c>
      <c r="B27" s="8">
        <v>5767834.4456383651</v>
      </c>
      <c r="C27" s="8">
        <v>6707468.6806138624</v>
      </c>
      <c r="D27" s="8">
        <v>7502674.3202074906</v>
      </c>
      <c r="E27" s="8">
        <v>7386922.7086069919</v>
      </c>
      <c r="F27" s="8">
        <v>7927126.1505347984</v>
      </c>
      <c r="G27" s="8">
        <v>7859257.8224115577</v>
      </c>
      <c r="H27" s="8">
        <v>7972768.3058819221</v>
      </c>
      <c r="I27" s="8">
        <v>7795732.456152847</v>
      </c>
      <c r="J27" s="8">
        <v>7846990.0386732519</v>
      </c>
      <c r="K27" s="8">
        <v>7899706.834257707</v>
      </c>
      <c r="M27" t="s">
        <v>140</v>
      </c>
      <c r="N27">
        <v>24254864.140823122</v>
      </c>
      <c r="O27">
        <v>26313521.475958422</v>
      </c>
      <c r="P27">
        <v>26491111.310735609</v>
      </c>
      <c r="Q27">
        <v>25033596.557446688</v>
      </c>
      <c r="R27">
        <v>24908388.795318965</v>
      </c>
      <c r="S27">
        <v>24719636.642106313</v>
      </c>
      <c r="T27">
        <v>24982132.636866461</v>
      </c>
      <c r="U27">
        <v>24778984.46754799</v>
      </c>
      <c r="V27">
        <v>25121892.514276236</v>
      </c>
      <c r="W27">
        <v>25370340.849170271</v>
      </c>
    </row>
    <row r="28" spans="1:23" x14ac:dyDescent="0.25">
      <c r="A28" s="22" t="s">
        <v>150</v>
      </c>
      <c r="B28" s="2">
        <v>37323495.417307734</v>
      </c>
      <c r="C28" s="2">
        <v>40036611.962156288</v>
      </c>
      <c r="D28" s="2">
        <v>40678717.472993106</v>
      </c>
      <c r="E28" s="2">
        <v>39169991.848095685</v>
      </c>
      <c r="F28" s="2">
        <v>39278958.258423954</v>
      </c>
      <c r="G28" s="2">
        <v>37802230.608328171</v>
      </c>
      <c r="H28" s="2">
        <v>38540594.433376059</v>
      </c>
      <c r="I28" s="2">
        <v>38171412.520852119</v>
      </c>
      <c r="J28" s="2">
        <v>38356003.477114089</v>
      </c>
      <c r="K28" s="2">
        <v>38263707.998983108</v>
      </c>
      <c r="M28" t="s">
        <v>141</v>
      </c>
      <c r="N28">
        <v>7997891.8751373701</v>
      </c>
      <c r="O28">
        <v>8579273.9918906316</v>
      </c>
      <c r="P28">
        <v>8716868.0299270917</v>
      </c>
      <c r="Q28">
        <v>8393569.6817347892</v>
      </c>
      <c r="R28">
        <v>8416919.6268051323</v>
      </c>
      <c r="S28">
        <v>8100477.9874988934</v>
      </c>
      <c r="T28">
        <v>8258698.8071520114</v>
      </c>
      <c r="U28">
        <v>8179588.3973254524</v>
      </c>
      <c r="V28">
        <v>8219143.6022387315</v>
      </c>
      <c r="W28">
        <v>8199365.9997820929</v>
      </c>
    </row>
    <row r="29" spans="1:23" x14ac:dyDescent="0.25">
      <c r="A29" s="22" t="s">
        <v>150</v>
      </c>
      <c r="B29" s="2">
        <v>2418084.364583971</v>
      </c>
      <c r="C29" s="2">
        <v>6209872.5667232042</v>
      </c>
      <c r="D29" s="2">
        <v>2871457.5014351192</v>
      </c>
      <c r="E29" s="2">
        <v>3485962.5853742929</v>
      </c>
      <c r="F29" s="2">
        <v>3656898.4127700785</v>
      </c>
      <c r="G29" s="2">
        <v>3427685.9273066977</v>
      </c>
      <c r="H29" s="2">
        <v>3253871.3244933011</v>
      </c>
      <c r="I29" s="2">
        <v>3407584.9481842094</v>
      </c>
      <c r="J29" s="2">
        <v>3581123.7935296642</v>
      </c>
      <c r="K29" s="2">
        <v>3749479.9648090904</v>
      </c>
      <c r="M29" t="s">
        <v>142</v>
      </c>
      <c r="N29">
        <v>36032012.562801763</v>
      </c>
      <c r="O29">
        <v>39544946.21275717</v>
      </c>
      <c r="P29">
        <v>40485720.550245494</v>
      </c>
      <c r="Q29">
        <v>40235381.965735994</v>
      </c>
      <c r="R29">
        <v>41059163.190862946</v>
      </c>
      <c r="S29">
        <v>40529553.648253843</v>
      </c>
      <c r="T29">
        <v>41313535.29234083</v>
      </c>
      <c r="U29">
        <v>40905294.299509071</v>
      </c>
      <c r="V29">
        <v>41185200.154118828</v>
      </c>
      <c r="W29">
        <v>41263765.477263942</v>
      </c>
    </row>
    <row r="30" spans="1:23" x14ac:dyDescent="0.25">
      <c r="A30" s="22" t="s">
        <v>150</v>
      </c>
      <c r="B30" s="8">
        <v>1182593.2999426399</v>
      </c>
      <c r="C30" s="8">
        <v>1121818.3175007319</v>
      </c>
      <c r="D30" s="8">
        <v>1123801.0412993857</v>
      </c>
      <c r="E30" s="8">
        <v>1125956.053252561</v>
      </c>
      <c r="F30" s="8">
        <v>476441.05243137258</v>
      </c>
      <c r="G30" s="8">
        <v>483718.31529411772</v>
      </c>
      <c r="H30" s="8">
        <v>490753.26835294126</v>
      </c>
      <c r="I30" s="8">
        <v>497250.79325490195</v>
      </c>
      <c r="J30" s="8">
        <v>503546.85129411775</v>
      </c>
      <c r="K30" s="8">
        <v>508853.91062745103</v>
      </c>
      <c r="M30" t="s">
        <v>143</v>
      </c>
      <c r="N30">
        <v>8377904.6847486729</v>
      </c>
      <c r="O30">
        <v>11191096.71508969</v>
      </c>
      <c r="P30">
        <v>13081825.814145755</v>
      </c>
      <c r="Q30">
        <v>13031940.458758438</v>
      </c>
      <c r="R30">
        <v>13009160.213493448</v>
      </c>
      <c r="S30">
        <v>12819376.897534715</v>
      </c>
      <c r="T30">
        <v>13053770.90720127</v>
      </c>
      <c r="U30">
        <v>12851624.855533762</v>
      </c>
      <c r="V30">
        <v>13080727.760506803</v>
      </c>
      <c r="W30">
        <v>13295597.582407426</v>
      </c>
    </row>
    <row r="31" spans="1:23" x14ac:dyDescent="0.25">
      <c r="A31" s="22" t="s">
        <v>150</v>
      </c>
      <c r="B31" s="8">
        <v>40103001.4149452</v>
      </c>
      <c r="C31" s="8">
        <v>43759643.933303818</v>
      </c>
      <c r="D31" s="8">
        <v>44050465.581387937</v>
      </c>
      <c r="E31" s="8">
        <v>41548790.167628273</v>
      </c>
      <c r="F31" s="8">
        <v>41964561.517420478</v>
      </c>
      <c r="G31" s="8">
        <v>41612786.453125373</v>
      </c>
      <c r="H31" s="8">
        <v>42125764.093968019</v>
      </c>
      <c r="I31" s="8">
        <v>41756274.472872764</v>
      </c>
      <c r="J31" s="8">
        <v>42340610.458424389</v>
      </c>
      <c r="K31" s="8">
        <v>42759754.283075638</v>
      </c>
      <c r="M31" t="s">
        <v>144</v>
      </c>
      <c r="N31">
        <v>160135878.43240571</v>
      </c>
      <c r="O31">
        <v>140828237.3645702</v>
      </c>
      <c r="P31">
        <v>154803230.3623794</v>
      </c>
      <c r="Q31">
        <v>143849213.94824648</v>
      </c>
      <c r="R31">
        <v>147498236.03168866</v>
      </c>
      <c r="S31">
        <v>171176559.18060732</v>
      </c>
      <c r="T31">
        <v>139669000.86808005</v>
      </c>
      <c r="U31">
        <v>172880234.67100769</v>
      </c>
      <c r="V31">
        <v>149286626.99685669</v>
      </c>
      <c r="W31">
        <v>158370575.61266673</v>
      </c>
    </row>
    <row r="32" spans="1:23" x14ac:dyDescent="0.25">
      <c r="A32" s="22" t="s">
        <v>150</v>
      </c>
      <c r="B32" s="8">
        <v>1160417.5315526319</v>
      </c>
      <c r="C32" s="8">
        <v>1167200.332122704</v>
      </c>
      <c r="D32" s="8">
        <v>1185178.1711000004</v>
      </c>
      <c r="E32" s="8">
        <v>1134047.7546508776</v>
      </c>
      <c r="F32" s="8">
        <v>1148677.821956347</v>
      </c>
      <c r="G32" s="8">
        <v>1162859.3552665638</v>
      </c>
      <c r="H32" s="8">
        <v>1102214.7521953564</v>
      </c>
      <c r="I32" s="8">
        <v>1109697.5520813211</v>
      </c>
      <c r="J32" s="8">
        <v>1119154.5902649125</v>
      </c>
      <c r="K32" s="8">
        <v>1129488.2923448917</v>
      </c>
      <c r="M32" t="s">
        <v>145</v>
      </c>
      <c r="N32">
        <v>30581.467053209944</v>
      </c>
      <c r="O32">
        <v>25617.592647484089</v>
      </c>
      <c r="P32">
        <v>20774.27764459225</v>
      </c>
      <c r="Q32">
        <v>116.82515326778481</v>
      </c>
      <c r="R32">
        <v>124.7355754771544</v>
      </c>
      <c r="S32">
        <v>132.92279063042221</v>
      </c>
      <c r="T32">
        <v>128.82918305378831</v>
      </c>
      <c r="U32">
        <v>130.87598684210525</v>
      </c>
      <c r="V32">
        <v>129.85258494794678</v>
      </c>
      <c r="W32">
        <v>130.36428589502603</v>
      </c>
    </row>
    <row r="33" spans="1:23" x14ac:dyDescent="0.25">
      <c r="A33" s="22" t="s">
        <v>150</v>
      </c>
      <c r="B33" s="2">
        <v>34449938.096290179</v>
      </c>
      <c r="C33" s="2">
        <v>37639153.672595389</v>
      </c>
      <c r="D33" s="2">
        <v>38263978.088782273</v>
      </c>
      <c r="E33" s="2">
        <v>36503353.816491373</v>
      </c>
      <c r="F33" s="2">
        <v>36541533.150385894</v>
      </c>
      <c r="G33" s="2">
        <v>35951523.034821615</v>
      </c>
      <c r="H33" s="2">
        <v>36365996.304737784</v>
      </c>
      <c r="I33" s="2">
        <v>36030623.159898944</v>
      </c>
      <c r="J33" s="2">
        <v>36473022.781925015</v>
      </c>
      <c r="K33" s="2">
        <v>36874089.717532612</v>
      </c>
      <c r="M33" t="s">
        <v>116</v>
      </c>
      <c r="N33">
        <v>173293851.65727848</v>
      </c>
      <c r="O33">
        <v>192138490.62508065</v>
      </c>
      <c r="P33">
        <v>207889037.16289034</v>
      </c>
      <c r="Q33">
        <v>239105950.75953406</v>
      </c>
      <c r="R33">
        <v>260270055.92625776</v>
      </c>
      <c r="S33">
        <v>237068049.66090113</v>
      </c>
      <c r="T33">
        <v>225056838.17316517</v>
      </c>
      <c r="U33">
        <v>219849695.88466766</v>
      </c>
      <c r="V33">
        <v>215519208.61637363</v>
      </c>
      <c r="W33">
        <v>217845404.09308761</v>
      </c>
    </row>
    <row r="34" spans="1:23" x14ac:dyDescent="0.25">
      <c r="A34" t="s">
        <v>151</v>
      </c>
      <c r="B34" s="2">
        <v>37700571.081369027</v>
      </c>
      <c r="C34" s="2">
        <v>50359935.217903607</v>
      </c>
      <c r="D34" s="2">
        <v>58868216.163655899</v>
      </c>
      <c r="E34" s="2">
        <v>58643732.064412974</v>
      </c>
      <c r="F34" s="2">
        <v>58541220.960720517</v>
      </c>
      <c r="G34" s="2">
        <v>57687196.038906217</v>
      </c>
      <c r="H34" s="2">
        <v>58741969.082405709</v>
      </c>
      <c r="I34" s="2">
        <v>57832311.849901937</v>
      </c>
      <c r="J34" s="2">
        <v>58863274.922280617</v>
      </c>
      <c r="K34" s="2">
        <v>59830189.120833419</v>
      </c>
      <c r="M34" t="s">
        <v>146</v>
      </c>
      <c r="N34">
        <v>7997891.8751373701</v>
      </c>
      <c r="O34">
        <v>8579273.9918906316</v>
      </c>
      <c r="P34">
        <v>8716868.0299270917</v>
      </c>
      <c r="Q34">
        <v>8393569.6817347892</v>
      </c>
      <c r="R34">
        <v>8416919.6268051323</v>
      </c>
      <c r="S34">
        <v>8100477.9874988934</v>
      </c>
      <c r="T34">
        <v>8258698.8071520114</v>
      </c>
      <c r="U34">
        <v>8179588.3973254524</v>
      </c>
      <c r="V34">
        <v>8219143.6022387315</v>
      </c>
      <c r="W34">
        <v>8199365.9997820929</v>
      </c>
    </row>
    <row r="35" spans="1:23" x14ac:dyDescent="0.25">
      <c r="A35" t="s">
        <v>151</v>
      </c>
      <c r="B35" s="2">
        <v>66649098.959478103</v>
      </c>
      <c r="C35" s="2">
        <v>71493949.932421952</v>
      </c>
      <c r="D35" s="2">
        <v>72640566.916059121</v>
      </c>
      <c r="E35" s="2">
        <v>69946414.014456585</v>
      </c>
      <c r="F35" s="2">
        <v>70140996.890042782</v>
      </c>
      <c r="G35" s="2">
        <v>67503983.229157463</v>
      </c>
      <c r="H35" s="2">
        <v>68822490.059600115</v>
      </c>
      <c r="I35" s="2">
        <v>68163236.644378781</v>
      </c>
      <c r="J35" s="2">
        <v>68492863.351989448</v>
      </c>
      <c r="K35" s="2">
        <v>68328049.998184115</v>
      </c>
      <c r="M35" t="s">
        <v>154</v>
      </c>
      <c r="N35">
        <v>0</v>
      </c>
      <c r="O35">
        <v>0</v>
      </c>
      <c r="P35">
        <v>0</v>
      </c>
      <c r="Q35">
        <v>0</v>
      </c>
      <c r="R35">
        <v>0</v>
      </c>
      <c r="S35">
        <v>1764648.3745625152</v>
      </c>
      <c r="T35">
        <v>1151917.4911417167</v>
      </c>
      <c r="U35">
        <v>1155502.7508332531</v>
      </c>
      <c r="V35">
        <v>919921.8236380181</v>
      </c>
      <c r="W35">
        <v>955596.68176143104</v>
      </c>
    </row>
    <row r="36" spans="1:23" x14ac:dyDescent="0.25">
      <c r="A36" t="s">
        <v>151</v>
      </c>
      <c r="B36" s="2">
        <v>254845.55877674953</v>
      </c>
      <c r="C36" s="2">
        <v>213479.9387290341</v>
      </c>
      <c r="D36" s="2">
        <v>173118.98037160208</v>
      </c>
      <c r="E36" s="2">
        <v>973.54294389820689</v>
      </c>
      <c r="F36" s="2">
        <v>1039.4631289762867</v>
      </c>
      <c r="G36" s="2">
        <v>1107.689921920185</v>
      </c>
      <c r="H36" s="2">
        <v>1073.576525448236</v>
      </c>
      <c r="I36" s="2">
        <v>1090.6332236842106</v>
      </c>
      <c r="J36" s="2">
        <v>1082.1048745662231</v>
      </c>
      <c r="K36" s="2">
        <v>1086.3690491252169</v>
      </c>
      <c r="M36" t="s">
        <v>147</v>
      </c>
      <c r="N36">
        <v>60572261.860568382</v>
      </c>
      <c r="O36">
        <v>74554979.679337129</v>
      </c>
      <c r="P36">
        <v>82986190.40571858</v>
      </c>
      <c r="Q36">
        <v>81271974.99270694</v>
      </c>
      <c r="R36">
        <v>81103515.228268862</v>
      </c>
      <c r="S36">
        <v>79796635.075730667</v>
      </c>
      <c r="T36">
        <v>81074435.116735086</v>
      </c>
      <c r="U36">
        <v>79905506.486708879</v>
      </c>
      <c r="V36">
        <v>81169939.036446929</v>
      </c>
      <c r="W36">
        <v>82304159.225267321</v>
      </c>
    </row>
    <row r="37" spans="1:23" x14ac:dyDescent="0.25">
      <c r="A37" s="2" t="s">
        <v>152</v>
      </c>
      <c r="B37" s="2">
        <v>16597272.402819633</v>
      </c>
      <c r="C37" s="2">
        <v>16963110.169857033</v>
      </c>
      <c r="D37" s="2">
        <v>16427343.792467473</v>
      </c>
      <c r="E37" s="2">
        <v>16097767.423592251</v>
      </c>
      <c r="F37" s="2">
        <v>14994436.747084863</v>
      </c>
      <c r="G37" s="2">
        <v>10324124.564076139</v>
      </c>
      <c r="H37" s="2">
        <v>11881790.556747338</v>
      </c>
      <c r="I37" s="2">
        <v>5676134.7189744245</v>
      </c>
      <c r="J37" s="2">
        <v>6828501.9608981358</v>
      </c>
      <c r="K37" s="2">
        <v>8267789.3288458008</v>
      </c>
      <c r="M37" t="s">
        <v>148</v>
      </c>
      <c r="N37">
        <v>3107161.590764272</v>
      </c>
      <c r="O37">
        <v>3073063.8865647642</v>
      </c>
      <c r="P37">
        <v>4493450.7185225328</v>
      </c>
      <c r="Q37">
        <v>11920825.209623842</v>
      </c>
      <c r="R37">
        <v>15164280.851237595</v>
      </c>
      <c r="S37">
        <v>10587890.24737509</v>
      </c>
      <c r="T37">
        <v>6911504.9468502989</v>
      </c>
      <c r="U37">
        <v>6933016.5049995175</v>
      </c>
      <c r="V37">
        <v>5519530.9418281084</v>
      </c>
      <c r="W37">
        <v>5733580.0905685853</v>
      </c>
    </row>
    <row r="38" spans="1:23" x14ac:dyDescent="0.25">
      <c r="A38" s="2" t="s">
        <v>152</v>
      </c>
      <c r="B38" s="2">
        <v>10881379.640627872</v>
      </c>
      <c r="C38" s="2">
        <v>27944426.550254427</v>
      </c>
      <c r="D38" s="2">
        <v>12921558.75645804</v>
      </c>
      <c r="E38" s="2">
        <v>15686831.634184323</v>
      </c>
      <c r="F38" s="2">
        <v>16456042.857465358</v>
      </c>
      <c r="G38" s="2">
        <v>15424586.672880145</v>
      </c>
      <c r="H38" s="2">
        <v>14642420.96021986</v>
      </c>
      <c r="I38" s="2">
        <v>15334132.266828949</v>
      </c>
      <c r="J38" s="2">
        <v>16115057.070883494</v>
      </c>
      <c r="K38" s="2">
        <v>16872659.841640912</v>
      </c>
      <c r="M38" t="s">
        <v>149</v>
      </c>
      <c r="N38">
        <v>20506695.289599404</v>
      </c>
      <c r="O38">
        <v>22193075.895643339</v>
      </c>
      <c r="P38">
        <v>22555055.874792963</v>
      </c>
      <c r="Q38">
        <v>21620955.904167734</v>
      </c>
      <c r="R38">
        <v>21662997.545374244</v>
      </c>
      <c r="S38">
        <v>21072501.04089994</v>
      </c>
      <c r="T38">
        <v>21401883.068032525</v>
      </c>
      <c r="U38">
        <v>21200581.62307173</v>
      </c>
      <c r="V38">
        <v>21379721.788296886</v>
      </c>
      <c r="W38">
        <v>21467942.204718776</v>
      </c>
    </row>
    <row r="39" spans="1:23" x14ac:dyDescent="0.25">
      <c r="A39" s="2" t="s">
        <v>152</v>
      </c>
      <c r="B39" s="2">
        <v>215902618.06959575</v>
      </c>
      <c r="C39" s="2">
        <v>148192307.46351206</v>
      </c>
      <c r="D39" s="2">
        <v>181724145.65089503</v>
      </c>
      <c r="E39" s="2">
        <v>163990541.94157171</v>
      </c>
      <c r="F39" s="2">
        <v>174538937.65978968</v>
      </c>
      <c r="G39" s="2">
        <v>241357744.3884052</v>
      </c>
      <c r="H39" s="2">
        <v>156690234.01372632</v>
      </c>
      <c r="I39" s="2">
        <v>245557787.33634999</v>
      </c>
      <c r="J39" s="2">
        <v>181748862.08167243</v>
      </c>
      <c r="K39" s="2">
        <v>203910767.49005172</v>
      </c>
      <c r="M39" t="s">
        <v>156</v>
      </c>
      <c r="N39">
        <v>5767834.4456383651</v>
      </c>
      <c r="O39">
        <v>6707468.6806138624</v>
      </c>
      <c r="P39">
        <v>7502674.3202074906</v>
      </c>
      <c r="Q39">
        <v>7386922.7086069919</v>
      </c>
      <c r="R39">
        <v>7927126.1505347984</v>
      </c>
      <c r="S39">
        <v>7859257.8224115577</v>
      </c>
      <c r="T39">
        <v>7972768.3058819221</v>
      </c>
      <c r="U39">
        <v>7795732.456152847</v>
      </c>
      <c r="V39">
        <v>7846990.0386732519</v>
      </c>
      <c r="W39">
        <v>7899706.834257707</v>
      </c>
    </row>
    <row r="40" spans="1:23" x14ac:dyDescent="0.25">
      <c r="A40" s="2" t="s">
        <v>152</v>
      </c>
      <c r="B40" s="8">
        <v>5321669.8497418789</v>
      </c>
      <c r="C40" s="8">
        <v>5048182.4287532931</v>
      </c>
      <c r="D40" s="8">
        <v>5057104.6858472349</v>
      </c>
      <c r="E40" s="8">
        <v>5066802.2396365236</v>
      </c>
      <c r="F40" s="8">
        <v>2143984.7359411763</v>
      </c>
      <c r="G40" s="8">
        <v>2176732.4188235295</v>
      </c>
      <c r="H40" s="8">
        <v>2208389.7075882354</v>
      </c>
      <c r="I40" s="8">
        <v>2237628.5696470584</v>
      </c>
      <c r="J40" s="8">
        <v>2265960.8308235295</v>
      </c>
      <c r="K40" s="8">
        <v>2289842.5978235295</v>
      </c>
      <c r="M40" t="s">
        <v>150</v>
      </c>
      <c r="N40">
        <v>116637530.12462234</v>
      </c>
      <c r="O40">
        <v>129934300.78440213</v>
      </c>
      <c r="P40">
        <v>128173597.85699782</v>
      </c>
      <c r="Q40">
        <v>122968102.22549307</v>
      </c>
      <c r="R40">
        <v>123067070.21338814</v>
      </c>
      <c r="S40">
        <v>120440803.69414254</v>
      </c>
      <c r="T40">
        <v>121879194.17712346</v>
      </c>
      <c r="U40">
        <v>120972843.44714424</v>
      </c>
      <c r="V40">
        <v>122373461.9525522</v>
      </c>
      <c r="W40">
        <v>123285374.16737279</v>
      </c>
    </row>
    <row r="41" spans="1:23" x14ac:dyDescent="0.25">
      <c r="A41" s="2" t="s">
        <v>152</v>
      </c>
      <c r="B41" s="8">
        <v>180463506.36725339</v>
      </c>
      <c r="C41" s="8">
        <v>196918397.69986716</v>
      </c>
      <c r="D41" s="8">
        <v>198227095.11624569</v>
      </c>
      <c r="E41" s="8">
        <v>186969555.75432724</v>
      </c>
      <c r="F41" s="8">
        <v>188840526.82839212</v>
      </c>
      <c r="G41" s="8">
        <v>187257539.03906417</v>
      </c>
      <c r="H41" s="8">
        <v>189565938.42285609</v>
      </c>
      <c r="I41" s="8">
        <v>187903235.12792742</v>
      </c>
      <c r="J41" s="8">
        <v>190532747.06290975</v>
      </c>
      <c r="K41" s="8">
        <v>192418894.27384037</v>
      </c>
      <c r="M41" t="s">
        <v>151</v>
      </c>
      <c r="N41">
        <v>104604515.59962387</v>
      </c>
      <c r="O41">
        <v>122067365.0890546</v>
      </c>
      <c r="P41">
        <v>131681902.06008662</v>
      </c>
      <c r="Q41">
        <v>128591119.62181345</v>
      </c>
      <c r="R41">
        <v>128683257.31389226</v>
      </c>
      <c r="S41">
        <v>125192286.95798559</v>
      </c>
      <c r="T41">
        <v>127565532.71853128</v>
      </c>
      <c r="U41">
        <v>125996639.12750441</v>
      </c>
      <c r="V41">
        <v>127357220.37914462</v>
      </c>
      <c r="W41">
        <v>128159325.48806667</v>
      </c>
    </row>
    <row r="42" spans="1:23" x14ac:dyDescent="0.25">
      <c r="A42" s="2" t="s">
        <v>152</v>
      </c>
      <c r="B42" s="8">
        <v>5221878.8919868432</v>
      </c>
      <c r="C42" s="8">
        <v>5252401.4945521681</v>
      </c>
      <c r="D42" s="8">
        <v>5333301.7699500006</v>
      </c>
      <c r="E42" s="8">
        <v>5103214.8959289482</v>
      </c>
      <c r="F42" s="8">
        <v>5169050.1988035608</v>
      </c>
      <c r="G42" s="8">
        <v>5232867.0986995362</v>
      </c>
      <c r="H42" s="8">
        <v>4959966.3848791029</v>
      </c>
      <c r="I42" s="8">
        <v>4993638.9843659448</v>
      </c>
      <c r="J42" s="8">
        <v>5036195.6561921053</v>
      </c>
      <c r="K42" s="8">
        <v>5082697.3155520121</v>
      </c>
      <c r="M42" t="s">
        <v>152</v>
      </c>
      <c r="N42">
        <v>1074070882.6812479</v>
      </c>
      <c r="O42">
        <v>1109716035.8583312</v>
      </c>
      <c r="P42">
        <v>1159989115.601326</v>
      </c>
      <c r="Q42">
        <v>1115778899.6594408</v>
      </c>
      <c r="R42">
        <v>1141615418.115515</v>
      </c>
      <c r="S42">
        <v>1191454615.3758273</v>
      </c>
      <c r="T42">
        <v>1120381970.2281682</v>
      </c>
      <c r="U42">
        <v>1192524976.6888795</v>
      </c>
      <c r="V42">
        <v>1139223052.509228</v>
      </c>
      <c r="W42">
        <v>1169589562.8925073</v>
      </c>
    </row>
    <row r="43" spans="1:23" x14ac:dyDescent="0.25">
      <c r="A43" s="2" t="s">
        <v>152</v>
      </c>
      <c r="B43" s="8">
        <v>49429341.382163428</v>
      </c>
      <c r="C43" s="8">
        <v>52105624.091805495</v>
      </c>
      <c r="D43" s="8">
        <v>52446432.650830671</v>
      </c>
      <c r="E43" s="8">
        <v>49348552.498364091</v>
      </c>
      <c r="F43" s="8">
        <v>48207032.746656545</v>
      </c>
      <c r="G43" s="8">
        <v>46198869.803991832</v>
      </c>
      <c r="H43" s="8">
        <v>46293909.893663786</v>
      </c>
      <c r="I43" s="8">
        <v>46115024.455499999</v>
      </c>
      <c r="J43" s="8">
        <v>45999931.266413793</v>
      </c>
      <c r="K43" s="8">
        <v>45878589.764301717</v>
      </c>
      <c r="M43" t="s">
        <v>153</v>
      </c>
      <c r="N43">
        <v>517860.26512737875</v>
      </c>
      <c r="O43">
        <v>512177.31442746078</v>
      </c>
      <c r="P43">
        <v>748908.45308708877</v>
      </c>
      <c r="Q43">
        <v>1986804.2016039738</v>
      </c>
      <c r="R43">
        <v>2527380.1418729327</v>
      </c>
      <c r="S43">
        <v>1764648.3745625152</v>
      </c>
      <c r="T43">
        <v>1151917.4911417165</v>
      </c>
      <c r="U43">
        <v>1155502.7508332529</v>
      </c>
      <c r="V43">
        <v>919921.82363801799</v>
      </c>
      <c r="W43">
        <v>955596.68176143093</v>
      </c>
    </row>
    <row r="44" spans="1:23" x14ac:dyDescent="0.25">
      <c r="A44" s="2" t="s">
        <v>152</v>
      </c>
      <c r="B44" s="8">
        <v>5826576.9305263162</v>
      </c>
      <c r="C44" s="8">
        <v>5816636.375</v>
      </c>
      <c r="D44" s="8">
        <v>5854584.8755263165</v>
      </c>
      <c r="E44" s="8">
        <v>5896821.9957894739</v>
      </c>
      <c r="F44" s="8">
        <v>5926170.5989473686</v>
      </c>
      <c r="G44" s="8">
        <v>5954082.8915789481</v>
      </c>
      <c r="H44" s="8">
        <v>5991783.4488157891</v>
      </c>
      <c r="I44" s="8">
        <v>6035049.5778947361</v>
      </c>
      <c r="J44" s="8">
        <v>6086680.1910526324</v>
      </c>
      <c r="K44" s="8">
        <v>6145863.4007894751</v>
      </c>
      <c r="M44" t="s">
        <v>122</v>
      </c>
      <c r="N44">
        <v>1816472475.5797007</v>
      </c>
      <c r="O44">
        <v>1912745570.2308939</v>
      </c>
      <c r="P44">
        <v>2017959069.5498531</v>
      </c>
      <c r="Q44">
        <v>1989116855.0899386</v>
      </c>
      <c r="R44">
        <v>2044843754.0271316</v>
      </c>
      <c r="S44">
        <v>2081676617.2369916</v>
      </c>
      <c r="T44">
        <v>1969664584.2255492</v>
      </c>
      <c r="U44">
        <v>2064542880.9683323</v>
      </c>
      <c r="V44">
        <v>1986962925.033401</v>
      </c>
      <c r="W44">
        <v>2032838786.6183393</v>
      </c>
    </row>
    <row r="45" spans="1:23" x14ac:dyDescent="0.25">
      <c r="A45" s="2" t="s">
        <v>152</v>
      </c>
      <c r="B45" s="2">
        <v>155024721.43330583</v>
      </c>
      <c r="C45" s="2">
        <v>169376191.52667928</v>
      </c>
      <c r="D45" s="2">
        <v>172187901.39952025</v>
      </c>
      <c r="E45" s="2">
        <v>164265092.17421117</v>
      </c>
      <c r="F45" s="2">
        <v>164436899.17673653</v>
      </c>
      <c r="G45" s="2">
        <v>161781853.65669727</v>
      </c>
      <c r="H45" s="2">
        <v>163646983.37132004</v>
      </c>
      <c r="I45" s="2">
        <v>162137804.21954525</v>
      </c>
      <c r="J45" s="2">
        <v>164128602.51866257</v>
      </c>
      <c r="K45" s="2">
        <v>165933403.72889677</v>
      </c>
      <c r="N45" s="2">
        <v>1</v>
      </c>
      <c r="O45" s="2">
        <v>2</v>
      </c>
      <c r="P45" s="2">
        <v>3</v>
      </c>
      <c r="Q45" s="2">
        <v>4</v>
      </c>
      <c r="R45" s="2">
        <v>5</v>
      </c>
      <c r="S45" s="2">
        <v>6</v>
      </c>
      <c r="T45" s="2">
        <v>7</v>
      </c>
      <c r="U45" s="2">
        <v>8</v>
      </c>
      <c r="V45" s="2">
        <v>9</v>
      </c>
      <c r="W45" s="2">
        <v>10</v>
      </c>
    </row>
    <row r="46" spans="1:23" x14ac:dyDescent="0.25">
      <c r="A46" s="2" t="s">
        <v>152</v>
      </c>
      <c r="B46" s="2">
        <v>167955729.37788481</v>
      </c>
      <c r="C46" s="2">
        <v>180164753.82970333</v>
      </c>
      <c r="D46" s="2">
        <v>183054228.62846896</v>
      </c>
      <c r="E46" s="2">
        <v>176264963.3164306</v>
      </c>
      <c r="F46" s="2">
        <v>176755312.16290781</v>
      </c>
      <c r="G46" s="2">
        <v>170110037.7374768</v>
      </c>
      <c r="H46" s="2">
        <v>173432674.95019227</v>
      </c>
      <c r="I46" s="2">
        <v>171771356.34383455</v>
      </c>
      <c r="J46" s="2">
        <v>172602015.6470134</v>
      </c>
      <c r="K46" s="2">
        <v>172186685.99542397</v>
      </c>
      <c r="M46" t="s">
        <v>123</v>
      </c>
      <c r="N46" s="39">
        <f>+ROUND(N26/100000,0)*100000</f>
        <v>12600000</v>
      </c>
      <c r="O46" s="39">
        <f t="shared" ref="O46:W46" si="0">+ROUND(O26/100000,0)*100000</f>
        <v>16800000</v>
      </c>
      <c r="P46" s="39">
        <f t="shared" si="0"/>
        <v>19600000</v>
      </c>
      <c r="Q46" s="39">
        <f t="shared" si="0"/>
        <v>19500000</v>
      </c>
      <c r="R46" s="39">
        <f t="shared" si="0"/>
        <v>19500000</v>
      </c>
      <c r="S46" s="39">
        <f t="shared" si="0"/>
        <v>19200000</v>
      </c>
      <c r="T46" s="39">
        <f t="shared" si="0"/>
        <v>19600000</v>
      </c>
      <c r="U46" s="39">
        <f t="shared" si="0"/>
        <v>19300000</v>
      </c>
      <c r="V46" s="39">
        <f t="shared" si="0"/>
        <v>19600000</v>
      </c>
      <c r="W46" s="39">
        <f t="shared" si="0"/>
        <v>19900000</v>
      </c>
    </row>
    <row r="47" spans="1:23" x14ac:dyDescent="0.25">
      <c r="A47" s="2" t="s">
        <v>152</v>
      </c>
      <c r="B47" s="2">
        <v>58077843.149087004</v>
      </c>
      <c r="C47" s="2">
        <v>65224726.922775388</v>
      </c>
      <c r="D47" s="2">
        <v>69250834.899922282</v>
      </c>
      <c r="E47" s="2">
        <v>65245586.442465127</v>
      </c>
      <c r="F47" s="2">
        <v>64464736.520837106</v>
      </c>
      <c r="G47" s="2">
        <v>62806275.292338207</v>
      </c>
      <c r="H47" s="2">
        <v>63620409.596128806</v>
      </c>
      <c r="I47" s="2">
        <v>62291876.413973682</v>
      </c>
      <c r="J47" s="2">
        <v>63041742.937392697</v>
      </c>
      <c r="K47" s="2">
        <v>63400526.324249454</v>
      </c>
      <c r="M47" t="s">
        <v>140</v>
      </c>
      <c r="N47" s="39">
        <f t="shared" ref="N47:W47" si="1">+ROUND(N27/100000,0)*100000</f>
        <v>24300000</v>
      </c>
      <c r="O47" s="39">
        <f t="shared" si="1"/>
        <v>26300000</v>
      </c>
      <c r="P47" s="39">
        <f t="shared" si="1"/>
        <v>26500000</v>
      </c>
      <c r="Q47" s="39">
        <f t="shared" si="1"/>
        <v>25000000</v>
      </c>
      <c r="R47" s="39">
        <f t="shared" si="1"/>
        <v>24900000</v>
      </c>
      <c r="S47" s="39">
        <f t="shared" si="1"/>
        <v>24700000</v>
      </c>
      <c r="T47" s="39">
        <f t="shared" si="1"/>
        <v>25000000</v>
      </c>
      <c r="U47" s="39">
        <f t="shared" si="1"/>
        <v>24800000</v>
      </c>
      <c r="V47" s="39">
        <f t="shared" si="1"/>
        <v>25100000</v>
      </c>
      <c r="W47" s="39">
        <f t="shared" si="1"/>
        <v>25400000</v>
      </c>
    </row>
    <row r="48" spans="1:23" x14ac:dyDescent="0.25">
      <c r="A48" s="2" t="s">
        <v>152</v>
      </c>
      <c r="B48" s="2">
        <v>642210.80811740889</v>
      </c>
      <c r="C48" s="2">
        <v>537969.44559716596</v>
      </c>
      <c r="D48" s="2">
        <v>436259.83053643728</v>
      </c>
      <c r="E48" s="2">
        <v>2453.3282186234815</v>
      </c>
      <c r="F48" s="2">
        <v>2619.4470850202429</v>
      </c>
      <c r="G48" s="2">
        <v>2791.3786032388666</v>
      </c>
      <c r="H48" s="2">
        <v>2705.4128441295547</v>
      </c>
      <c r="I48" s="2">
        <v>2748.3957236842107</v>
      </c>
      <c r="J48" s="2">
        <v>2726.9042839068825</v>
      </c>
      <c r="K48" s="2">
        <v>2737.650003795547</v>
      </c>
      <c r="M48" t="s">
        <v>141</v>
      </c>
      <c r="N48" s="39">
        <f t="shared" ref="N48:W48" si="2">+ROUND(N28/100000,0)*100000</f>
        <v>8000000</v>
      </c>
      <c r="O48" s="39">
        <f t="shared" si="2"/>
        <v>8600000</v>
      </c>
      <c r="P48" s="39">
        <f t="shared" si="2"/>
        <v>8700000</v>
      </c>
      <c r="Q48" s="39">
        <f t="shared" si="2"/>
        <v>8400000</v>
      </c>
      <c r="R48" s="39">
        <f t="shared" si="2"/>
        <v>8400000</v>
      </c>
      <c r="S48" s="39">
        <f t="shared" si="2"/>
        <v>8100000</v>
      </c>
      <c r="T48" s="39">
        <f t="shared" si="2"/>
        <v>8300000</v>
      </c>
      <c r="U48" s="39">
        <f t="shared" si="2"/>
        <v>8200000</v>
      </c>
      <c r="V48" s="39">
        <f t="shared" si="2"/>
        <v>8200000</v>
      </c>
      <c r="W48" s="39">
        <f t="shared" si="2"/>
        <v>8200000</v>
      </c>
    </row>
    <row r="49" spans="1:23" x14ac:dyDescent="0.25">
      <c r="A49" s="2" t="s">
        <v>152</v>
      </c>
      <c r="B49" s="8">
        <v>81601611.019732162</v>
      </c>
      <c r="C49" s="8">
        <v>95314465.56708321</v>
      </c>
      <c r="D49" s="8">
        <v>99512162.820300162</v>
      </c>
      <c r="E49" s="8">
        <v>106715339.13397409</v>
      </c>
      <c r="F49" s="8">
        <v>113210019.27363713</v>
      </c>
      <c r="G49" s="8">
        <v>117782696.16254944</v>
      </c>
      <c r="H49" s="8">
        <v>120016629.08566597</v>
      </c>
      <c r="I49" s="8">
        <v>118758178.69910409</v>
      </c>
      <c r="J49" s="8">
        <v>120047237.5688912</v>
      </c>
      <c r="K49" s="8">
        <v>121305261.66167584</v>
      </c>
      <c r="M49" t="s">
        <v>142</v>
      </c>
      <c r="N49" s="39">
        <f t="shared" ref="N49:W49" si="3">+ROUND(N29/100000,0)*100000</f>
        <v>36000000</v>
      </c>
      <c r="O49" s="39">
        <f t="shared" si="3"/>
        <v>39500000</v>
      </c>
      <c r="P49" s="39">
        <f t="shared" si="3"/>
        <v>40500000</v>
      </c>
      <c r="Q49" s="39">
        <f t="shared" si="3"/>
        <v>40200000</v>
      </c>
      <c r="R49" s="39">
        <f t="shared" si="3"/>
        <v>41100000</v>
      </c>
      <c r="S49" s="39">
        <f t="shared" si="3"/>
        <v>40500000</v>
      </c>
      <c r="T49" s="39">
        <f t="shared" si="3"/>
        <v>41300000</v>
      </c>
      <c r="U49" s="39">
        <f t="shared" si="3"/>
        <v>40900000</v>
      </c>
      <c r="V49" s="39">
        <f t="shared" si="3"/>
        <v>41200000</v>
      </c>
      <c r="W49" s="39">
        <f t="shared" si="3"/>
        <v>41300000</v>
      </c>
    </row>
    <row r="50" spans="1:23" x14ac:dyDescent="0.25">
      <c r="A50" s="2" t="s">
        <v>152</v>
      </c>
      <c r="B50" s="8">
        <v>121124523.35840566</v>
      </c>
      <c r="C50" s="8">
        <v>140856842.29289109</v>
      </c>
      <c r="D50" s="8">
        <v>157556160.72435731</v>
      </c>
      <c r="E50" s="8">
        <v>155125376.88074681</v>
      </c>
      <c r="F50" s="8">
        <v>166469649.16123077</v>
      </c>
      <c r="G50" s="8">
        <v>165044414.2706427</v>
      </c>
      <c r="H50" s="8">
        <v>167428134.42352036</v>
      </c>
      <c r="I50" s="8">
        <v>163710381.57920977</v>
      </c>
      <c r="J50" s="8">
        <v>164786790.81213829</v>
      </c>
      <c r="K50" s="8">
        <v>165893843.51941183</v>
      </c>
      <c r="M50" t="s">
        <v>143</v>
      </c>
      <c r="N50" s="39">
        <f t="shared" ref="N50:W50" si="4">+ROUND(N30/100000,0)*100000</f>
        <v>8400000</v>
      </c>
      <c r="O50" s="39">
        <f t="shared" si="4"/>
        <v>11200000</v>
      </c>
      <c r="P50" s="39">
        <f t="shared" si="4"/>
        <v>13100000</v>
      </c>
      <c r="Q50" s="39">
        <f t="shared" si="4"/>
        <v>13000000</v>
      </c>
      <c r="R50" s="39">
        <f t="shared" si="4"/>
        <v>13000000</v>
      </c>
      <c r="S50" s="39">
        <f t="shared" si="4"/>
        <v>12800000</v>
      </c>
      <c r="T50" s="39">
        <f t="shared" si="4"/>
        <v>13100000</v>
      </c>
      <c r="U50" s="39">
        <f t="shared" si="4"/>
        <v>12900000</v>
      </c>
      <c r="V50" s="39">
        <f t="shared" si="4"/>
        <v>13100000</v>
      </c>
      <c r="W50" s="39">
        <f t="shared" si="4"/>
        <v>13300000</v>
      </c>
    </row>
    <row r="51" spans="1:23" x14ac:dyDescent="0.25">
      <c r="A51" s="2" t="s">
        <v>153</v>
      </c>
      <c r="B51" s="2">
        <v>517860.26512737875</v>
      </c>
      <c r="C51" s="2">
        <v>512177.31442746078</v>
      </c>
      <c r="D51" s="2">
        <v>748908.45308708877</v>
      </c>
      <c r="E51" s="2">
        <v>1986804.2016039738</v>
      </c>
      <c r="F51" s="2">
        <v>2527380.1418729327</v>
      </c>
      <c r="G51" s="2">
        <v>1764648.3745625152</v>
      </c>
      <c r="H51" s="2">
        <v>1151917.4911417165</v>
      </c>
      <c r="I51" s="2">
        <v>1155502.7508332529</v>
      </c>
      <c r="J51" s="2">
        <v>919921.82363801799</v>
      </c>
      <c r="K51" s="2">
        <v>955596.68176143093</v>
      </c>
      <c r="M51" t="s">
        <v>144</v>
      </c>
      <c r="N51" s="39">
        <f t="shared" ref="N51:W51" si="5">+ROUND(N31/100000,0)*100000</f>
        <v>160100000</v>
      </c>
      <c r="O51" s="39">
        <f t="shared" si="5"/>
        <v>140800000</v>
      </c>
      <c r="P51" s="39">
        <f t="shared" si="5"/>
        <v>154800000</v>
      </c>
      <c r="Q51" s="39">
        <f t="shared" si="5"/>
        <v>143800000</v>
      </c>
      <c r="R51" s="39">
        <f t="shared" si="5"/>
        <v>147500000</v>
      </c>
      <c r="S51" s="39">
        <f t="shared" si="5"/>
        <v>171200000</v>
      </c>
      <c r="T51" s="39">
        <f t="shared" si="5"/>
        <v>139700000</v>
      </c>
      <c r="U51" s="39">
        <f t="shared" si="5"/>
        <v>172900000</v>
      </c>
      <c r="V51" s="39">
        <f t="shared" si="5"/>
        <v>149300000</v>
      </c>
      <c r="W51" s="39">
        <f t="shared" si="5"/>
        <v>158400000</v>
      </c>
    </row>
    <row r="52" spans="1:23" x14ac:dyDescent="0.25">
      <c r="M52" t="s">
        <v>145</v>
      </c>
      <c r="N52" s="39">
        <f t="shared" ref="N52:W52" si="6">+ROUND(N32/100000,0)*100000</f>
        <v>0</v>
      </c>
      <c r="O52" s="39">
        <f t="shared" si="6"/>
        <v>0</v>
      </c>
      <c r="P52" s="39">
        <f t="shared" si="6"/>
        <v>0</v>
      </c>
      <c r="Q52" s="39">
        <f t="shared" si="6"/>
        <v>0</v>
      </c>
      <c r="R52" s="39">
        <f t="shared" si="6"/>
        <v>0</v>
      </c>
      <c r="S52" s="39">
        <f t="shared" si="6"/>
        <v>0</v>
      </c>
      <c r="T52" s="39">
        <f t="shared" si="6"/>
        <v>0</v>
      </c>
      <c r="U52" s="39">
        <f t="shared" si="6"/>
        <v>0</v>
      </c>
      <c r="V52" s="39">
        <f t="shared" si="6"/>
        <v>0</v>
      </c>
      <c r="W52" s="39">
        <f t="shared" si="6"/>
        <v>0</v>
      </c>
    </row>
    <row r="53" spans="1:23" x14ac:dyDescent="0.25">
      <c r="M53" t="s">
        <v>116</v>
      </c>
      <c r="N53" s="39">
        <f t="shared" ref="N53:W53" si="7">+ROUND(N33/100000,0)*100000</f>
        <v>173300000</v>
      </c>
      <c r="O53" s="39">
        <f t="shared" si="7"/>
        <v>192100000</v>
      </c>
      <c r="P53" s="39">
        <f t="shared" si="7"/>
        <v>207900000</v>
      </c>
      <c r="Q53" s="39">
        <f t="shared" si="7"/>
        <v>239100000</v>
      </c>
      <c r="R53" s="39">
        <f t="shared" si="7"/>
        <v>260300000</v>
      </c>
      <c r="S53" s="39">
        <f t="shared" si="7"/>
        <v>237100000</v>
      </c>
      <c r="T53" s="39">
        <f t="shared" si="7"/>
        <v>225100000</v>
      </c>
      <c r="U53" s="39">
        <f t="shared" si="7"/>
        <v>219800000</v>
      </c>
      <c r="V53" s="39">
        <f t="shared" si="7"/>
        <v>215500000</v>
      </c>
      <c r="W53" s="39">
        <f t="shared" si="7"/>
        <v>217800000</v>
      </c>
    </row>
    <row r="54" spans="1:23" x14ac:dyDescent="0.25">
      <c r="M54" t="s">
        <v>146</v>
      </c>
      <c r="N54" s="39">
        <f t="shared" ref="N54:W54" si="8">+ROUND(N34/100000,0)*100000</f>
        <v>8000000</v>
      </c>
      <c r="O54" s="39">
        <f t="shared" si="8"/>
        <v>8600000</v>
      </c>
      <c r="P54" s="39">
        <f t="shared" si="8"/>
        <v>8700000</v>
      </c>
      <c r="Q54" s="39">
        <f t="shared" si="8"/>
        <v>8400000</v>
      </c>
      <c r="R54" s="39">
        <f t="shared" si="8"/>
        <v>8400000</v>
      </c>
      <c r="S54" s="39">
        <f t="shared" si="8"/>
        <v>8100000</v>
      </c>
      <c r="T54" s="39">
        <f t="shared" si="8"/>
        <v>8300000</v>
      </c>
      <c r="U54" s="39">
        <f t="shared" si="8"/>
        <v>8200000</v>
      </c>
      <c r="V54" s="39">
        <f t="shared" si="8"/>
        <v>8200000</v>
      </c>
      <c r="W54" s="39">
        <f t="shared" si="8"/>
        <v>8200000</v>
      </c>
    </row>
    <row r="55" spans="1:23" x14ac:dyDescent="0.25">
      <c r="M55" t="s">
        <v>154</v>
      </c>
      <c r="N55" s="39">
        <f t="shared" ref="N55:W55" si="9">+ROUND(N35/100000,0)*100000</f>
        <v>0</v>
      </c>
      <c r="O55" s="39">
        <f t="shared" si="9"/>
        <v>0</v>
      </c>
      <c r="P55" s="39">
        <f t="shared" si="9"/>
        <v>0</v>
      </c>
      <c r="Q55" s="39">
        <f t="shared" si="9"/>
        <v>0</v>
      </c>
      <c r="R55" s="39">
        <f t="shared" si="9"/>
        <v>0</v>
      </c>
      <c r="S55" s="39">
        <f t="shared" si="9"/>
        <v>1800000</v>
      </c>
      <c r="T55" s="39">
        <f t="shared" si="9"/>
        <v>1200000</v>
      </c>
      <c r="U55" s="39">
        <f t="shared" si="9"/>
        <v>1200000</v>
      </c>
      <c r="V55" s="39">
        <f t="shared" si="9"/>
        <v>900000</v>
      </c>
      <c r="W55" s="39">
        <f t="shared" si="9"/>
        <v>1000000</v>
      </c>
    </row>
    <row r="56" spans="1:23" x14ac:dyDescent="0.25">
      <c r="M56" t="s">
        <v>147</v>
      </c>
      <c r="N56" s="39">
        <f t="shared" ref="N56:W56" si="10">+ROUND(N36/100000,0)*100000</f>
        <v>60600000</v>
      </c>
      <c r="O56" s="39">
        <f t="shared" si="10"/>
        <v>74600000</v>
      </c>
      <c r="P56" s="39">
        <f t="shared" si="10"/>
        <v>83000000</v>
      </c>
      <c r="Q56" s="39">
        <f t="shared" si="10"/>
        <v>81300000</v>
      </c>
      <c r="R56" s="39">
        <f t="shared" si="10"/>
        <v>81100000</v>
      </c>
      <c r="S56" s="39">
        <f t="shared" si="10"/>
        <v>79800000</v>
      </c>
      <c r="T56" s="39">
        <f t="shared" si="10"/>
        <v>81100000</v>
      </c>
      <c r="U56" s="39">
        <f t="shared" si="10"/>
        <v>79900000</v>
      </c>
      <c r="V56" s="39">
        <f t="shared" si="10"/>
        <v>81200000</v>
      </c>
      <c r="W56" s="39">
        <f t="shared" si="10"/>
        <v>82300000</v>
      </c>
    </row>
    <row r="57" spans="1:23" x14ac:dyDescent="0.25">
      <c r="M57" t="s">
        <v>148</v>
      </c>
      <c r="N57" s="39">
        <f t="shared" ref="N57:W57" si="11">+ROUND(N37/100000,0)*100000</f>
        <v>3100000</v>
      </c>
      <c r="O57" s="39">
        <f t="shared" si="11"/>
        <v>3100000</v>
      </c>
      <c r="P57" s="39">
        <f t="shared" si="11"/>
        <v>4500000</v>
      </c>
      <c r="Q57" s="39">
        <f t="shared" si="11"/>
        <v>11900000</v>
      </c>
      <c r="R57" s="39">
        <f t="shared" si="11"/>
        <v>15200000</v>
      </c>
      <c r="S57" s="39">
        <f t="shared" si="11"/>
        <v>10600000</v>
      </c>
      <c r="T57" s="39">
        <f t="shared" si="11"/>
        <v>6900000</v>
      </c>
      <c r="U57" s="39">
        <f t="shared" si="11"/>
        <v>6900000</v>
      </c>
      <c r="V57" s="39">
        <f t="shared" si="11"/>
        <v>5500000</v>
      </c>
      <c r="W57" s="39">
        <f t="shared" si="11"/>
        <v>5700000</v>
      </c>
    </row>
    <row r="58" spans="1:23" x14ac:dyDescent="0.25">
      <c r="M58" t="s">
        <v>149</v>
      </c>
      <c r="N58" s="39">
        <f t="shared" ref="N58:W58" si="12">+ROUND(N38/100000,0)*100000</f>
        <v>20500000</v>
      </c>
      <c r="O58" s="39">
        <f t="shared" si="12"/>
        <v>22200000</v>
      </c>
      <c r="P58" s="39">
        <f t="shared" si="12"/>
        <v>22600000</v>
      </c>
      <c r="Q58" s="39">
        <f t="shared" si="12"/>
        <v>21600000</v>
      </c>
      <c r="R58" s="39">
        <f t="shared" si="12"/>
        <v>21700000</v>
      </c>
      <c r="S58" s="39">
        <f t="shared" si="12"/>
        <v>21100000</v>
      </c>
      <c r="T58" s="39">
        <f t="shared" si="12"/>
        <v>21400000</v>
      </c>
      <c r="U58" s="39">
        <f t="shared" si="12"/>
        <v>21200000</v>
      </c>
      <c r="V58" s="39">
        <f t="shared" si="12"/>
        <v>21400000</v>
      </c>
      <c r="W58" s="39">
        <f t="shared" si="12"/>
        <v>21500000</v>
      </c>
    </row>
    <row r="59" spans="1:23" x14ac:dyDescent="0.25">
      <c r="M59" t="s">
        <v>156</v>
      </c>
      <c r="N59" s="39">
        <f t="shared" ref="N59:W59" si="13">+ROUND(N39/100000,0)*100000</f>
        <v>5800000</v>
      </c>
      <c r="O59" s="39">
        <f t="shared" si="13"/>
        <v>6700000</v>
      </c>
      <c r="P59" s="39">
        <f t="shared" si="13"/>
        <v>7500000</v>
      </c>
      <c r="Q59" s="39">
        <f t="shared" si="13"/>
        <v>7400000</v>
      </c>
      <c r="R59" s="39">
        <f t="shared" si="13"/>
        <v>7900000</v>
      </c>
      <c r="S59" s="39">
        <f t="shared" si="13"/>
        <v>7900000</v>
      </c>
      <c r="T59" s="39">
        <f t="shared" si="13"/>
        <v>8000000</v>
      </c>
      <c r="U59" s="39">
        <f t="shared" si="13"/>
        <v>7800000</v>
      </c>
      <c r="V59" s="39">
        <f t="shared" si="13"/>
        <v>7800000</v>
      </c>
      <c r="W59" s="39">
        <f t="shared" si="13"/>
        <v>7900000</v>
      </c>
    </row>
    <row r="60" spans="1:23" x14ac:dyDescent="0.25">
      <c r="M60" t="s">
        <v>150</v>
      </c>
      <c r="N60" s="39">
        <f t="shared" ref="N60:W60" si="14">+ROUND(N40/100000,0)*100000</f>
        <v>116600000</v>
      </c>
      <c r="O60" s="39">
        <f t="shared" si="14"/>
        <v>129900000</v>
      </c>
      <c r="P60" s="39">
        <f t="shared" si="14"/>
        <v>128200000</v>
      </c>
      <c r="Q60" s="39">
        <f t="shared" si="14"/>
        <v>123000000</v>
      </c>
      <c r="R60" s="39">
        <f t="shared" si="14"/>
        <v>123100000</v>
      </c>
      <c r="S60" s="39">
        <f t="shared" si="14"/>
        <v>120400000</v>
      </c>
      <c r="T60" s="39">
        <f t="shared" si="14"/>
        <v>121900000</v>
      </c>
      <c r="U60" s="39">
        <f t="shared" si="14"/>
        <v>121000000</v>
      </c>
      <c r="V60" s="39">
        <f t="shared" si="14"/>
        <v>122400000</v>
      </c>
      <c r="W60" s="39">
        <f t="shared" si="14"/>
        <v>123300000</v>
      </c>
    </row>
    <row r="61" spans="1:23" x14ac:dyDescent="0.25">
      <c r="M61" t="s">
        <v>151</v>
      </c>
      <c r="N61" s="39">
        <f t="shared" ref="N61:W61" si="15">+ROUND(N41/100000,0)*100000</f>
        <v>104600000</v>
      </c>
      <c r="O61" s="39">
        <f t="shared" si="15"/>
        <v>122100000</v>
      </c>
      <c r="P61" s="39">
        <f t="shared" si="15"/>
        <v>131700000</v>
      </c>
      <c r="Q61" s="39">
        <f t="shared" si="15"/>
        <v>128600000</v>
      </c>
      <c r="R61" s="39">
        <f t="shared" si="15"/>
        <v>128700000</v>
      </c>
      <c r="S61" s="39">
        <f t="shared" si="15"/>
        <v>125200000</v>
      </c>
      <c r="T61" s="39">
        <f t="shared" si="15"/>
        <v>127600000</v>
      </c>
      <c r="U61" s="39">
        <f t="shared" si="15"/>
        <v>126000000</v>
      </c>
      <c r="V61" s="39">
        <f t="shared" si="15"/>
        <v>127400000</v>
      </c>
      <c r="W61" s="39">
        <f t="shared" si="15"/>
        <v>128200000</v>
      </c>
    </row>
    <row r="62" spans="1:23" x14ac:dyDescent="0.25">
      <c r="M62" t="s">
        <v>152</v>
      </c>
      <c r="N62" s="39">
        <f>+ROUND(N42/100000,0)*100000</f>
        <v>1074100000</v>
      </c>
      <c r="O62" s="39">
        <f t="shared" ref="O62:W62" si="16">+ROUND(O42/100000,0)*100000</f>
        <v>1109700000</v>
      </c>
      <c r="P62" s="39">
        <f t="shared" si="16"/>
        <v>1160000000</v>
      </c>
      <c r="Q62" s="39">
        <f t="shared" si="16"/>
        <v>1115800000</v>
      </c>
      <c r="R62" s="39">
        <f t="shared" si="16"/>
        <v>1141600000</v>
      </c>
      <c r="S62" s="39">
        <f t="shared" si="16"/>
        <v>1191500000</v>
      </c>
      <c r="T62" s="39">
        <f t="shared" si="16"/>
        <v>1120400000</v>
      </c>
      <c r="U62" s="39">
        <f t="shared" si="16"/>
        <v>1192500000</v>
      </c>
      <c r="V62" s="39">
        <f t="shared" si="16"/>
        <v>1139200000</v>
      </c>
      <c r="W62" s="39">
        <f t="shared" si="16"/>
        <v>1169600000</v>
      </c>
    </row>
    <row r="63" spans="1:23" x14ac:dyDescent="0.25">
      <c r="M63" t="s">
        <v>153</v>
      </c>
      <c r="N63" s="39">
        <f t="shared" ref="N63:W63" si="17">+ROUND(N43/100000,0)*100000</f>
        <v>500000</v>
      </c>
      <c r="O63" s="39">
        <f t="shared" si="17"/>
        <v>500000</v>
      </c>
      <c r="P63" s="39">
        <f t="shared" si="17"/>
        <v>700000</v>
      </c>
      <c r="Q63" s="39">
        <f t="shared" si="17"/>
        <v>2000000</v>
      </c>
      <c r="R63" s="39">
        <f t="shared" si="17"/>
        <v>2500000</v>
      </c>
      <c r="S63" s="39">
        <f t="shared" si="17"/>
        <v>1800000</v>
      </c>
      <c r="T63" s="39">
        <f t="shared" si="17"/>
        <v>1200000</v>
      </c>
      <c r="U63" s="39">
        <f t="shared" si="17"/>
        <v>1200000</v>
      </c>
      <c r="V63" s="39">
        <f t="shared" si="17"/>
        <v>900000</v>
      </c>
      <c r="W63" s="39">
        <f t="shared" si="17"/>
        <v>1000000</v>
      </c>
    </row>
  </sheetData>
  <pageMargins left="0.7" right="0.7" top="0.75" bottom="0.75" header="0.3" footer="0.3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C77AF-CB50-4854-8654-5465FF2CEF2B}">
  <dimension ref="B2:T19"/>
  <sheetViews>
    <sheetView topLeftCell="B1" workbookViewId="0">
      <selection activeCell="D22" sqref="D22"/>
    </sheetView>
  </sheetViews>
  <sheetFormatPr defaultRowHeight="15" x14ac:dyDescent="0.25"/>
  <cols>
    <col min="2" max="2" width="39.7109375" bestFit="1" customWidth="1"/>
    <col min="3" max="3" width="25.7109375" bestFit="1" customWidth="1"/>
  </cols>
  <sheetData>
    <row r="2" spans="2:20" x14ac:dyDescent="0.25">
      <c r="B2" s="26" t="s">
        <v>84</v>
      </c>
      <c r="C2" s="26" t="s">
        <v>124</v>
      </c>
      <c r="E2" t="s">
        <v>124</v>
      </c>
      <c r="F2" t="s">
        <v>125</v>
      </c>
      <c r="G2" t="s">
        <v>126</v>
      </c>
      <c r="H2" t="s">
        <v>127</v>
      </c>
      <c r="I2" t="s">
        <v>138</v>
      </c>
      <c r="J2" t="s">
        <v>128</v>
      </c>
      <c r="K2" t="s">
        <v>129</v>
      </c>
      <c r="L2" t="s">
        <v>139</v>
      </c>
      <c r="M2" t="s">
        <v>130</v>
      </c>
      <c r="N2" t="s">
        <v>131</v>
      </c>
      <c r="O2" t="s">
        <v>132</v>
      </c>
      <c r="P2" t="s">
        <v>133</v>
      </c>
      <c r="Q2" t="s">
        <v>134</v>
      </c>
      <c r="R2" t="s">
        <v>135</v>
      </c>
      <c r="S2" t="s">
        <v>136</v>
      </c>
      <c r="T2" t="s">
        <v>137</v>
      </c>
    </row>
    <row r="3" spans="2:20" x14ac:dyDescent="0.25">
      <c r="B3" s="26" t="s">
        <v>81</v>
      </c>
      <c r="C3" s="26" t="s">
        <v>125</v>
      </c>
      <c r="E3" t="str">
        <f>+E2&amp;","</f>
        <v>"AJ_Vaccines",</v>
      </c>
      <c r="F3" t="str">
        <f t="shared" ref="F3:T3" si="0">+F2&amp;","</f>
        <v>"BB_NCIPD",</v>
      </c>
      <c r="G3" t="str">
        <f t="shared" si="0"/>
        <v>"Beijing_Institute",</v>
      </c>
      <c r="H3" t="str">
        <f t="shared" si="0"/>
        <v>"Bharat_Biotech",</v>
      </c>
      <c r="I3" t="str">
        <f t="shared" si="0"/>
        <v>"Bilthoven",</v>
      </c>
      <c r="J3" t="str">
        <f t="shared" si="0"/>
        <v>"Biological_E",</v>
      </c>
      <c r="K3" t="str">
        <f t="shared" si="0"/>
        <v>"Centro_de",</v>
      </c>
      <c r="L3" t="str">
        <f t="shared" si="0"/>
        <v>"GSK",</v>
      </c>
      <c r="M3" t="str">
        <f t="shared" si="0"/>
        <v>"Haffkine_Bio",</v>
      </c>
      <c r="N3" t="str">
        <f t="shared" si="0"/>
        <v>"LG_Chem",</v>
      </c>
      <c r="O3" t="str">
        <f t="shared" si="0"/>
        <v>"Merck_Sharp",</v>
      </c>
      <c r="P3" t="str">
        <f t="shared" si="0"/>
        <v>"Panacea_Biotec",</v>
      </c>
      <c r="Q3" t="str">
        <f t="shared" si="0"/>
        <v>"PT_Bio",</v>
      </c>
      <c r="R3" t="str">
        <f t="shared" si="0"/>
        <v>"Sanofi_Pasteur",</v>
      </c>
      <c r="S3" t="str">
        <f t="shared" si="0"/>
        <v>"Serum_Institute",</v>
      </c>
      <c r="T3" t="str">
        <f t="shared" si="0"/>
        <v>"Xiamen_Innovax",</v>
      </c>
    </row>
    <row r="4" spans="2:20" x14ac:dyDescent="0.25">
      <c r="B4" s="26" t="s">
        <v>87</v>
      </c>
      <c r="C4" s="26" t="s">
        <v>126</v>
      </c>
      <c r="E4" t="str">
        <f>+_xlfn.CONCAT(E3:U3)</f>
        <v>"AJ_Vaccines","BB_NCIPD","Beijing_Institute","Bharat_Biotech","Bilthoven","Biological_E","Centro_de","GSK","Haffkine_Bio","LG_Chem","Merck_Sharp","Panacea_Biotec","PT_Bio","Sanofi_Pasteur","Serum_Institute","Xiamen_Innovax",</v>
      </c>
    </row>
    <row r="5" spans="2:20" x14ac:dyDescent="0.25">
      <c r="B5" s="26" t="s">
        <v>88</v>
      </c>
      <c r="C5" s="26" t="s">
        <v>127</v>
      </c>
    </row>
    <row r="6" spans="2:20" x14ac:dyDescent="0.25">
      <c r="B6" s="26" t="s">
        <v>85</v>
      </c>
      <c r="C6" s="26" t="s">
        <v>138</v>
      </c>
    </row>
    <row r="7" spans="2:20" x14ac:dyDescent="0.25">
      <c r="B7" s="26" t="s">
        <v>119</v>
      </c>
      <c r="C7" s="26" t="s">
        <v>128</v>
      </c>
    </row>
    <row r="8" spans="2:20" x14ac:dyDescent="0.25">
      <c r="B8" s="26" t="s">
        <v>91</v>
      </c>
      <c r="C8" s="26" t="s">
        <v>129</v>
      </c>
    </row>
    <row r="9" spans="2:20" x14ac:dyDescent="0.25">
      <c r="B9" s="26" t="s">
        <v>77</v>
      </c>
      <c r="C9" s="26" t="s">
        <v>139</v>
      </c>
    </row>
    <row r="10" spans="2:20" x14ac:dyDescent="0.25">
      <c r="B10" s="26" t="s">
        <v>89</v>
      </c>
      <c r="C10" s="26" t="s">
        <v>130</v>
      </c>
    </row>
    <row r="11" spans="2:20" x14ac:dyDescent="0.25">
      <c r="B11" s="26" t="s">
        <v>82</v>
      </c>
      <c r="C11" s="26" t="s">
        <v>131</v>
      </c>
    </row>
    <row r="12" spans="2:20" x14ac:dyDescent="0.25">
      <c r="B12" s="26" t="s">
        <v>79</v>
      </c>
      <c r="C12" s="26" t="s">
        <v>132</v>
      </c>
    </row>
    <row r="13" spans="2:20" x14ac:dyDescent="0.25">
      <c r="B13" s="26" t="s">
        <v>83</v>
      </c>
      <c r="C13" s="26" t="s">
        <v>133</v>
      </c>
    </row>
    <row r="14" spans="2:20" x14ac:dyDescent="0.25">
      <c r="B14" s="26" t="s">
        <v>118</v>
      </c>
      <c r="C14" s="26" t="s">
        <v>134</v>
      </c>
    </row>
    <row r="15" spans="2:20" x14ac:dyDescent="0.25">
      <c r="B15" s="26" t="s">
        <v>80</v>
      </c>
      <c r="C15" s="26" t="s">
        <v>135</v>
      </c>
    </row>
    <row r="16" spans="2:20" x14ac:dyDescent="0.25">
      <c r="B16" s="26" t="s">
        <v>75</v>
      </c>
      <c r="C16" s="26" t="s">
        <v>136</v>
      </c>
    </row>
    <row r="17" spans="2:3" x14ac:dyDescent="0.25">
      <c r="B17" s="26" t="s">
        <v>90</v>
      </c>
      <c r="C17" s="26" t="s">
        <v>137</v>
      </c>
    </row>
    <row r="18" spans="2:3" x14ac:dyDescent="0.25">
      <c r="B18" s="26" t="s">
        <v>156</v>
      </c>
      <c r="C18" s="26" t="s">
        <v>159</v>
      </c>
    </row>
    <row r="19" spans="2:3" x14ac:dyDescent="0.25">
      <c r="B19" s="26" t="s">
        <v>154</v>
      </c>
      <c r="C19" s="26" t="s">
        <v>160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17EB8-02F1-485E-9D81-51CF2F0BE0EA}">
  <dimension ref="A1:K44"/>
  <sheetViews>
    <sheetView workbookViewId="0">
      <selection activeCell="F42" sqref="F42"/>
    </sheetView>
  </sheetViews>
  <sheetFormatPr defaultRowHeight="15" x14ac:dyDescent="0.25"/>
  <cols>
    <col min="1" max="1" width="16.28515625" bestFit="1" customWidth="1"/>
    <col min="2" max="11" width="14.7109375" customWidth="1"/>
  </cols>
  <sheetData>
    <row r="1" spans="1:11" x14ac:dyDescent="0.25">
      <c r="B1" s="36">
        <v>1</v>
      </c>
      <c r="C1" s="36">
        <v>2</v>
      </c>
      <c r="D1" s="36">
        <v>3</v>
      </c>
      <c r="E1" s="36">
        <v>4</v>
      </c>
      <c r="F1" s="36">
        <v>5</v>
      </c>
      <c r="G1" s="36">
        <v>6</v>
      </c>
      <c r="H1" s="36">
        <v>7</v>
      </c>
      <c r="I1" s="36">
        <v>8</v>
      </c>
      <c r="J1" s="36">
        <v>9</v>
      </c>
      <c r="K1" s="36">
        <v>10</v>
      </c>
    </row>
    <row r="2" spans="1:11" x14ac:dyDescent="0.25">
      <c r="A2" t="s">
        <v>116</v>
      </c>
      <c r="B2" s="37">
        <v>1733000000</v>
      </c>
      <c r="C2" s="37">
        <v>1921000000</v>
      </c>
      <c r="D2" s="37">
        <v>2079000000</v>
      </c>
      <c r="E2" s="37">
        <v>2391000000</v>
      </c>
      <c r="F2" s="37">
        <v>2603000000</v>
      </c>
      <c r="G2" s="37">
        <v>2371000000</v>
      </c>
      <c r="H2" s="37">
        <v>2251000000</v>
      </c>
      <c r="I2" s="37">
        <v>2198000000</v>
      </c>
      <c r="J2" s="37">
        <v>2155000000</v>
      </c>
      <c r="K2" s="37">
        <v>2178000000</v>
      </c>
    </row>
    <row r="3" spans="1:11" x14ac:dyDescent="0.25">
      <c r="A3" t="s">
        <v>144</v>
      </c>
      <c r="B3" s="37">
        <v>160100000</v>
      </c>
      <c r="C3" s="37">
        <v>140800000</v>
      </c>
      <c r="D3" s="37">
        <v>154800000</v>
      </c>
      <c r="E3" s="37">
        <v>143800000</v>
      </c>
      <c r="F3" s="37">
        <v>147500000</v>
      </c>
      <c r="G3" s="37">
        <v>171200000</v>
      </c>
      <c r="H3" s="37">
        <v>139700000</v>
      </c>
      <c r="I3" s="37">
        <v>172900000</v>
      </c>
      <c r="J3" s="37">
        <v>149300000</v>
      </c>
      <c r="K3" s="37">
        <v>158400000</v>
      </c>
    </row>
    <row r="4" spans="1:11" x14ac:dyDescent="0.25">
      <c r="A4" t="s">
        <v>148</v>
      </c>
      <c r="B4" s="37">
        <v>248000000</v>
      </c>
      <c r="C4" s="37">
        <v>248000000</v>
      </c>
      <c r="D4" s="37">
        <v>360000000</v>
      </c>
      <c r="E4" s="37">
        <v>952000000</v>
      </c>
      <c r="F4" s="37">
        <v>1216000000</v>
      </c>
      <c r="G4" s="37">
        <v>848000000</v>
      </c>
      <c r="H4" s="37">
        <v>552000000</v>
      </c>
      <c r="I4" s="37">
        <v>552000000</v>
      </c>
      <c r="J4" s="37">
        <v>440000000</v>
      </c>
      <c r="K4" s="37">
        <v>456000000</v>
      </c>
    </row>
    <row r="5" spans="1:11" x14ac:dyDescent="0.25">
      <c r="A5" t="s">
        <v>150</v>
      </c>
      <c r="B5" s="37">
        <v>116600000</v>
      </c>
      <c r="C5" s="37">
        <v>129900000</v>
      </c>
      <c r="D5" s="37">
        <v>128200000</v>
      </c>
      <c r="E5" s="37">
        <v>123000000</v>
      </c>
      <c r="F5" s="37">
        <v>123100000</v>
      </c>
      <c r="G5" s="37">
        <v>120400000</v>
      </c>
      <c r="H5" s="37">
        <v>121900000</v>
      </c>
      <c r="I5" s="37">
        <v>121000000</v>
      </c>
      <c r="J5" s="37">
        <v>122400000</v>
      </c>
      <c r="K5" s="37">
        <v>123300000</v>
      </c>
    </row>
    <row r="6" spans="1:11" x14ac:dyDescent="0.25">
      <c r="A6" t="s">
        <v>152</v>
      </c>
      <c r="B6">
        <v>1074100000</v>
      </c>
      <c r="C6">
        <v>1109700000</v>
      </c>
      <c r="D6">
        <v>1160000000</v>
      </c>
      <c r="E6">
        <v>1115800000</v>
      </c>
      <c r="F6">
        <v>1141600000</v>
      </c>
      <c r="G6">
        <v>1191500000</v>
      </c>
      <c r="H6">
        <v>1120400000</v>
      </c>
      <c r="I6">
        <v>1192500000</v>
      </c>
      <c r="J6">
        <v>1139200000</v>
      </c>
      <c r="K6">
        <v>1169600000</v>
      </c>
    </row>
    <row r="7" spans="1:11" x14ac:dyDescent="0.25">
      <c r="A7" t="s">
        <v>123</v>
      </c>
      <c r="B7" s="37">
        <v>12600000</v>
      </c>
      <c r="C7" s="37">
        <v>16800000</v>
      </c>
      <c r="D7" s="37">
        <v>19600000</v>
      </c>
      <c r="E7" s="37">
        <v>19500000</v>
      </c>
      <c r="F7" s="37">
        <v>19500000</v>
      </c>
      <c r="G7" s="37">
        <v>19200000</v>
      </c>
      <c r="H7" s="37">
        <v>19600000</v>
      </c>
      <c r="I7" s="37">
        <v>19300000</v>
      </c>
      <c r="J7" s="37">
        <v>19600000</v>
      </c>
      <c r="K7" s="37">
        <v>19900000</v>
      </c>
    </row>
    <row r="8" spans="1:11" x14ac:dyDescent="0.25">
      <c r="A8" t="s">
        <v>140</v>
      </c>
      <c r="B8" s="37">
        <v>243000000</v>
      </c>
      <c r="C8" s="37">
        <v>263000000</v>
      </c>
      <c r="D8" s="37">
        <v>265000000</v>
      </c>
      <c r="E8" s="37">
        <v>250000000</v>
      </c>
      <c r="F8" s="37">
        <v>249000000</v>
      </c>
      <c r="G8" s="37">
        <v>247000000</v>
      </c>
      <c r="H8" s="37">
        <v>250000000</v>
      </c>
      <c r="I8" s="37">
        <v>248000000</v>
      </c>
      <c r="J8" s="37">
        <v>251000000</v>
      </c>
      <c r="K8" s="37">
        <v>254000000</v>
      </c>
    </row>
    <row r="9" spans="1:11" x14ac:dyDescent="0.25">
      <c r="A9" t="s">
        <v>141</v>
      </c>
      <c r="B9" s="37">
        <v>8000000</v>
      </c>
      <c r="C9" s="37">
        <v>8600000</v>
      </c>
      <c r="D9" s="37">
        <v>8700000</v>
      </c>
      <c r="E9" s="37">
        <v>8400000</v>
      </c>
      <c r="F9" s="37">
        <v>8400000</v>
      </c>
      <c r="G9" s="37">
        <v>8100000</v>
      </c>
      <c r="H9" s="38">
        <v>8300000</v>
      </c>
      <c r="I9" s="38">
        <v>8200000</v>
      </c>
      <c r="J9" s="38">
        <v>8200000</v>
      </c>
      <c r="K9" s="38">
        <v>8200000</v>
      </c>
    </row>
    <row r="10" spans="1:11" x14ac:dyDescent="0.25">
      <c r="A10" t="s">
        <v>142</v>
      </c>
      <c r="B10" s="37">
        <v>36000000</v>
      </c>
      <c r="C10" s="37">
        <v>39500000</v>
      </c>
      <c r="D10" s="37">
        <v>40500000</v>
      </c>
      <c r="E10" s="37">
        <v>40200000</v>
      </c>
      <c r="F10" s="37">
        <v>41100000</v>
      </c>
      <c r="G10" s="37">
        <v>40500000</v>
      </c>
      <c r="H10" s="38">
        <v>41300000</v>
      </c>
      <c r="I10" s="38">
        <v>40900000</v>
      </c>
      <c r="J10" s="38">
        <v>41200000</v>
      </c>
      <c r="K10" s="38">
        <v>41300000</v>
      </c>
    </row>
    <row r="11" spans="1:11" x14ac:dyDescent="0.25">
      <c r="A11" t="s">
        <v>143</v>
      </c>
      <c r="B11" s="37">
        <v>8400000</v>
      </c>
      <c r="C11" s="37">
        <v>11200000</v>
      </c>
      <c r="D11" s="37">
        <v>13100000</v>
      </c>
      <c r="E11" s="37">
        <v>13000000</v>
      </c>
      <c r="F11" s="37">
        <v>13000000</v>
      </c>
      <c r="G11" s="37">
        <v>12800000</v>
      </c>
      <c r="H11" s="37">
        <v>13100000</v>
      </c>
      <c r="I11" s="37">
        <v>12900000</v>
      </c>
      <c r="J11" s="37">
        <v>13100000</v>
      </c>
      <c r="K11" s="37">
        <v>13300000</v>
      </c>
    </row>
    <row r="12" spans="1:11" x14ac:dyDescent="0.25">
      <c r="A12" t="s">
        <v>145</v>
      </c>
      <c r="B12" s="37">
        <v>30000</v>
      </c>
      <c r="C12" s="37">
        <v>25000</v>
      </c>
      <c r="D12" s="37">
        <v>21000</v>
      </c>
      <c r="E12" s="38">
        <v>0</v>
      </c>
      <c r="F12" s="38">
        <v>0</v>
      </c>
      <c r="G12" s="38">
        <v>0</v>
      </c>
      <c r="H12" s="38">
        <v>0</v>
      </c>
      <c r="I12" s="38">
        <v>0</v>
      </c>
      <c r="J12" s="38">
        <v>0</v>
      </c>
      <c r="K12" s="38">
        <v>0</v>
      </c>
    </row>
    <row r="13" spans="1:11" x14ac:dyDescent="0.25">
      <c r="A13" t="s">
        <v>146</v>
      </c>
      <c r="B13" s="37">
        <v>8000000</v>
      </c>
      <c r="C13" s="37">
        <v>8600000</v>
      </c>
      <c r="D13" s="37">
        <v>8700000</v>
      </c>
      <c r="E13" s="37">
        <v>8400000</v>
      </c>
      <c r="F13" s="37">
        <v>8400000</v>
      </c>
      <c r="G13" s="37">
        <v>8100000</v>
      </c>
      <c r="H13" s="37">
        <v>8300000</v>
      </c>
      <c r="I13" s="37">
        <v>8200000</v>
      </c>
      <c r="J13" s="37">
        <v>8200000</v>
      </c>
      <c r="K13" s="37">
        <v>8200000</v>
      </c>
    </row>
    <row r="14" spans="1:11" x14ac:dyDescent="0.25">
      <c r="A14" t="s">
        <v>147</v>
      </c>
      <c r="B14" s="25">
        <v>1030200000</v>
      </c>
      <c r="C14" s="25">
        <v>1268200000</v>
      </c>
      <c r="D14" s="25">
        <v>1411000000</v>
      </c>
      <c r="E14" s="25">
        <v>1382100000</v>
      </c>
      <c r="F14" s="25">
        <v>1378700000</v>
      </c>
      <c r="G14" s="25">
        <v>1356600000</v>
      </c>
      <c r="H14" s="25">
        <v>1378700000</v>
      </c>
      <c r="I14" s="25">
        <v>1358300000</v>
      </c>
      <c r="J14" s="25">
        <v>1380400000</v>
      </c>
      <c r="K14" s="25">
        <v>1399100000</v>
      </c>
    </row>
    <row r="15" spans="1:11" x14ac:dyDescent="0.25">
      <c r="A15" t="s">
        <v>149</v>
      </c>
      <c r="B15" s="37">
        <v>20500000</v>
      </c>
      <c r="C15" s="37">
        <v>22200000</v>
      </c>
      <c r="D15" s="37">
        <v>22600000</v>
      </c>
      <c r="E15" s="37">
        <v>21600000</v>
      </c>
      <c r="F15" s="37">
        <v>21700000</v>
      </c>
      <c r="G15" s="37">
        <v>21100000</v>
      </c>
      <c r="H15" s="37">
        <v>21400000</v>
      </c>
      <c r="I15" s="37">
        <v>21200000</v>
      </c>
      <c r="J15" s="37">
        <v>21400000</v>
      </c>
      <c r="K15" s="37">
        <v>21500000</v>
      </c>
    </row>
    <row r="16" spans="1:11" x14ac:dyDescent="0.25">
      <c r="A16" t="s">
        <v>156</v>
      </c>
      <c r="B16" s="37">
        <v>58000000</v>
      </c>
      <c r="C16" s="37">
        <v>67000000</v>
      </c>
      <c r="D16" s="37">
        <v>75000000</v>
      </c>
      <c r="E16" s="37">
        <v>74000000</v>
      </c>
      <c r="F16" s="37">
        <v>79000000</v>
      </c>
      <c r="G16" s="37">
        <v>79000000</v>
      </c>
      <c r="H16" s="37">
        <v>80000000</v>
      </c>
      <c r="I16" s="37">
        <v>78000000</v>
      </c>
      <c r="J16" s="37">
        <v>78000000</v>
      </c>
      <c r="K16" s="37">
        <v>79000000</v>
      </c>
    </row>
    <row r="17" spans="1:11" x14ac:dyDescent="0.25">
      <c r="A17" t="s">
        <v>151</v>
      </c>
      <c r="B17" s="37">
        <v>1046000000</v>
      </c>
      <c r="C17" s="37">
        <v>1221000000</v>
      </c>
      <c r="D17" s="37">
        <v>1317000000</v>
      </c>
      <c r="E17" s="37">
        <v>1286000000</v>
      </c>
      <c r="F17" s="37">
        <v>1287000000</v>
      </c>
      <c r="G17" s="37">
        <v>1252000000</v>
      </c>
      <c r="H17" s="37">
        <v>1276000000</v>
      </c>
      <c r="I17" s="37">
        <v>1260000000</v>
      </c>
      <c r="J17" s="37">
        <v>1274000000</v>
      </c>
      <c r="K17" s="37">
        <v>1282000000</v>
      </c>
    </row>
    <row r="18" spans="1:11" x14ac:dyDescent="0.25">
      <c r="A18" t="s">
        <v>153</v>
      </c>
      <c r="B18" s="25">
        <v>50000000</v>
      </c>
      <c r="C18" s="25">
        <v>50000000</v>
      </c>
      <c r="D18" s="25">
        <v>70000000</v>
      </c>
      <c r="E18" s="25">
        <v>200000000</v>
      </c>
      <c r="F18" s="25">
        <v>250000000</v>
      </c>
      <c r="G18" s="25">
        <v>180000000</v>
      </c>
      <c r="H18" s="25">
        <v>120000000</v>
      </c>
      <c r="I18" s="25">
        <v>120000000</v>
      </c>
      <c r="J18" s="25">
        <v>90000000</v>
      </c>
      <c r="K18" s="25">
        <v>100000000</v>
      </c>
    </row>
    <row r="19" spans="1:11" x14ac:dyDescent="0.25">
      <c r="B19" s="25"/>
      <c r="C19" s="25"/>
      <c r="D19" s="25"/>
      <c r="E19" s="25"/>
      <c r="F19" s="25"/>
      <c r="G19" s="25"/>
      <c r="H19" s="25"/>
      <c r="I19" s="25"/>
      <c r="J19" s="25"/>
      <c r="K19" s="25"/>
    </row>
    <row r="20" spans="1:11" x14ac:dyDescent="0.25">
      <c r="B20" s="37"/>
      <c r="C20" s="37"/>
      <c r="D20" s="37"/>
      <c r="E20" s="37"/>
      <c r="F20" s="37"/>
      <c r="G20" s="37"/>
      <c r="H20" s="37"/>
      <c r="I20" s="37"/>
      <c r="J20" s="37"/>
      <c r="K20" s="37"/>
    </row>
    <row r="21" spans="1:11" x14ac:dyDescent="0.25">
      <c r="B21" s="42"/>
      <c r="C21" s="42"/>
      <c r="D21" s="42"/>
      <c r="E21" s="42"/>
      <c r="F21" s="42"/>
      <c r="G21" s="42"/>
      <c r="H21" s="42"/>
      <c r="I21" s="42"/>
      <c r="J21" s="42"/>
      <c r="K21" s="42"/>
    </row>
    <row r="22" spans="1:11" x14ac:dyDescent="0.25">
      <c r="B22" s="41"/>
      <c r="C22" s="42"/>
      <c r="D22" s="42"/>
      <c r="E22" s="42"/>
      <c r="F22" s="42"/>
      <c r="G22" s="42"/>
      <c r="H22" s="42"/>
      <c r="I22" s="42"/>
      <c r="J22" s="42"/>
      <c r="K22" s="42"/>
    </row>
    <row r="23" spans="1:11" x14ac:dyDescent="0.25">
      <c r="B23" s="37"/>
      <c r="C23" s="25"/>
      <c r="D23" s="25"/>
      <c r="E23" s="40"/>
      <c r="F23" s="25"/>
      <c r="G23" s="25"/>
      <c r="H23" s="25"/>
      <c r="I23" s="25"/>
      <c r="J23" s="25"/>
      <c r="K23" s="25"/>
    </row>
    <row r="24" spans="1:11" x14ac:dyDescent="0.25">
      <c r="B24" s="25"/>
      <c r="C24" s="25"/>
      <c r="D24" s="25"/>
      <c r="E24" s="25"/>
      <c r="F24" s="25"/>
      <c r="G24" s="25"/>
      <c r="H24" s="25"/>
      <c r="I24" s="25"/>
      <c r="J24" s="25"/>
      <c r="K24" s="25"/>
    </row>
    <row r="25" spans="1:11" x14ac:dyDescent="0.25">
      <c r="B25" s="25"/>
      <c r="C25" s="25"/>
      <c r="D25" s="25"/>
      <c r="E25" s="25"/>
      <c r="F25" s="25"/>
      <c r="G25" s="25"/>
      <c r="H25" s="25"/>
      <c r="I25" s="25"/>
      <c r="J25" s="25"/>
      <c r="K25" s="25"/>
    </row>
    <row r="26" spans="1:11" x14ac:dyDescent="0.25">
      <c r="B26" s="25"/>
      <c r="C26" s="25"/>
      <c r="D26" s="25"/>
      <c r="E26" s="25"/>
      <c r="F26" s="25"/>
      <c r="G26" s="25"/>
      <c r="H26" s="25"/>
      <c r="I26" s="25"/>
      <c r="J26" s="25"/>
      <c r="K26" s="25"/>
    </row>
    <row r="27" spans="1:11" x14ac:dyDescent="0.25">
      <c r="B27" s="25"/>
      <c r="C27" s="25"/>
      <c r="D27" s="25"/>
      <c r="E27" s="25"/>
      <c r="F27" s="25"/>
      <c r="G27" s="25"/>
      <c r="H27" s="25"/>
      <c r="I27" s="25"/>
      <c r="J27" s="25"/>
      <c r="K27" s="25"/>
    </row>
    <row r="28" spans="1:11" x14ac:dyDescent="0.25">
      <c r="B28" s="25"/>
      <c r="C28" s="25"/>
      <c r="D28" s="25"/>
      <c r="E28" s="25"/>
      <c r="F28" s="25"/>
      <c r="G28" s="25"/>
      <c r="H28" s="25"/>
      <c r="I28" s="25"/>
      <c r="J28" s="25"/>
      <c r="K28" s="25"/>
    </row>
    <row r="29" spans="1:11" x14ac:dyDescent="0.25">
      <c r="B29" s="25"/>
      <c r="C29" s="25"/>
      <c r="D29" s="25"/>
      <c r="E29" s="25"/>
      <c r="F29" s="25"/>
      <c r="G29" s="25"/>
      <c r="H29" s="25"/>
      <c r="I29" s="25"/>
      <c r="J29" s="25"/>
      <c r="K29" s="25"/>
    </row>
    <row r="30" spans="1:11" x14ac:dyDescent="0.25">
      <c r="B30" s="25"/>
      <c r="C30" s="25"/>
      <c r="D30" s="25"/>
      <c r="E30" s="25"/>
      <c r="F30" s="25"/>
      <c r="G30" s="25"/>
      <c r="H30" s="25"/>
      <c r="I30" s="25"/>
      <c r="J30" s="25"/>
      <c r="K30" s="25"/>
    </row>
    <row r="31" spans="1:11" x14ac:dyDescent="0.25">
      <c r="B31" s="25"/>
      <c r="C31" s="25"/>
      <c r="D31" s="25"/>
      <c r="E31" s="25"/>
      <c r="F31" s="25"/>
      <c r="G31" s="25"/>
      <c r="H31" s="25"/>
      <c r="I31" s="25"/>
      <c r="J31" s="25"/>
      <c r="K31" s="25"/>
    </row>
    <row r="32" spans="1:11" x14ac:dyDescent="0.25">
      <c r="B32" s="25"/>
      <c r="C32" s="25"/>
      <c r="D32" s="25"/>
      <c r="E32" s="25"/>
      <c r="F32" s="25"/>
      <c r="G32" s="25"/>
      <c r="H32" s="25"/>
      <c r="I32" s="25"/>
      <c r="J32" s="25"/>
      <c r="K32" s="25"/>
    </row>
    <row r="33" spans="2:11" x14ac:dyDescent="0.25">
      <c r="B33" s="25"/>
      <c r="C33" s="25"/>
      <c r="D33" s="25"/>
      <c r="E33" s="25"/>
      <c r="F33" s="25"/>
      <c r="G33" s="25"/>
      <c r="H33" s="25"/>
      <c r="I33" s="25"/>
      <c r="J33" s="25"/>
      <c r="K33" s="25"/>
    </row>
    <row r="34" spans="2:11" x14ac:dyDescent="0.25">
      <c r="B34" s="25"/>
      <c r="C34" s="25"/>
      <c r="D34" s="25"/>
      <c r="E34" s="25"/>
      <c r="F34" s="25"/>
      <c r="G34" s="25"/>
      <c r="H34" s="25"/>
      <c r="I34" s="25"/>
      <c r="J34" s="25"/>
      <c r="K34" s="25"/>
    </row>
    <row r="35" spans="2:11" x14ac:dyDescent="0.25">
      <c r="B35" s="25"/>
      <c r="C35" s="25"/>
      <c r="D35" s="25"/>
      <c r="E35" s="25"/>
      <c r="F35" s="25"/>
      <c r="G35" s="25"/>
      <c r="H35" s="25"/>
      <c r="I35" s="25"/>
      <c r="J35" s="25"/>
      <c r="K35" s="25"/>
    </row>
    <row r="36" spans="2:11" x14ac:dyDescent="0.25">
      <c r="B36" s="25"/>
      <c r="C36" s="25"/>
      <c r="D36" s="25"/>
      <c r="E36" s="25"/>
      <c r="F36" s="25"/>
      <c r="G36" s="25"/>
      <c r="H36" s="25"/>
      <c r="I36" s="25"/>
      <c r="J36" s="25"/>
      <c r="K36" s="25"/>
    </row>
    <row r="37" spans="2:11" x14ac:dyDescent="0.25">
      <c r="B37" s="25"/>
      <c r="C37" s="25"/>
      <c r="D37" s="25"/>
      <c r="E37" s="25"/>
      <c r="F37" s="25"/>
      <c r="G37" s="25"/>
      <c r="H37" s="25"/>
      <c r="I37" s="25"/>
      <c r="J37" s="25"/>
      <c r="K37" s="25"/>
    </row>
    <row r="38" spans="2:11" x14ac:dyDescent="0.25">
      <c r="B38" s="25"/>
      <c r="C38" s="25"/>
      <c r="D38" s="25"/>
      <c r="E38" s="25"/>
      <c r="F38" s="25"/>
      <c r="G38" s="25"/>
      <c r="H38" s="25"/>
      <c r="I38" s="25"/>
      <c r="J38" s="25"/>
      <c r="K38" s="25"/>
    </row>
    <row r="39" spans="2:11" x14ac:dyDescent="0.25">
      <c r="B39" s="25"/>
      <c r="C39" s="25"/>
      <c r="D39" s="25"/>
      <c r="E39" s="25"/>
      <c r="F39" s="25"/>
      <c r="G39" s="25"/>
      <c r="H39" s="25"/>
      <c r="I39" s="25"/>
      <c r="J39" s="25"/>
      <c r="K39" s="25"/>
    </row>
    <row r="40" spans="2:11" x14ac:dyDescent="0.25">
      <c r="B40" s="25"/>
      <c r="C40" s="25"/>
      <c r="D40" s="25"/>
      <c r="E40" s="25"/>
      <c r="F40" s="25"/>
      <c r="G40" s="25"/>
      <c r="H40" s="25"/>
      <c r="I40" s="25"/>
      <c r="J40" s="25"/>
      <c r="K40" s="25"/>
    </row>
    <row r="41" spans="2:11" x14ac:dyDescent="0.25">
      <c r="B41" s="25"/>
      <c r="C41" s="25"/>
      <c r="D41" s="25"/>
      <c r="E41" s="25"/>
      <c r="F41" s="25"/>
      <c r="G41" s="25"/>
      <c r="H41" s="25"/>
      <c r="I41" s="25"/>
      <c r="J41" s="25"/>
      <c r="K41" s="25"/>
    </row>
    <row r="42" spans="2:11" x14ac:dyDescent="0.25">
      <c r="B42" s="25"/>
      <c r="C42" s="25"/>
      <c r="D42" s="25"/>
      <c r="E42" s="25"/>
      <c r="F42" s="25"/>
      <c r="G42" s="25"/>
      <c r="H42" s="25"/>
      <c r="I42" s="25"/>
      <c r="J42" s="25"/>
      <c r="K42" s="25"/>
    </row>
    <row r="43" spans="2:11" x14ac:dyDescent="0.25">
      <c r="B43" s="25"/>
      <c r="C43" s="25"/>
      <c r="D43" s="25"/>
      <c r="E43" s="25"/>
      <c r="F43" s="25"/>
      <c r="G43" s="25"/>
      <c r="H43" s="25"/>
      <c r="I43" s="25"/>
      <c r="J43" s="25"/>
      <c r="K43" s="25"/>
    </row>
    <row r="44" spans="2:11" x14ac:dyDescent="0.25">
      <c r="B44" s="25"/>
      <c r="C44" s="25"/>
      <c r="D44" s="25"/>
      <c r="E44" s="25"/>
      <c r="F44" s="25"/>
      <c r="G44" s="25"/>
      <c r="H44" s="25"/>
      <c r="I44" s="25"/>
      <c r="J44" s="25"/>
      <c r="K44" s="25"/>
    </row>
  </sheetData>
  <autoFilter ref="A1:K18" xr:uid="{8DF17EB8-02F1-485E-9D81-51CF2F0BE0EA}">
    <sortState xmlns:xlrd2="http://schemas.microsoft.com/office/spreadsheetml/2017/richdata2" ref="A2:K18">
      <sortCondition ref="A1:A1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vaccine-producer list</vt:lpstr>
      <vt:lpstr>total_capacity_calcs</vt:lpstr>
      <vt:lpstr>Prod_capacity_agg</vt:lpstr>
      <vt:lpstr>Producers_short_name</vt:lpstr>
      <vt:lpstr>Medium_Capacity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uhorchak</dc:creator>
  <cp:lastModifiedBy>nicholas uhorchak</cp:lastModifiedBy>
  <dcterms:created xsi:type="dcterms:W3CDTF">2023-10-25T00:05:43Z</dcterms:created>
  <dcterms:modified xsi:type="dcterms:W3CDTF">2024-05-23T18:20:35Z</dcterms:modified>
</cp:coreProperties>
</file>