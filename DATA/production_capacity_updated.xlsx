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72" documentId="13_ncr:1_{5BC75AC5-5DFF-42F9-8F6A-B58AA24898A3}" xr6:coauthVersionLast="47" xr6:coauthVersionMax="47" xr10:uidLastSave="{7213EFCE-AC76-4D7C-B7F4-5EE5C8F055CC}"/>
  <bookViews>
    <workbookView xWindow="-120" yWindow="-120" windowWidth="20730" windowHeight="11040" activeTab="1" xr2:uid="{752E71BE-3FD4-4CCA-ABF0-6C5710D300B4}"/>
  </bookViews>
  <sheets>
    <sheet name="vaccine-producer list" sheetId="8" r:id="rId1"/>
    <sheet name="Sheet1" sheetId="10" r:id="rId2"/>
    <sheet name="total_capacity_calcs" sheetId="7" r:id="rId3"/>
    <sheet name="Prod_capacity_agg" sheetId="9" r:id="rId4"/>
    <sheet name="Producers_short_name" sheetId="5" r:id="rId5"/>
    <sheet name="Medium_Capacity" sheetId="6" r:id="rId6"/>
  </sheets>
  <definedNames>
    <definedName name="_xlnm._FilterDatabase" localSheetId="5" hidden="1">Medium_Capacity!$A$1:$K$18</definedName>
    <definedName name="_xlnm._FilterDatabase" localSheetId="3" hidden="1">Prod_capacity_agg!$A$1:$K$1</definedName>
    <definedName name="_xlnm._FilterDatabase" localSheetId="2" hidden="1">total_capacity_calcs!$A$229:$L$296</definedName>
    <definedName name="_xlnm._FilterDatabase" localSheetId="0" hidden="1">'vaccine-producer list'!$A$1:$R$54</definedName>
    <definedName name="GAVI_countries" localSheetId="2">#REF!</definedName>
    <definedName name="GAVI_countries" localSheetId="0">#REF!</definedName>
    <definedName name="GAVI_countries">#REF!</definedName>
  </definedNames>
  <calcPr calcId="191029" concurrentCalc="0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0" l="1"/>
  <c r="E19" i="10"/>
  <c r="D19" i="10"/>
  <c r="N62" i="9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<sst xmlns="http://schemas.openxmlformats.org/spreadsheetml/2006/main" count="757" uniqueCount="171">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</sst>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12" sqref="A12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1983-CF53-47CA-A5F1-954F5A577DF5}">
  <dimension ref="D4:F19"/>
  <sheetViews>
    <sheetView tabSelected="1" workbookViewId="0">
      <selection activeCell="G15" sqref="G15"/>
    </sheetView>
  </sheetViews>
  <sheetFormatPr defaultRowHeight="15" x14ac:dyDescent="0.25"/>
  <cols>
    <col min="3" max="3" width="32" bestFit="1" customWidth="1"/>
    <col min="4" max="4" width="32.42578125" bestFit="1" customWidth="1"/>
  </cols>
  <sheetData>
    <row r="4" spans="4:5" x14ac:dyDescent="0.25">
      <c r="D4">
        <v>15</v>
      </c>
      <c r="E4">
        <v>15</v>
      </c>
    </row>
    <row r="5" spans="4:5" x14ac:dyDescent="0.25">
      <c r="D5">
        <v>100</v>
      </c>
      <c r="E5">
        <v>100</v>
      </c>
    </row>
    <row r="7" spans="4:5" x14ac:dyDescent="0.25">
      <c r="D7">
        <v>47</v>
      </c>
      <c r="E7">
        <v>50</v>
      </c>
    </row>
    <row r="8" spans="4:5" x14ac:dyDescent="0.25">
      <c r="D8">
        <v>58</v>
      </c>
      <c r="E8">
        <v>60</v>
      </c>
    </row>
    <row r="10" spans="4:5" x14ac:dyDescent="0.25">
      <c r="D10">
        <v>40</v>
      </c>
      <c r="E10">
        <v>40</v>
      </c>
    </row>
    <row r="12" spans="4:5" x14ac:dyDescent="0.25">
      <c r="D12">
        <v>40</v>
      </c>
      <c r="E12">
        <v>40</v>
      </c>
    </row>
    <row r="14" spans="4:5" x14ac:dyDescent="0.25">
      <c r="D14">
        <v>100</v>
      </c>
      <c r="E14">
        <v>100</v>
      </c>
    </row>
    <row r="16" spans="4:5" x14ac:dyDescent="0.25">
      <c r="D16">
        <v>81</v>
      </c>
      <c r="E16">
        <v>100</v>
      </c>
    </row>
    <row r="18" spans="4:6" x14ac:dyDescent="0.25">
      <c r="D18">
        <v>41</v>
      </c>
      <c r="E18">
        <v>50</v>
      </c>
    </row>
    <row r="19" spans="4:6" x14ac:dyDescent="0.25">
      <c r="D19">
        <f>SUM(D4:D18)</f>
        <v>522</v>
      </c>
      <c r="E19">
        <f>SUM(E4:E18)</f>
        <v>555</v>
      </c>
      <c r="F19">
        <f>D19/E19</f>
        <v>0.94054054054054059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222" zoomScale="80" zoomScaleNormal="80" workbookViewId="0">
      <pane xSplit="1" topLeftCell="F1" activePane="topRight" state="frozen"/>
      <selection pane="topRight" activeCell="A301" sqref="A301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ht="15.75" thickBot="1" x14ac:dyDescent="0.3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5" x14ac:dyDescent="0.25"/>
  <cols>
    <col min="2" max="2" width="39.7109375" bestFit="1" customWidth="1"/>
    <col min="3" max="3" width="25.710937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workbookViewId="0">
      <selection activeCell="F42" sqref="F42"/>
    </sheetView>
  </sheetViews>
  <sheetFormatPr defaultRowHeight="15" x14ac:dyDescent="0.25"/>
  <cols>
    <col min="1" max="1" width="16.28515625" bestFit="1" customWidth="1"/>
    <col min="2" max="11" width="14.7109375" customWidth="1"/>
  </cols>
  <sheetData>
    <row r="1" spans="1:1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25">
      <c r="A2" t="s">
        <v>116</v>
      </c>
      <c r="B2" s="37">
        <v>1733000000</v>
      </c>
      <c r="C2" s="37">
        <v>1921000000</v>
      </c>
      <c r="D2" s="37">
        <v>2079000000</v>
      </c>
      <c r="E2" s="37">
        <v>2391000000</v>
      </c>
      <c r="F2" s="37">
        <v>2603000000</v>
      </c>
      <c r="G2" s="37">
        <v>2371000000</v>
      </c>
      <c r="H2" s="37">
        <v>2251000000</v>
      </c>
      <c r="I2" s="37">
        <v>2198000000</v>
      </c>
      <c r="J2" s="37">
        <v>2155000000</v>
      </c>
      <c r="K2" s="37">
        <v>2178000000</v>
      </c>
    </row>
    <row r="3" spans="1:11" x14ac:dyDescent="0.25">
      <c r="A3" t="s">
        <v>144</v>
      </c>
      <c r="B3" s="37">
        <v>160100000</v>
      </c>
      <c r="C3" s="37">
        <v>140800000</v>
      </c>
      <c r="D3" s="37">
        <v>154800000</v>
      </c>
      <c r="E3" s="37">
        <v>143800000</v>
      </c>
      <c r="F3" s="37">
        <v>147500000</v>
      </c>
      <c r="G3" s="37">
        <v>171200000</v>
      </c>
      <c r="H3" s="37">
        <v>139700000</v>
      </c>
      <c r="I3" s="37">
        <v>172900000</v>
      </c>
      <c r="J3" s="37">
        <v>149300000</v>
      </c>
      <c r="K3" s="37">
        <v>158400000</v>
      </c>
    </row>
    <row r="4" spans="1:11" x14ac:dyDescent="0.25">
      <c r="A4" t="s">
        <v>148</v>
      </c>
      <c r="B4" s="37">
        <v>248000000</v>
      </c>
      <c r="C4" s="37">
        <v>248000000</v>
      </c>
      <c r="D4" s="37">
        <v>360000000</v>
      </c>
      <c r="E4" s="37">
        <v>952000000</v>
      </c>
      <c r="F4" s="37">
        <v>1216000000</v>
      </c>
      <c r="G4" s="37">
        <v>848000000</v>
      </c>
      <c r="H4" s="37">
        <v>552000000</v>
      </c>
      <c r="I4" s="37">
        <v>552000000</v>
      </c>
      <c r="J4" s="37">
        <v>440000000</v>
      </c>
      <c r="K4" s="37">
        <v>456000000</v>
      </c>
    </row>
    <row r="5" spans="1:11" x14ac:dyDescent="0.25">
      <c r="A5" t="s">
        <v>150</v>
      </c>
      <c r="B5" s="37">
        <v>116600000</v>
      </c>
      <c r="C5" s="37">
        <v>129900000</v>
      </c>
      <c r="D5" s="37">
        <v>128200000</v>
      </c>
      <c r="E5" s="37">
        <v>123000000</v>
      </c>
      <c r="F5" s="37">
        <v>123100000</v>
      </c>
      <c r="G5" s="37">
        <v>120400000</v>
      </c>
      <c r="H5" s="37">
        <v>121900000</v>
      </c>
      <c r="I5" s="37">
        <v>121000000</v>
      </c>
      <c r="J5" s="37">
        <v>122400000</v>
      </c>
      <c r="K5" s="37">
        <v>123300000</v>
      </c>
    </row>
    <row r="6" spans="1:11" x14ac:dyDescent="0.25">
      <c r="A6" t="s">
        <v>152</v>
      </c>
      <c r="B6">
        <v>1074100000</v>
      </c>
      <c r="C6">
        <v>1109700000</v>
      </c>
      <c r="D6">
        <v>1160000000</v>
      </c>
      <c r="E6">
        <v>1115800000</v>
      </c>
      <c r="F6">
        <v>1141600000</v>
      </c>
      <c r="G6">
        <v>1191500000</v>
      </c>
      <c r="H6">
        <v>1120400000</v>
      </c>
      <c r="I6">
        <v>1192500000</v>
      </c>
      <c r="J6">
        <v>1139200000</v>
      </c>
      <c r="K6">
        <v>1169600000</v>
      </c>
    </row>
    <row r="7" spans="1:11" x14ac:dyDescent="0.25">
      <c r="A7" t="s">
        <v>123</v>
      </c>
      <c r="B7" s="37">
        <v>12600000</v>
      </c>
      <c r="C7" s="37">
        <v>16800000</v>
      </c>
      <c r="D7" s="37">
        <v>19600000</v>
      </c>
      <c r="E7" s="37">
        <v>19500000</v>
      </c>
      <c r="F7" s="37">
        <v>19500000</v>
      </c>
      <c r="G7" s="37">
        <v>19200000</v>
      </c>
      <c r="H7" s="37">
        <v>19600000</v>
      </c>
      <c r="I7" s="37">
        <v>19300000</v>
      </c>
      <c r="J7" s="37">
        <v>19600000</v>
      </c>
      <c r="K7" s="37">
        <v>19900000</v>
      </c>
    </row>
    <row r="8" spans="1:11" x14ac:dyDescent="0.25">
      <c r="A8" t="s">
        <v>140</v>
      </c>
      <c r="B8" s="37">
        <v>243000000</v>
      </c>
      <c r="C8" s="37">
        <v>263000000</v>
      </c>
      <c r="D8" s="37">
        <v>265000000</v>
      </c>
      <c r="E8" s="37">
        <v>250000000</v>
      </c>
      <c r="F8" s="37">
        <v>249000000</v>
      </c>
      <c r="G8" s="37">
        <v>247000000</v>
      </c>
      <c r="H8" s="37">
        <v>250000000</v>
      </c>
      <c r="I8" s="37">
        <v>248000000</v>
      </c>
      <c r="J8" s="37">
        <v>251000000</v>
      </c>
      <c r="K8" s="37">
        <v>254000000</v>
      </c>
    </row>
    <row r="9" spans="1:11" x14ac:dyDescent="0.25">
      <c r="A9" t="s">
        <v>141</v>
      </c>
      <c r="B9" s="37">
        <v>8000000</v>
      </c>
      <c r="C9" s="37">
        <v>8600000</v>
      </c>
      <c r="D9" s="37">
        <v>8700000</v>
      </c>
      <c r="E9" s="37">
        <v>8400000</v>
      </c>
      <c r="F9" s="37">
        <v>8400000</v>
      </c>
      <c r="G9" s="37">
        <v>8100000</v>
      </c>
      <c r="H9" s="38">
        <v>8300000</v>
      </c>
      <c r="I9" s="38">
        <v>8200000</v>
      </c>
      <c r="J9" s="38">
        <v>8200000</v>
      </c>
      <c r="K9" s="38">
        <v>8200000</v>
      </c>
    </row>
    <row r="10" spans="1:11" x14ac:dyDescent="0.25">
      <c r="A10" t="s">
        <v>142</v>
      </c>
      <c r="B10" s="37">
        <v>36000000</v>
      </c>
      <c r="C10" s="37">
        <v>39500000</v>
      </c>
      <c r="D10" s="37">
        <v>40500000</v>
      </c>
      <c r="E10" s="37">
        <v>40200000</v>
      </c>
      <c r="F10" s="37">
        <v>41100000</v>
      </c>
      <c r="G10" s="37">
        <v>40500000</v>
      </c>
      <c r="H10" s="38">
        <v>41300000</v>
      </c>
      <c r="I10" s="38">
        <v>40900000</v>
      </c>
      <c r="J10" s="38">
        <v>41200000</v>
      </c>
      <c r="K10" s="38">
        <v>41300000</v>
      </c>
    </row>
    <row r="11" spans="1:11" x14ac:dyDescent="0.25">
      <c r="A11" t="s">
        <v>143</v>
      </c>
      <c r="B11" s="37">
        <v>8400000</v>
      </c>
      <c r="C11" s="37">
        <v>11200000</v>
      </c>
      <c r="D11" s="37">
        <v>13100000</v>
      </c>
      <c r="E11" s="37">
        <v>13000000</v>
      </c>
      <c r="F11" s="37">
        <v>13000000</v>
      </c>
      <c r="G11" s="37">
        <v>12800000</v>
      </c>
      <c r="H11" s="37">
        <v>13100000</v>
      </c>
      <c r="I11" s="37">
        <v>12900000</v>
      </c>
      <c r="J11" s="37">
        <v>13100000</v>
      </c>
      <c r="K11" s="37">
        <v>13300000</v>
      </c>
    </row>
    <row r="12" spans="1:11" x14ac:dyDescent="0.25">
      <c r="A12" t="s">
        <v>145</v>
      </c>
      <c r="B12" s="37">
        <v>30000</v>
      </c>
      <c r="C12" s="37">
        <v>25000</v>
      </c>
      <c r="D12" s="37">
        <v>21000</v>
      </c>
      <c r="E12" s="38">
        <v>0</v>
      </c>
      <c r="F12" s="38">
        <v>0</v>
      </c>
      <c r="G12" s="38">
        <v>0</v>
      </c>
      <c r="H12" s="38">
        <v>0</v>
      </c>
      <c r="I12" s="38">
        <v>0</v>
      </c>
      <c r="J12" s="38">
        <v>0</v>
      </c>
      <c r="K12" s="38">
        <v>0</v>
      </c>
    </row>
    <row r="13" spans="1:11" x14ac:dyDescent="0.25">
      <c r="A13" t="s">
        <v>146</v>
      </c>
      <c r="B13" s="37">
        <v>8000000</v>
      </c>
      <c r="C13" s="37">
        <v>8600000</v>
      </c>
      <c r="D13" s="37">
        <v>8700000</v>
      </c>
      <c r="E13" s="37">
        <v>8400000</v>
      </c>
      <c r="F13" s="37">
        <v>8400000</v>
      </c>
      <c r="G13" s="37">
        <v>8100000</v>
      </c>
      <c r="H13" s="37">
        <v>8300000</v>
      </c>
      <c r="I13" s="37">
        <v>8200000</v>
      </c>
      <c r="J13" s="37">
        <v>8200000</v>
      </c>
      <c r="K13" s="37">
        <v>8200000</v>
      </c>
    </row>
    <row r="14" spans="1:11" x14ac:dyDescent="0.25">
      <c r="A14" t="s">
        <v>147</v>
      </c>
      <c r="B14" s="25">
        <v>1030200000</v>
      </c>
      <c r="C14" s="25">
        <v>1268200000</v>
      </c>
      <c r="D14" s="25">
        <v>1411000000</v>
      </c>
      <c r="E14" s="25">
        <v>1382100000</v>
      </c>
      <c r="F14" s="25">
        <v>1378700000</v>
      </c>
      <c r="G14" s="25">
        <v>1356600000</v>
      </c>
      <c r="H14" s="25">
        <v>1378700000</v>
      </c>
      <c r="I14" s="25">
        <v>1358300000</v>
      </c>
      <c r="J14" s="25">
        <v>1380400000</v>
      </c>
      <c r="K14" s="25">
        <v>1399100000</v>
      </c>
    </row>
    <row r="15" spans="1:11" x14ac:dyDescent="0.25">
      <c r="A15" t="s">
        <v>149</v>
      </c>
      <c r="B15" s="37">
        <v>20500000</v>
      </c>
      <c r="C15" s="37">
        <v>22200000</v>
      </c>
      <c r="D15" s="37">
        <v>22600000</v>
      </c>
      <c r="E15" s="37">
        <v>21600000</v>
      </c>
      <c r="F15" s="37">
        <v>21700000</v>
      </c>
      <c r="G15" s="37">
        <v>21100000</v>
      </c>
      <c r="H15" s="37">
        <v>21400000</v>
      </c>
      <c r="I15" s="37">
        <v>21200000</v>
      </c>
      <c r="J15" s="37">
        <v>21400000</v>
      </c>
      <c r="K15" s="37">
        <v>21500000</v>
      </c>
    </row>
    <row r="16" spans="1:11" x14ac:dyDescent="0.25">
      <c r="A16" t="s">
        <v>156</v>
      </c>
      <c r="B16" s="37">
        <v>58000000</v>
      </c>
      <c r="C16" s="37">
        <v>67000000</v>
      </c>
      <c r="D16" s="37">
        <v>75000000</v>
      </c>
      <c r="E16" s="37">
        <v>74000000</v>
      </c>
      <c r="F16" s="37">
        <v>79000000</v>
      </c>
      <c r="G16" s="37">
        <v>79000000</v>
      </c>
      <c r="H16" s="37">
        <v>80000000</v>
      </c>
      <c r="I16" s="37">
        <v>78000000</v>
      </c>
      <c r="J16" s="37">
        <v>78000000</v>
      </c>
      <c r="K16" s="37">
        <v>79000000</v>
      </c>
    </row>
    <row r="17" spans="1:11" x14ac:dyDescent="0.25">
      <c r="A17" t="s">
        <v>151</v>
      </c>
      <c r="B17" s="37">
        <v>1046000000</v>
      </c>
      <c r="C17" s="37">
        <v>1221000000</v>
      </c>
      <c r="D17" s="37">
        <v>1317000000</v>
      </c>
      <c r="E17" s="37">
        <v>1286000000</v>
      </c>
      <c r="F17" s="37">
        <v>1287000000</v>
      </c>
      <c r="G17" s="37">
        <v>1252000000</v>
      </c>
      <c r="H17" s="37">
        <v>1276000000</v>
      </c>
      <c r="I17" s="37">
        <v>1260000000</v>
      </c>
      <c r="J17" s="37">
        <v>1274000000</v>
      </c>
      <c r="K17" s="37">
        <v>1282000000</v>
      </c>
    </row>
    <row r="18" spans="1:11" x14ac:dyDescent="0.25">
      <c r="A18" t="s">
        <v>153</v>
      </c>
      <c r="B18" s="25">
        <v>50000000</v>
      </c>
      <c r="C18" s="25">
        <v>50000000</v>
      </c>
      <c r="D18" s="25">
        <v>70000000</v>
      </c>
      <c r="E18" s="25">
        <v>200000000</v>
      </c>
      <c r="F18" s="25">
        <v>250000000</v>
      </c>
      <c r="G18" s="25">
        <v>180000000</v>
      </c>
      <c r="H18" s="25">
        <v>120000000</v>
      </c>
      <c r="I18" s="25">
        <v>120000000</v>
      </c>
      <c r="J18" s="25">
        <v>90000000</v>
      </c>
      <c r="K18" s="25">
        <v>100000000</v>
      </c>
    </row>
    <row r="19" spans="1:11" x14ac:dyDescent="0.25"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0" spans="1:11" x14ac:dyDescent="0.25">
      <c r="B20" s="37"/>
      <c r="C20" s="37"/>
      <c r="D20" s="37"/>
      <c r="E20" s="37"/>
      <c r="F20" s="37"/>
      <c r="G20" s="37"/>
      <c r="H20" s="37"/>
      <c r="I20" s="37"/>
      <c r="J20" s="37"/>
      <c r="K20" s="37"/>
    </row>
    <row r="21" spans="1:11" x14ac:dyDescent="0.25">
      <c r="B21" s="42"/>
      <c r="C21" s="42"/>
      <c r="D21" s="42"/>
      <c r="E21" s="42"/>
      <c r="F21" s="42"/>
      <c r="G21" s="42"/>
      <c r="H21" s="42"/>
      <c r="I21" s="42"/>
      <c r="J21" s="42"/>
      <c r="K21" s="42"/>
    </row>
    <row r="22" spans="1:11" x14ac:dyDescent="0.25">
      <c r="B22" s="41"/>
      <c r="C22" s="42"/>
      <c r="D22" s="42"/>
      <c r="E22" s="42"/>
      <c r="F22" s="42"/>
      <c r="G22" s="42"/>
      <c r="H22" s="42"/>
      <c r="I22" s="42"/>
      <c r="J22" s="42"/>
      <c r="K22" s="42"/>
    </row>
    <row r="23" spans="1:11" x14ac:dyDescent="0.25">
      <c r="B23" s="37"/>
      <c r="C23" s="25"/>
      <c r="D23" s="25"/>
      <c r="E23" s="40"/>
      <c r="F23" s="25"/>
      <c r="G23" s="25"/>
      <c r="H23" s="25"/>
      <c r="I23" s="25"/>
      <c r="J23" s="25"/>
      <c r="K23" s="25"/>
    </row>
    <row r="24" spans="1:1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autoFilter ref="A1:K18" xr:uid="{8DF17EB8-02F1-485E-9D81-51CF2F0BE0EA}">
    <sortState xmlns:xlrd2="http://schemas.microsoft.com/office/spreadsheetml/2017/richdata2" ref="A2:K18">
      <sortCondition ref="A1:A1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vaccine-producer list</vt:lpstr>
      <vt:lpstr>Sheet1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2024-05-14T16:50:25Z</dcterms:modified>
</cp:coreProperties>
</file>