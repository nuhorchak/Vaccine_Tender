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968" documentId="13_ncr:1_{30A8FEE2-BE8F-4FE6-A73D-C8D61511F8D2}" xr6:coauthVersionLast="47" xr6:coauthVersionMax="47" xr10:uidLastSave="{A360C964-A214-4EAB-82C3-2B884BE69F4F}"/>
  <bookViews>
    <workbookView xWindow="13550" yWindow="-110" windowWidth="38620" windowHeight="21100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  <sheet name="Medium_Capacity" sheetId="6" r:id="rId5"/>
  </sheets>
  <definedNames>
    <definedName name="_xlnm._FilterDatabase" localSheetId="2" hidden="1">I_start!#REF!</definedName>
    <definedName name="_xlnm._FilterDatabase" localSheetId="4" hidden="1">Medium_Capacity!$A$2:$P$18</definedName>
    <definedName name="_xlnm._FilterDatabase" localSheetId="1" hidden="1">Q_start!$A$1:$P$53</definedName>
    <definedName name="GAVI_countri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5" i="3"/>
  <c r="B3" i="5"/>
  <c r="B4" i="5"/>
  <c r="B5" i="5"/>
  <c r="B6" i="5"/>
  <c r="B7" i="5"/>
  <c r="B8" i="5"/>
  <c r="B9" i="5"/>
  <c r="B10" i="5"/>
  <c r="B11" i="5"/>
  <c r="B12" i="5"/>
  <c r="B13" i="5"/>
  <c r="B2" i="5"/>
  <c r="D3" i="5"/>
  <c r="D4" i="5"/>
  <c r="D5" i="5"/>
  <c r="D6" i="5"/>
  <c r="D7" i="5"/>
  <c r="D8" i="5"/>
  <c r="D9" i="5"/>
  <c r="D10" i="5"/>
  <c r="D11" i="5"/>
  <c r="D12" i="5"/>
  <c r="D13" i="5"/>
  <c r="D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C2" i="4"/>
  <c r="B2" i="4" s="1"/>
  <c r="D3" i="4"/>
  <c r="E3" i="4" s="1"/>
  <c r="D4" i="4"/>
  <c r="E4" i="4" s="1"/>
  <c r="D5" i="4"/>
  <c r="D6" i="4"/>
  <c r="D7" i="4"/>
  <c r="E7" i="4" s="1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D2" i="4"/>
  <c r="E9" i="3"/>
  <c r="E6" i="3"/>
  <c r="E8" i="3"/>
  <c r="E10" i="3"/>
  <c r="E4" i="3"/>
  <c r="E7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2" i="3"/>
  <c r="K2" i="6"/>
  <c r="C6" i="6"/>
  <c r="C7" i="6"/>
  <c r="C8" i="6"/>
  <c r="C9" i="6"/>
  <c r="B20" i="6"/>
  <c r="C11" i="6" s="1"/>
  <c r="J2" i="6"/>
  <c r="E7" i="6"/>
  <c r="E13" i="6"/>
  <c r="E14" i="6"/>
  <c r="E15" i="6"/>
  <c r="E16" i="6"/>
  <c r="E2" i="6"/>
  <c r="E17" i="6"/>
  <c r="J9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K8" i="6"/>
  <c r="J8" i="6"/>
  <c r="K7" i="6"/>
  <c r="J7" i="6"/>
  <c r="K6" i="6"/>
  <c r="J6" i="6"/>
  <c r="K5" i="6"/>
  <c r="J5" i="6"/>
  <c r="K4" i="6"/>
  <c r="J4" i="6"/>
  <c r="K3" i="6"/>
  <c r="J3" i="6"/>
  <c r="E3" i="6"/>
  <c r="E4" i="6"/>
  <c r="E5" i="6"/>
  <c r="E6" i="6"/>
  <c r="E8" i="6"/>
  <c r="E9" i="6"/>
  <c r="E10" i="6"/>
  <c r="E11" i="6"/>
  <c r="E12" i="6"/>
  <c r="E18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E6" i="4" l="1"/>
  <c r="E5" i="4"/>
  <c r="E2" i="4"/>
  <c r="C10" i="6"/>
  <c r="C4" i="6"/>
  <c r="C3" i="6"/>
  <c r="C2" i="6"/>
  <c r="C5" i="6"/>
  <c r="C18" i="6"/>
  <c r="C17" i="6"/>
  <c r="C16" i="6"/>
  <c r="C15" i="6"/>
  <c r="C14" i="6"/>
  <c r="C13" i="6"/>
  <c r="C12" i="6"/>
  <c r="D3" i="6"/>
  <c r="F3" i="6" s="1"/>
  <c r="D14" i="6"/>
  <c r="F14" i="6" s="1"/>
  <c r="D4" i="6"/>
  <c r="F4" i="6" s="1"/>
  <c r="D6" i="6"/>
  <c r="F6" i="6" s="1"/>
  <c r="D18" i="6"/>
  <c r="D10" i="6" l="1"/>
  <c r="F10" i="6" s="1"/>
  <c r="D13" i="6"/>
  <c r="F13" i="6" s="1"/>
  <c r="D5" i="6"/>
  <c r="F5" i="6" s="1"/>
  <c r="D11" i="6"/>
  <c r="F11" i="6" s="1"/>
  <c r="D2" i="6"/>
  <c r="F2" i="6" s="1"/>
  <c r="D7" i="6"/>
  <c r="F7" i="6" s="1"/>
  <c r="D9" i="6"/>
  <c r="F9" i="6" s="1"/>
  <c r="D16" i="6"/>
  <c r="F16" i="6" s="1"/>
  <c r="F18" i="6"/>
  <c r="D8" i="6"/>
  <c r="F8" i="6" s="1"/>
  <c r="D15" i="6"/>
  <c r="F15" i="6" s="1"/>
  <c r="D17" i="6"/>
  <c r="F17" i="6" s="1"/>
  <c r="D12" i="6"/>
  <c r="F12" i="6" s="1"/>
</calcChain>
</file>

<file path=xl/sharedStrings.xml><?xml version="1.0" encoding="utf-8"?>
<sst xmlns="http://schemas.openxmlformats.org/spreadsheetml/2006/main" count="320" uniqueCount="61">
  <si>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</si>
  <si>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</si>
  <si>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</si>
  <si>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</si>
  <si>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</si>
  <si>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</si>
  <si>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</si>
  <si>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</si>
  <si>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</si>
  <si>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</si>
  <si>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</si>
  <si>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</si>
  <si>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</si>
  <si>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</si>
  <si>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</si>
  <si>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</si>
  <si>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</si>
  <si>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</si>
  <si>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</si>
  <si>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</si>
  <si>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</si>
  <si>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</si>
  <si>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</si>
  <si>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</si>
  <si>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</si>
  <si>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</si>
  <si>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</si>
  <si>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</si>
  <si>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</si>
  <si>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</si>
  <si>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</si>
  <si>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</si>
  <si>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</si>
  <si>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</si>
  <si>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</si>
  <si>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</si>
  <si>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</si>
  <si>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</si>
  <si>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</si>
  <si>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</si>
  <si>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</si>
  <si>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</si>
  <si>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</si>
  <si>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</si>
  <si>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</si>
  <si>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Centro_de</t>
  </si>
  <si>
    <t>AJ_Vaccines</t>
  </si>
  <si>
    <t>Bilthoven</t>
  </si>
  <si>
    <t>Beijing_Institute</t>
  </si>
  <si>
    <t>Haffkine_Bio</t>
  </si>
  <si>
    <t>Check Sum</t>
  </si>
  <si>
    <t>Capacity</t>
  </si>
  <si>
    <t>Diffs</t>
  </si>
  <si>
    <t>Percent of whole</t>
  </si>
  <si>
    <t xml:space="preserve"> </t>
  </si>
  <si>
    <t>percent share</t>
  </si>
  <si>
    <t>antigen demand</t>
  </si>
  <si>
    <t>.025 demand</t>
  </si>
  <si>
    <t>Rand</t>
  </si>
  <si>
    <t>ran val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</si>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</sst>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1"/>
      <color rgb="FF098658"/>
      <name val="Consolas"/>
      <family val="3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1" applyNumberFormat="1" applyFont="1" applyFill="1"/>
    <xf numFmtId="1" fontId="0" fillId="0" borderId="0" xfId="1" applyNumberFormat="1" applyFont="1" applyFill="1"/>
    <xf numFmtId="4" fontId="0" fillId="0" borderId="0" xfId="0" applyNumberFormat="1"/>
    <xf numFmtId="164" fontId="0" fillId="0" borderId="0" xfId="0" applyNumberFormat="1"/>
    <xf numFmtId="4" fontId="4" fillId="0" borderId="0" xfId="0" applyNumberFormat="1" applyFont="1" applyAlignment="1">
      <alignment vertical="center"/>
    </xf>
    <xf numFmtId="1" fontId="3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0" fillId="0" borderId="0" xfId="1" applyNumberFormat="1" applyFont="1" applyFill="1" applyAlignment="1">
      <alignment horizontal="center" wrapText="1"/>
    </xf>
    <xf numFmtId="43" fontId="0" fillId="0" borderId="0" xfId="0" applyNumberFormat="1" applyAlignment="1">
      <alignment horizontal="center" wrapText="1"/>
    </xf>
    <xf numFmtId="165" fontId="0" fillId="0" borderId="0" xfId="1" applyNumberFormat="1" applyFont="1" applyFill="1" applyAlignment="1">
      <alignment horizontal="center" wrapText="1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vertical="center"/>
    </xf>
    <xf numFmtId="40" fontId="0" fillId="0" borderId="0" xfId="0" applyNumberFormat="1" applyAlignment="1">
      <alignment horizontal="center" wrapText="1"/>
    </xf>
    <xf numFmtId="1" fontId="0" fillId="0" borderId="0" xfId="0" applyNumberFormat="1"/>
    <xf numFmtId="2" fontId="0" fillId="0" borderId="0" xfId="0" applyNumberFormat="1"/>
    <xf numFmtId="0" fontId="0" fillId="2" borderId="0" xfId="0" applyFill="1"/>
  </cellXfs>
  <cellStyles count="3">
    <cellStyle name="Comma" xfId="1" builtinId="3"/>
    <cellStyle name="Normal" xfId="0" builtinId="0"/>
    <cellStyle name="Normal 2" xfId="2" xr:uid="{7E8BD9F5-B830-4B85-AC68-AF3D69635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tabSelected="1" workbookViewId="0">
      <selection activeCell="C2" sqref="C2:C13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1</v>
      </c>
    </row>
    <row r="3" spans="1:3" x14ac:dyDescent="0.25">
      <c r="A3" s="1" t="s">
        <v>1</v>
      </c>
      <c r="B3">
        <v>1</v>
      </c>
      <c r="C3">
        <v>1</v>
      </c>
    </row>
    <row r="4" spans="1:3" x14ac:dyDescent="0.25">
      <c r="A4" s="1" t="s">
        <v>2</v>
      </c>
      <c r="B4">
        <v>1</v>
      </c>
      <c r="C4">
        <v>1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1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P52"/>
  <sheetViews>
    <sheetView workbookViewId="0">
      <selection activeCell="E4" sqref="E4"/>
    </sheetView>
  </sheetViews>
  <sheetFormatPr defaultRowHeight="15" x14ac:dyDescent="0.25"/>
  <cols>
    <col min="1" max="1" width="12.42578125" style="2" bestFit="1" customWidth="1"/>
    <col min="2" max="2" width="15.85546875" style="2" bestFit="1" customWidth="1"/>
    <col min="3" max="4" width="8.85546875" style="2"/>
    <col min="5" max="5" width="16.140625" style="3" bestFit="1" customWidth="1"/>
    <col min="6" max="6" width="14.28515625" bestFit="1" customWidth="1"/>
    <col min="8" max="8" width="12" bestFit="1" customWidth="1"/>
    <col min="11" max="12" width="15.85546875" bestFit="1" customWidth="1"/>
    <col min="13" max="14" width="18.42578125" customWidth="1"/>
    <col min="15" max="15" width="15.140625" customWidth="1"/>
  </cols>
  <sheetData>
    <row r="1" spans="1:12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  <c r="F1" s="2"/>
    </row>
    <row r="2" spans="1:12" x14ac:dyDescent="0.25">
      <c r="A2" t="s">
        <v>19</v>
      </c>
      <c r="B2" t="s">
        <v>23</v>
      </c>
      <c r="C2" s="2">
        <v>1</v>
      </c>
      <c r="D2" s="2">
        <v>1</v>
      </c>
      <c r="E2">
        <f>ROUND(F2*G2,0)</f>
        <v>0</v>
      </c>
      <c r="F2">
        <v>0</v>
      </c>
      <c r="G2" s="22">
        <v>1</v>
      </c>
    </row>
    <row r="3" spans="1:12" x14ac:dyDescent="0.25">
      <c r="A3" t="s">
        <v>19</v>
      </c>
      <c r="B3" t="s">
        <v>20</v>
      </c>
      <c r="C3" s="2">
        <v>1</v>
      </c>
      <c r="D3" s="2">
        <v>1</v>
      </c>
      <c r="E3">
        <f>ROUND(F3*G3,0)</f>
        <v>13299464</v>
      </c>
      <c r="F3">
        <v>13299464</v>
      </c>
      <c r="G3" s="22">
        <v>1</v>
      </c>
    </row>
    <row r="4" spans="1:12" x14ac:dyDescent="0.25">
      <c r="A4" t="s">
        <v>25</v>
      </c>
      <c r="B4" t="s">
        <v>23</v>
      </c>
      <c r="C4" s="2">
        <v>1</v>
      </c>
      <c r="D4" s="2">
        <v>1</v>
      </c>
      <c r="E4">
        <f t="shared" ref="E4:E52" si="0">ROUND(F4*G4,0)</f>
        <v>0</v>
      </c>
      <c r="F4">
        <v>0</v>
      </c>
      <c r="G4" s="22">
        <v>1</v>
      </c>
      <c r="J4" s="2"/>
      <c r="K4" s="2"/>
      <c r="L4" s="2"/>
    </row>
    <row r="5" spans="1:12" x14ac:dyDescent="0.25">
      <c r="A5" t="s">
        <v>25</v>
      </c>
      <c r="B5" t="s">
        <v>26</v>
      </c>
      <c r="C5" s="2">
        <v>1</v>
      </c>
      <c r="D5" s="2">
        <v>1</v>
      </c>
      <c r="E5" s="7">
        <f>ROUND(F5*G5,0)</f>
        <v>90279149</v>
      </c>
      <c r="F5">
        <v>90279149</v>
      </c>
      <c r="G5" s="22">
        <v>1</v>
      </c>
      <c r="J5" s="2"/>
      <c r="K5" s="2"/>
      <c r="L5" s="2"/>
    </row>
    <row r="6" spans="1:12" x14ac:dyDescent="0.25">
      <c r="A6" t="s">
        <v>21</v>
      </c>
      <c r="B6" t="s">
        <v>23</v>
      </c>
      <c r="C6" s="2">
        <v>1</v>
      </c>
      <c r="D6" s="2">
        <v>1</v>
      </c>
      <c r="E6">
        <f t="shared" si="0"/>
        <v>13547121</v>
      </c>
      <c r="F6">
        <v>13547121</v>
      </c>
      <c r="G6" s="22">
        <v>1</v>
      </c>
      <c r="J6" s="2"/>
      <c r="K6" s="2"/>
      <c r="L6" s="2"/>
    </row>
    <row r="7" spans="1:12" x14ac:dyDescent="0.25">
      <c r="A7" t="s">
        <v>21</v>
      </c>
      <c r="B7" t="s">
        <v>22</v>
      </c>
      <c r="C7" s="2">
        <v>1</v>
      </c>
      <c r="D7" s="2">
        <v>1</v>
      </c>
      <c r="E7">
        <f t="shared" si="0"/>
        <v>12505034</v>
      </c>
      <c r="F7">
        <v>12505034</v>
      </c>
      <c r="G7" s="22">
        <v>1</v>
      </c>
      <c r="J7" s="2"/>
      <c r="K7" s="2"/>
      <c r="L7" s="2"/>
    </row>
    <row r="8" spans="1:12" x14ac:dyDescent="0.25">
      <c r="A8" t="s">
        <v>21</v>
      </c>
      <c r="B8" t="s">
        <v>24</v>
      </c>
      <c r="C8" s="2">
        <v>1</v>
      </c>
      <c r="D8" s="2">
        <v>1</v>
      </c>
      <c r="E8">
        <f t="shared" si="0"/>
        <v>2182374</v>
      </c>
      <c r="F8">
        <v>2182374</v>
      </c>
      <c r="G8" s="22">
        <v>1</v>
      </c>
      <c r="J8" s="2"/>
      <c r="K8" s="2"/>
      <c r="L8" s="2"/>
    </row>
    <row r="9" spans="1:12" x14ac:dyDescent="0.25">
      <c r="A9" t="s">
        <v>39</v>
      </c>
      <c r="B9" t="s">
        <v>23</v>
      </c>
      <c r="C9" s="2">
        <v>1</v>
      </c>
      <c r="D9" s="2">
        <v>1</v>
      </c>
      <c r="E9">
        <f t="shared" si="0"/>
        <v>4334425</v>
      </c>
      <c r="F9" s="23">
        <v>4334425</v>
      </c>
      <c r="G9" s="22">
        <v>1</v>
      </c>
      <c r="J9" s="2"/>
      <c r="K9" s="2"/>
      <c r="L9" s="2"/>
    </row>
    <row r="10" spans="1:12" x14ac:dyDescent="0.25">
      <c r="A10" t="s">
        <v>39</v>
      </c>
      <c r="B10" t="s">
        <v>20</v>
      </c>
      <c r="C10" s="2">
        <v>1</v>
      </c>
      <c r="D10" s="2">
        <v>1</v>
      </c>
      <c r="E10">
        <f t="shared" si="0"/>
        <v>0</v>
      </c>
      <c r="F10">
        <v>0</v>
      </c>
      <c r="G10" s="22">
        <v>1</v>
      </c>
      <c r="J10" s="2"/>
      <c r="K10" s="2"/>
      <c r="L10" s="2"/>
    </row>
    <row r="11" spans="1:12" x14ac:dyDescent="0.25">
      <c r="A11" t="s">
        <v>39</v>
      </c>
      <c r="B11" t="s">
        <v>28</v>
      </c>
      <c r="C11" s="2">
        <v>1</v>
      </c>
      <c r="D11" s="2">
        <v>1</v>
      </c>
      <c r="E11">
        <f t="shared" si="0"/>
        <v>0</v>
      </c>
      <c r="F11">
        <v>0</v>
      </c>
      <c r="G11" s="22">
        <v>1</v>
      </c>
    </row>
    <row r="12" spans="1:12" x14ac:dyDescent="0.25">
      <c r="A12" t="s">
        <v>40</v>
      </c>
      <c r="B12" t="s">
        <v>23</v>
      </c>
      <c r="C12" s="2">
        <v>1</v>
      </c>
      <c r="D12" s="2">
        <v>1</v>
      </c>
      <c r="E12">
        <f t="shared" si="0"/>
        <v>0</v>
      </c>
      <c r="F12">
        <v>0</v>
      </c>
      <c r="G12" s="22">
        <v>1</v>
      </c>
    </row>
    <row r="13" spans="1:12" x14ac:dyDescent="0.25">
      <c r="A13" t="s">
        <v>40</v>
      </c>
      <c r="B13" t="s">
        <v>31</v>
      </c>
      <c r="C13" s="2">
        <v>1</v>
      </c>
      <c r="D13" s="2">
        <v>1</v>
      </c>
      <c r="E13">
        <f t="shared" si="0"/>
        <v>0</v>
      </c>
      <c r="F13">
        <v>0</v>
      </c>
      <c r="G13" s="22">
        <v>1</v>
      </c>
    </row>
    <row r="14" spans="1:12" x14ac:dyDescent="0.25">
      <c r="A14" t="s">
        <v>7</v>
      </c>
      <c r="B14" t="s">
        <v>23</v>
      </c>
      <c r="C14" s="2">
        <v>1</v>
      </c>
      <c r="D14" s="2">
        <v>1</v>
      </c>
      <c r="E14">
        <f t="shared" si="0"/>
        <v>0</v>
      </c>
      <c r="F14">
        <v>0</v>
      </c>
      <c r="G14" s="22">
        <v>1</v>
      </c>
    </row>
    <row r="15" spans="1:12" x14ac:dyDescent="0.25">
      <c r="A15" t="s">
        <v>7</v>
      </c>
      <c r="B15" t="s">
        <v>33</v>
      </c>
      <c r="C15" s="2">
        <v>1</v>
      </c>
      <c r="D15" s="2">
        <v>1</v>
      </c>
      <c r="E15">
        <f t="shared" si="0"/>
        <v>0</v>
      </c>
      <c r="F15">
        <v>0</v>
      </c>
      <c r="G15" s="22">
        <v>1</v>
      </c>
    </row>
    <row r="16" spans="1:12" x14ac:dyDescent="0.25">
      <c r="A16" t="s">
        <v>7</v>
      </c>
      <c r="B16" t="s">
        <v>45</v>
      </c>
      <c r="C16" s="2">
        <v>1</v>
      </c>
      <c r="D16" s="2">
        <v>1</v>
      </c>
      <c r="E16">
        <f t="shared" si="0"/>
        <v>0</v>
      </c>
      <c r="F16" s="23">
        <v>0</v>
      </c>
      <c r="G16" s="22">
        <v>1</v>
      </c>
      <c r="J16" s="2"/>
      <c r="K16" s="2"/>
      <c r="L16" s="2"/>
    </row>
    <row r="17" spans="1:16" x14ac:dyDescent="0.25">
      <c r="A17" t="s">
        <v>32</v>
      </c>
      <c r="B17" t="s">
        <v>31</v>
      </c>
      <c r="C17" s="2">
        <v>1</v>
      </c>
      <c r="D17" s="2">
        <v>1</v>
      </c>
      <c r="E17">
        <f t="shared" si="0"/>
        <v>40213942</v>
      </c>
      <c r="F17">
        <v>40213942</v>
      </c>
      <c r="G17" s="22">
        <v>1</v>
      </c>
      <c r="J17" s="2"/>
    </row>
    <row r="18" spans="1:16" x14ac:dyDescent="0.25">
      <c r="A18" t="s">
        <v>32</v>
      </c>
      <c r="B18" t="s">
        <v>46</v>
      </c>
      <c r="C18" s="2">
        <v>1</v>
      </c>
      <c r="D18" s="2">
        <v>1</v>
      </c>
      <c r="E18">
        <f t="shared" si="0"/>
        <v>0</v>
      </c>
      <c r="F18">
        <v>0</v>
      </c>
      <c r="G18" s="22">
        <v>1</v>
      </c>
      <c r="J18" s="2"/>
    </row>
    <row r="19" spans="1:16" x14ac:dyDescent="0.25">
      <c r="A19" t="s">
        <v>32</v>
      </c>
      <c r="B19" t="s">
        <v>47</v>
      </c>
      <c r="C19" s="2">
        <v>1</v>
      </c>
      <c r="D19" s="2">
        <v>1</v>
      </c>
      <c r="E19">
        <f t="shared" si="0"/>
        <v>0</v>
      </c>
      <c r="F19">
        <v>0</v>
      </c>
      <c r="G19" s="22">
        <v>1</v>
      </c>
      <c r="J19" s="2"/>
    </row>
    <row r="20" spans="1:16" x14ac:dyDescent="0.25">
      <c r="A20" t="s">
        <v>32</v>
      </c>
      <c r="B20" t="s">
        <v>33</v>
      </c>
      <c r="C20" s="2">
        <v>1</v>
      </c>
      <c r="D20" s="2">
        <v>1</v>
      </c>
      <c r="E20">
        <f t="shared" si="0"/>
        <v>43365104</v>
      </c>
      <c r="F20">
        <v>43365104</v>
      </c>
      <c r="G20" s="22">
        <v>1</v>
      </c>
      <c r="J20" s="2"/>
    </row>
    <row r="21" spans="1:16" x14ac:dyDescent="0.25">
      <c r="A21" t="s">
        <v>34</v>
      </c>
      <c r="B21" t="s">
        <v>23</v>
      </c>
      <c r="C21" s="2">
        <v>1</v>
      </c>
      <c r="D21" s="2">
        <v>1</v>
      </c>
      <c r="E21">
        <f t="shared" si="0"/>
        <v>0</v>
      </c>
      <c r="F21">
        <v>0</v>
      </c>
      <c r="G21" s="22">
        <v>1</v>
      </c>
    </row>
    <row r="22" spans="1:16" x14ac:dyDescent="0.25">
      <c r="A22" t="s">
        <v>34</v>
      </c>
      <c r="B22" t="s">
        <v>20</v>
      </c>
      <c r="C22" s="2">
        <v>1</v>
      </c>
      <c r="D22" s="2">
        <v>1</v>
      </c>
      <c r="E22">
        <f t="shared" si="0"/>
        <v>42340296</v>
      </c>
      <c r="F22">
        <v>42340296</v>
      </c>
      <c r="G22" s="22">
        <v>1</v>
      </c>
      <c r="O22" s="10"/>
    </row>
    <row r="23" spans="1:16" x14ac:dyDescent="0.25">
      <c r="A23" t="s">
        <v>34</v>
      </c>
      <c r="B23" t="s">
        <v>22</v>
      </c>
      <c r="C23" s="2">
        <v>1</v>
      </c>
      <c r="D23" s="2">
        <v>1</v>
      </c>
      <c r="E23">
        <f t="shared" si="0"/>
        <v>219201481</v>
      </c>
      <c r="F23">
        <v>219201481</v>
      </c>
      <c r="G23" s="22">
        <v>1</v>
      </c>
      <c r="O23" s="10"/>
    </row>
    <row r="24" spans="1:16" x14ac:dyDescent="0.25">
      <c r="A24" t="s">
        <v>34</v>
      </c>
      <c r="B24" t="s">
        <v>33</v>
      </c>
      <c r="C24" s="2">
        <v>1</v>
      </c>
      <c r="D24" s="2">
        <v>1</v>
      </c>
      <c r="E24">
        <f t="shared" si="0"/>
        <v>61220888</v>
      </c>
      <c r="F24">
        <v>61220888</v>
      </c>
      <c r="G24" s="22">
        <v>1</v>
      </c>
      <c r="J24" s="2"/>
      <c r="O24" s="10"/>
    </row>
    <row r="25" spans="1:16" x14ac:dyDescent="0.25">
      <c r="A25" t="s">
        <v>34</v>
      </c>
      <c r="B25" t="s">
        <v>30</v>
      </c>
      <c r="C25" s="2">
        <v>1</v>
      </c>
      <c r="D25" s="2">
        <v>1</v>
      </c>
      <c r="E25">
        <f t="shared" si="0"/>
        <v>0</v>
      </c>
      <c r="F25">
        <v>0</v>
      </c>
      <c r="G25" s="22">
        <v>1</v>
      </c>
      <c r="J25" s="2"/>
      <c r="O25" s="10"/>
    </row>
    <row r="26" spans="1:16" x14ac:dyDescent="0.25">
      <c r="A26" t="s">
        <v>34</v>
      </c>
      <c r="B26" t="s">
        <v>48</v>
      </c>
      <c r="C26" s="2">
        <v>1</v>
      </c>
      <c r="D26" s="2">
        <v>1</v>
      </c>
      <c r="E26">
        <f t="shared" si="0"/>
        <v>0</v>
      </c>
      <c r="F26">
        <v>0</v>
      </c>
      <c r="G26" s="22">
        <v>1</v>
      </c>
      <c r="I26" s="2"/>
      <c r="J26" s="2"/>
      <c r="O26" s="10"/>
    </row>
    <row r="27" spans="1:16" x14ac:dyDescent="0.25">
      <c r="A27" t="s">
        <v>34</v>
      </c>
      <c r="B27" t="s">
        <v>36</v>
      </c>
      <c r="C27" s="2">
        <v>1</v>
      </c>
      <c r="D27" s="2">
        <v>1</v>
      </c>
      <c r="E27">
        <f t="shared" si="0"/>
        <v>0</v>
      </c>
      <c r="F27">
        <v>0</v>
      </c>
      <c r="G27" s="22">
        <v>1</v>
      </c>
      <c r="I27" s="2"/>
      <c r="J27" s="2"/>
      <c r="O27" s="10"/>
    </row>
    <row r="28" spans="1:16" x14ac:dyDescent="0.25">
      <c r="A28" t="s">
        <v>34</v>
      </c>
      <c r="B28" t="s">
        <v>49</v>
      </c>
      <c r="C28" s="2">
        <v>1</v>
      </c>
      <c r="D28" s="2">
        <v>1</v>
      </c>
      <c r="E28">
        <f t="shared" si="0"/>
        <v>6000000</v>
      </c>
      <c r="F28" s="23">
        <v>6000000</v>
      </c>
      <c r="G28" s="22">
        <v>1</v>
      </c>
      <c r="I28" s="2"/>
      <c r="J28" s="2"/>
      <c r="O28" s="10"/>
    </row>
    <row r="29" spans="1:16" x14ac:dyDescent="0.25">
      <c r="A29" t="s">
        <v>41</v>
      </c>
      <c r="B29" t="s">
        <v>23</v>
      </c>
      <c r="C29" s="2">
        <v>1</v>
      </c>
      <c r="D29" s="2">
        <v>1</v>
      </c>
      <c r="E29">
        <f t="shared" si="0"/>
        <v>0</v>
      </c>
      <c r="F29">
        <v>0</v>
      </c>
      <c r="G29" s="22">
        <v>1</v>
      </c>
      <c r="J29" s="2"/>
      <c r="O29" s="10"/>
    </row>
    <row r="30" spans="1:16" x14ac:dyDescent="0.25">
      <c r="A30" t="s">
        <v>41</v>
      </c>
      <c r="B30" t="s">
        <v>20</v>
      </c>
      <c r="C30" s="2">
        <v>1</v>
      </c>
      <c r="D30" s="2">
        <v>1</v>
      </c>
      <c r="E30">
        <f t="shared" si="0"/>
        <v>0</v>
      </c>
      <c r="F30">
        <v>0</v>
      </c>
      <c r="G30" s="22">
        <v>1</v>
      </c>
    </row>
    <row r="31" spans="1:16" x14ac:dyDescent="0.25">
      <c r="A31" t="s">
        <v>41</v>
      </c>
      <c r="B31" t="s">
        <v>28</v>
      </c>
      <c r="C31" s="2">
        <v>1</v>
      </c>
      <c r="D31" s="2">
        <v>1</v>
      </c>
      <c r="E31">
        <f t="shared" si="0"/>
        <v>0</v>
      </c>
      <c r="F31">
        <v>0</v>
      </c>
      <c r="G31" s="22">
        <v>1</v>
      </c>
      <c r="O31" s="18"/>
      <c r="P31" t="s">
        <v>54</v>
      </c>
    </row>
    <row r="32" spans="1:16" x14ac:dyDescent="0.25">
      <c r="A32" t="s">
        <v>27</v>
      </c>
      <c r="B32" t="s">
        <v>23</v>
      </c>
      <c r="C32" s="2">
        <v>1</v>
      </c>
      <c r="D32" s="2">
        <v>1</v>
      </c>
      <c r="E32">
        <f t="shared" si="0"/>
        <v>180177056</v>
      </c>
      <c r="F32">
        <v>180177056</v>
      </c>
      <c r="G32" s="22">
        <v>1</v>
      </c>
    </row>
    <row r="33" spans="1:10" x14ac:dyDescent="0.25">
      <c r="A33" t="s">
        <v>27</v>
      </c>
      <c r="B33" t="s">
        <v>20</v>
      </c>
      <c r="C33" s="2">
        <v>1</v>
      </c>
      <c r="D33" s="2">
        <v>1</v>
      </c>
      <c r="E33">
        <f t="shared" si="0"/>
        <v>0</v>
      </c>
      <c r="F33">
        <v>0</v>
      </c>
      <c r="G33" s="22">
        <v>1</v>
      </c>
    </row>
    <row r="34" spans="1:10" x14ac:dyDescent="0.25">
      <c r="A34" t="s">
        <v>27</v>
      </c>
      <c r="B34" t="s">
        <v>28</v>
      </c>
      <c r="C34" s="2">
        <v>1</v>
      </c>
      <c r="D34" s="2">
        <v>1</v>
      </c>
      <c r="E34">
        <f t="shared" si="0"/>
        <v>13305452</v>
      </c>
      <c r="F34">
        <v>13305452</v>
      </c>
      <c r="G34" s="22">
        <v>1</v>
      </c>
    </row>
    <row r="35" spans="1:10" x14ac:dyDescent="0.25">
      <c r="A35" t="s">
        <v>42</v>
      </c>
      <c r="B35" t="s">
        <v>23</v>
      </c>
      <c r="C35" s="2">
        <v>1</v>
      </c>
      <c r="D35" s="2">
        <v>1</v>
      </c>
      <c r="E35">
        <f t="shared" si="0"/>
        <v>0</v>
      </c>
      <c r="F35">
        <v>0</v>
      </c>
      <c r="G35" s="22">
        <v>1</v>
      </c>
      <c r="J35" s="2"/>
    </row>
    <row r="36" spans="1:10" x14ac:dyDescent="0.25">
      <c r="A36" t="s">
        <v>42</v>
      </c>
      <c r="B36" t="s">
        <v>26</v>
      </c>
      <c r="C36" s="2">
        <v>1</v>
      </c>
      <c r="D36" s="2">
        <v>1</v>
      </c>
      <c r="E36">
        <f t="shared" si="0"/>
        <v>0</v>
      </c>
      <c r="F36">
        <v>0</v>
      </c>
      <c r="G36" s="22">
        <v>1</v>
      </c>
      <c r="J36" s="2"/>
    </row>
    <row r="37" spans="1:10" x14ac:dyDescent="0.25">
      <c r="A37" t="s">
        <v>43</v>
      </c>
      <c r="B37" t="s">
        <v>23</v>
      </c>
      <c r="C37" s="2">
        <v>1</v>
      </c>
      <c r="D37" s="2">
        <v>1</v>
      </c>
      <c r="E37">
        <f t="shared" si="0"/>
        <v>0</v>
      </c>
      <c r="F37">
        <v>0</v>
      </c>
      <c r="G37" s="22">
        <v>1</v>
      </c>
      <c r="J37" s="2"/>
    </row>
    <row r="38" spans="1:10" x14ac:dyDescent="0.25">
      <c r="A38" t="s">
        <v>29</v>
      </c>
      <c r="B38" t="s">
        <v>23</v>
      </c>
      <c r="C38" s="2">
        <v>1</v>
      </c>
      <c r="D38" s="2">
        <v>1</v>
      </c>
      <c r="E38">
        <f t="shared" si="0"/>
        <v>140931564</v>
      </c>
      <c r="F38">
        <v>140931564</v>
      </c>
      <c r="G38" s="22">
        <v>1</v>
      </c>
    </row>
    <row r="39" spans="1:10" x14ac:dyDescent="0.25">
      <c r="A39" t="s">
        <v>29</v>
      </c>
      <c r="B39" t="s">
        <v>20</v>
      </c>
      <c r="C39" s="2">
        <v>1</v>
      </c>
      <c r="D39" s="2">
        <v>1</v>
      </c>
      <c r="E39">
        <f t="shared" si="0"/>
        <v>31318125</v>
      </c>
      <c r="F39">
        <v>31318125</v>
      </c>
      <c r="G39" s="22">
        <v>1</v>
      </c>
    </row>
    <row r="40" spans="1:10" x14ac:dyDescent="0.25">
      <c r="A40" t="s">
        <v>29</v>
      </c>
      <c r="B40" t="s">
        <v>26</v>
      </c>
      <c r="C40" s="2">
        <v>1</v>
      </c>
      <c r="D40" s="2">
        <v>1</v>
      </c>
      <c r="E40" s="7">
        <f t="shared" si="0"/>
        <v>53688215</v>
      </c>
      <c r="F40">
        <v>53688215</v>
      </c>
      <c r="G40" s="22">
        <v>1</v>
      </c>
    </row>
    <row r="41" spans="1:10" x14ac:dyDescent="0.25">
      <c r="A41" t="s">
        <v>29</v>
      </c>
      <c r="B41" t="s">
        <v>31</v>
      </c>
      <c r="C41" s="2">
        <v>1</v>
      </c>
      <c r="D41" s="2">
        <v>1</v>
      </c>
      <c r="E41">
        <f t="shared" si="0"/>
        <v>17896071</v>
      </c>
      <c r="F41">
        <v>17896071</v>
      </c>
      <c r="G41" s="22">
        <v>1</v>
      </c>
    </row>
    <row r="42" spans="1:10" x14ac:dyDescent="0.25">
      <c r="A42" t="s">
        <v>29</v>
      </c>
      <c r="B42" t="s">
        <v>30</v>
      </c>
      <c r="C42" s="2">
        <v>1</v>
      </c>
      <c r="D42" s="2">
        <v>1</v>
      </c>
      <c r="E42">
        <f t="shared" si="0"/>
        <v>8948035</v>
      </c>
      <c r="F42">
        <v>8948035</v>
      </c>
      <c r="G42" s="22">
        <v>1</v>
      </c>
    </row>
    <row r="43" spans="1:10" x14ac:dyDescent="0.25">
      <c r="A43" t="s">
        <v>44</v>
      </c>
      <c r="B43" t="s">
        <v>33</v>
      </c>
      <c r="C43" s="2">
        <v>1</v>
      </c>
      <c r="D43" s="2">
        <v>1</v>
      </c>
      <c r="E43">
        <f t="shared" si="0"/>
        <v>0</v>
      </c>
      <c r="F43">
        <v>0</v>
      </c>
      <c r="G43" s="22">
        <v>1</v>
      </c>
    </row>
    <row r="44" spans="1:10" x14ac:dyDescent="0.25">
      <c r="A44" t="s">
        <v>9</v>
      </c>
      <c r="B44" t="s">
        <v>22</v>
      </c>
      <c r="C44" s="2">
        <v>1</v>
      </c>
      <c r="D44" s="2">
        <v>1</v>
      </c>
      <c r="E44">
        <f t="shared" si="0"/>
        <v>13464366</v>
      </c>
      <c r="F44">
        <v>13464366</v>
      </c>
      <c r="G44" s="22">
        <v>1</v>
      </c>
    </row>
    <row r="45" spans="1:10" x14ac:dyDescent="0.25">
      <c r="A45" t="s">
        <v>9</v>
      </c>
      <c r="B45" t="s">
        <v>24</v>
      </c>
      <c r="C45" s="2">
        <v>1</v>
      </c>
      <c r="D45" s="2">
        <v>1</v>
      </c>
      <c r="E45">
        <f t="shared" si="0"/>
        <v>725004</v>
      </c>
      <c r="F45">
        <v>725004</v>
      </c>
      <c r="G45" s="22">
        <v>1</v>
      </c>
    </row>
    <row r="46" spans="1:10" x14ac:dyDescent="0.25">
      <c r="A46" t="s">
        <v>9</v>
      </c>
      <c r="B46" t="s">
        <v>35</v>
      </c>
      <c r="C46" s="2">
        <v>1</v>
      </c>
      <c r="D46" s="2">
        <v>1</v>
      </c>
      <c r="E46">
        <f t="shared" si="0"/>
        <v>0</v>
      </c>
      <c r="F46">
        <v>0</v>
      </c>
      <c r="G46" s="22">
        <v>1</v>
      </c>
    </row>
    <row r="47" spans="1:10" x14ac:dyDescent="0.25">
      <c r="A47" t="s">
        <v>10</v>
      </c>
      <c r="B47" t="s">
        <v>23</v>
      </c>
      <c r="C47" s="2">
        <v>1</v>
      </c>
      <c r="D47" s="2">
        <v>1</v>
      </c>
      <c r="E47">
        <f t="shared" si="0"/>
        <v>0</v>
      </c>
      <c r="F47">
        <v>0</v>
      </c>
      <c r="G47" s="22">
        <v>1</v>
      </c>
    </row>
    <row r="48" spans="1:10" x14ac:dyDescent="0.25">
      <c r="A48" t="s">
        <v>10</v>
      </c>
      <c r="B48" t="s">
        <v>22</v>
      </c>
      <c r="C48" s="2">
        <v>1</v>
      </c>
      <c r="D48" s="2">
        <v>1</v>
      </c>
      <c r="E48">
        <f t="shared" si="0"/>
        <v>56510400</v>
      </c>
      <c r="F48">
        <v>56510400</v>
      </c>
      <c r="G48" s="22">
        <v>1</v>
      </c>
    </row>
    <row r="49" spans="1:7" x14ac:dyDescent="0.25">
      <c r="A49" t="s">
        <v>10</v>
      </c>
      <c r="B49" t="s">
        <v>36</v>
      </c>
      <c r="C49" s="2">
        <v>1</v>
      </c>
      <c r="D49" s="2">
        <v>1</v>
      </c>
      <c r="E49">
        <f t="shared" si="0"/>
        <v>0</v>
      </c>
      <c r="F49">
        <v>0</v>
      </c>
      <c r="G49" s="22">
        <v>1</v>
      </c>
    </row>
    <row r="50" spans="1:7" x14ac:dyDescent="0.25">
      <c r="A50" t="s">
        <v>13</v>
      </c>
      <c r="B50" t="s">
        <v>23</v>
      </c>
      <c r="C50" s="2">
        <v>1</v>
      </c>
      <c r="D50" s="2">
        <v>1</v>
      </c>
      <c r="E50">
        <f t="shared" si="0"/>
        <v>148533333</v>
      </c>
      <c r="F50">
        <v>148533333</v>
      </c>
      <c r="G50" s="22">
        <v>1</v>
      </c>
    </row>
    <row r="51" spans="1:7" x14ac:dyDescent="0.25">
      <c r="A51" t="s">
        <v>13</v>
      </c>
      <c r="B51" t="s">
        <v>22</v>
      </c>
      <c r="C51" s="2">
        <v>1</v>
      </c>
      <c r="D51" s="2">
        <v>1</v>
      </c>
      <c r="E51">
        <f t="shared" si="0"/>
        <v>185663042</v>
      </c>
      <c r="F51">
        <v>185663042</v>
      </c>
      <c r="G51" s="22">
        <v>1</v>
      </c>
    </row>
    <row r="52" spans="1:7" x14ac:dyDescent="0.25">
      <c r="A52" t="s">
        <v>13</v>
      </c>
      <c r="B52" t="s">
        <v>37</v>
      </c>
      <c r="C52" s="2">
        <v>1</v>
      </c>
      <c r="D52" s="2">
        <v>1</v>
      </c>
      <c r="E52">
        <f t="shared" si="0"/>
        <v>4000000</v>
      </c>
      <c r="F52">
        <v>4000000</v>
      </c>
      <c r="G52" s="22">
        <v>1</v>
      </c>
    </row>
  </sheetData>
  <autoFilter ref="A1:P53" xr:uid="{86710C76-81AC-48E5-8A5F-29B3CE6BD5D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sheetPr filterMode="1"/>
  <dimension ref="A1:E18"/>
  <sheetViews>
    <sheetView workbookViewId="0">
      <selection activeCell="C2" sqref="C2"/>
    </sheetView>
  </sheetViews>
  <sheetFormatPr defaultRowHeight="15.75" customHeight="1" x14ac:dyDescent="0.25"/>
  <cols>
    <col min="2" max="2" width="12" bestFit="1" customWidth="1"/>
    <col min="3" max="3" width="12.28515625" bestFit="1" customWidth="1"/>
  </cols>
  <sheetData>
    <row r="1" spans="1:5" ht="15" x14ac:dyDescent="0.25">
      <c r="A1" t="s">
        <v>14</v>
      </c>
      <c r="B1" t="s">
        <v>18</v>
      </c>
      <c r="C1" t="s">
        <v>57</v>
      </c>
      <c r="D1" t="s">
        <v>58</v>
      </c>
      <c r="E1" t="s">
        <v>59</v>
      </c>
    </row>
    <row r="2" spans="1:5" ht="15.75" customHeight="1" x14ac:dyDescent="0.25">
      <c r="A2" t="s">
        <v>19</v>
      </c>
      <c r="B2">
        <f>ROUND(C2,0)</f>
        <v>3694296</v>
      </c>
      <c r="C2">
        <f>Medium_Capacity!C49*0.25</f>
        <v>3694295.5570033002</v>
      </c>
      <c r="D2">
        <f ca="1">RAND()</f>
        <v>0.5039318180532838</v>
      </c>
      <c r="E2">
        <f ca="1">C2*D2</f>
        <v>1861673.0764668419</v>
      </c>
    </row>
    <row r="3" spans="1:5" ht="15.75" customHeight="1" x14ac:dyDescent="0.25">
      <c r="A3" t="s">
        <v>25</v>
      </c>
      <c r="B3">
        <f t="shared" ref="B3:B18" si="0">ROUND(C3,0)</f>
        <v>82819787</v>
      </c>
      <c r="C3">
        <f>Medium_Capacity!C50*0.25</f>
        <v>82819787.354738995</v>
      </c>
      <c r="D3">
        <f t="shared" ref="D3:D18" ca="1" si="1">RAND()</f>
        <v>0.34903803950922552</v>
      </c>
      <c r="E3">
        <f ca="1">C3*D3</f>
        <v>28907256.210869044</v>
      </c>
    </row>
    <row r="4" spans="1:5" ht="15.75" customHeight="1" x14ac:dyDescent="0.25">
      <c r="A4" t="s">
        <v>21</v>
      </c>
      <c r="B4">
        <f t="shared" si="0"/>
        <v>6513039</v>
      </c>
      <c r="C4">
        <f>Medium_Capacity!C51*0.25</f>
        <v>6513038.9940517964</v>
      </c>
      <c r="D4">
        <f t="shared" ca="1" si="1"/>
        <v>0.74577401484621297</v>
      </c>
      <c r="E4">
        <f t="shared" ref="E4:E18" ca="1" si="2">C4*D4</f>
        <v>4857255.2394439485</v>
      </c>
    </row>
    <row r="5" spans="1:5" ht="15.75" customHeight="1" x14ac:dyDescent="0.25">
      <c r="A5" t="s">
        <v>39</v>
      </c>
      <c r="B5">
        <f t="shared" si="0"/>
        <v>1795008</v>
      </c>
      <c r="C5">
        <f>Medium_Capacity!C52*0.25</f>
        <v>1795007.6874129353</v>
      </c>
      <c r="D5">
        <f t="shared" ca="1" si="1"/>
        <v>0.57136907853438501</v>
      </c>
      <c r="E5">
        <f ca="1">C5*D5</f>
        <v>1025611.8883192663</v>
      </c>
    </row>
    <row r="6" spans="1:5" ht="15.75" customHeight="1" x14ac:dyDescent="0.25">
      <c r="A6" t="s">
        <v>27</v>
      </c>
      <c r="B6">
        <f t="shared" si="0"/>
        <v>60870627</v>
      </c>
      <c r="C6">
        <f>Medium_Capacity!C53*0.25</f>
        <v>60870627.147684671</v>
      </c>
      <c r="D6">
        <f t="shared" ca="1" si="1"/>
        <v>0.25749101259431073</v>
      </c>
      <c r="E6">
        <f ca="1">C6*D6</f>
        <v>15673639.421508066</v>
      </c>
    </row>
    <row r="7" spans="1:5" ht="15.75" customHeight="1" x14ac:dyDescent="0.25">
      <c r="A7" t="s">
        <v>41</v>
      </c>
      <c r="B7">
        <f t="shared" si="0"/>
        <v>1601225</v>
      </c>
      <c r="C7">
        <f>Medium_Capacity!C54*0.25</f>
        <v>1601225.4899671054</v>
      </c>
      <c r="D7">
        <f t="shared" ca="1" si="1"/>
        <v>0.51354530608589499</v>
      </c>
      <c r="E7">
        <f ca="1">C7*D7</f>
        <v>822301.83435769437</v>
      </c>
    </row>
    <row r="8" spans="1:5" ht="15.75" customHeight="1" x14ac:dyDescent="0.25">
      <c r="A8" t="s">
        <v>42</v>
      </c>
      <c r="B8">
        <f t="shared" si="0"/>
        <v>15513538</v>
      </c>
      <c r="C8">
        <f>Medium_Capacity!C55*0.25</f>
        <v>15513537.879683325</v>
      </c>
      <c r="D8">
        <f t="shared" ca="1" si="1"/>
        <v>0.78685416369321848</v>
      </c>
      <c r="E8">
        <f t="shared" ca="1" si="2"/>
        <v>12206891.874241289</v>
      </c>
    </row>
    <row r="9" spans="1:5" ht="15.75" customHeight="1" x14ac:dyDescent="0.25">
      <c r="A9" t="s">
        <v>43</v>
      </c>
      <c r="B9">
        <f t="shared" si="0"/>
        <v>1456644</v>
      </c>
      <c r="C9">
        <f>Medium_Capacity!C56*0.25</f>
        <v>1456644.232631579</v>
      </c>
      <c r="D9">
        <f t="shared" ca="1" si="1"/>
        <v>0.43392960184386431</v>
      </c>
      <c r="E9">
        <f t="shared" ca="1" si="2"/>
        <v>632081.05189398234</v>
      </c>
    </row>
    <row r="10" spans="1:5" ht="15.75" customHeight="1" x14ac:dyDescent="0.25">
      <c r="A10" t="s">
        <v>29</v>
      </c>
      <c r="B10">
        <f t="shared" si="0"/>
        <v>63195503</v>
      </c>
      <c r="C10">
        <f>Medium_Capacity!C57*0.25</f>
        <v>63195503.325986847</v>
      </c>
      <c r="D10">
        <f t="shared" ca="1" si="1"/>
        <v>0.79966541418543835</v>
      </c>
      <c r="E10">
        <f t="shared" ca="1" si="2"/>
        <v>50535258.341832519</v>
      </c>
    </row>
    <row r="11" spans="1:5" ht="15.75" customHeight="1" x14ac:dyDescent="0.25">
      <c r="A11" t="s">
        <v>44</v>
      </c>
      <c r="B11">
        <f t="shared" si="0"/>
        <v>0</v>
      </c>
      <c r="C11">
        <f>Medium_Capacity!C58*0.25</f>
        <v>0</v>
      </c>
      <c r="D11">
        <f t="shared" ca="1" si="1"/>
        <v>0.15012876777151851</v>
      </c>
      <c r="E11">
        <f t="shared" ca="1" si="2"/>
        <v>0</v>
      </c>
    </row>
    <row r="12" spans="1:5" ht="15.75" customHeight="1" x14ac:dyDescent="0.25">
      <c r="A12" t="s">
        <v>32</v>
      </c>
      <c r="B12">
        <f t="shared" si="0"/>
        <v>20944762</v>
      </c>
      <c r="C12">
        <f>Medium_Capacity!C59*0.25</f>
        <v>20944761.71187168</v>
      </c>
      <c r="D12">
        <f t="shared" ca="1" si="1"/>
        <v>0.21541191359518752</v>
      </c>
      <c r="E12">
        <f t="shared" ca="1" si="2"/>
        <v>4511751.2001494942</v>
      </c>
    </row>
    <row r="13" spans="1:5" ht="15.75" customHeight="1" x14ac:dyDescent="0.25">
      <c r="A13" t="s">
        <v>34</v>
      </c>
      <c r="B13">
        <f t="shared" si="0"/>
        <v>109600741</v>
      </c>
      <c r="C13">
        <f>Medium_Capacity!C60*0.25</f>
        <v>109600740.51114175</v>
      </c>
      <c r="D13">
        <f t="shared" ca="1" si="1"/>
        <v>0.23192169126342443</v>
      </c>
      <c r="E13">
        <f t="shared" ca="1" si="2"/>
        <v>25418789.103067711</v>
      </c>
    </row>
    <row r="14" spans="1:5" ht="15.75" customHeight="1" x14ac:dyDescent="0.25">
      <c r="A14" t="s">
        <v>9</v>
      </c>
      <c r="B14">
        <f t="shared" si="0"/>
        <v>4747052</v>
      </c>
      <c r="C14">
        <f>Medium_Capacity!C61*0.25</f>
        <v>4747052.4303343054</v>
      </c>
      <c r="D14">
        <f t="shared" ca="1" si="1"/>
        <v>0.3266290164351453</v>
      </c>
      <c r="E14">
        <f t="shared" ca="1" si="2"/>
        <v>1550525.0662861604</v>
      </c>
    </row>
    <row r="15" spans="1:5" ht="15.75" customHeight="1" x14ac:dyDescent="0.25">
      <c r="A15" t="s">
        <v>40</v>
      </c>
      <c r="B15">
        <f t="shared" si="0"/>
        <v>14875638</v>
      </c>
      <c r="C15">
        <f>Medium_Capacity!C62*0.25</f>
        <v>14875638.036021562</v>
      </c>
      <c r="D15">
        <f t="shared" ca="1" si="1"/>
        <v>0.40112196006686418</v>
      </c>
      <c r="E15">
        <f t="shared" ca="1" si="2"/>
        <v>5966945.0862541674</v>
      </c>
    </row>
    <row r="16" spans="1:5" ht="15.75" customHeight="1" x14ac:dyDescent="0.25">
      <c r="A16" t="s">
        <v>7</v>
      </c>
      <c r="B16">
        <f t="shared" si="0"/>
        <v>231909</v>
      </c>
      <c r="C16">
        <f>Medium_Capacity!C63*0.25</f>
        <v>231909.45848684199</v>
      </c>
      <c r="D16">
        <f t="shared" ca="1" si="1"/>
        <v>0.57653629438488752</v>
      </c>
      <c r="E16">
        <f t="shared" ca="1" si="2"/>
        <v>133704.21982880979</v>
      </c>
    </row>
    <row r="17" spans="1:5" ht="15.75" customHeight="1" x14ac:dyDescent="0.25">
      <c r="A17" t="s">
        <v>10</v>
      </c>
      <c r="B17">
        <f t="shared" si="0"/>
        <v>35619751</v>
      </c>
      <c r="C17">
        <f>Medium_Capacity!C64*0.25</f>
        <v>35619750.841946572</v>
      </c>
      <c r="D17">
        <f t="shared" ca="1" si="1"/>
        <v>0.78850148129831277</v>
      </c>
      <c r="E17">
        <f t="shared" ca="1" si="2"/>
        <v>28086226.302351695</v>
      </c>
    </row>
    <row r="18" spans="1:5" ht="15.75" customHeight="1" x14ac:dyDescent="0.25">
      <c r="A18" t="s">
        <v>13</v>
      </c>
      <c r="B18">
        <f t="shared" si="0"/>
        <v>40200058</v>
      </c>
      <c r="C18">
        <f>Medium_Capacity!C65*0.25</f>
        <v>40200058.257479519</v>
      </c>
      <c r="D18">
        <f t="shared" ca="1" si="1"/>
        <v>0.99257132858368236</v>
      </c>
      <c r="E18">
        <f t="shared" ca="1" si="2"/>
        <v>39901425.233767875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D13"/>
  <sheetViews>
    <sheetView workbookViewId="0">
      <selection activeCell="F17" sqref="F17"/>
    </sheetView>
  </sheetViews>
  <sheetFormatPr defaultRowHeight="15" x14ac:dyDescent="0.25"/>
  <cols>
    <col min="1" max="1" width="13.140625" customWidth="1"/>
    <col min="2" max="2" width="13.5703125" bestFit="1" customWidth="1"/>
    <col min="4" max="4" width="11.7109375" customWidth="1"/>
  </cols>
  <sheetData>
    <row r="1" spans="1:4" x14ac:dyDescent="0.25">
      <c r="A1" t="s">
        <v>38</v>
      </c>
      <c r="B1" s="4" t="s">
        <v>18</v>
      </c>
      <c r="D1" t="s">
        <v>60</v>
      </c>
    </row>
    <row r="2" spans="1:4" x14ac:dyDescent="0.25">
      <c r="A2" s="1" t="s">
        <v>0</v>
      </c>
      <c r="B2" s="21">
        <f>C2</f>
        <v>37210000</v>
      </c>
      <c r="C2" s="19">
        <v>37210000</v>
      </c>
      <c r="D2">
        <f ca="1">RAND()</f>
        <v>0.45004819692188314</v>
      </c>
    </row>
    <row r="3" spans="1:4" x14ac:dyDescent="0.25">
      <c r="A3" s="1" t="s">
        <v>1</v>
      </c>
      <c r="B3" s="21">
        <f t="shared" ref="B3:B13" si="0">C3</f>
        <v>2610000</v>
      </c>
      <c r="C3" s="19">
        <v>2610000</v>
      </c>
      <c r="D3">
        <f t="shared" ref="D3:D13" ca="1" si="1">RAND()</f>
        <v>0.19565409380378918</v>
      </c>
    </row>
    <row r="4" spans="1:4" x14ac:dyDescent="0.25">
      <c r="A4" s="1" t="s">
        <v>2</v>
      </c>
      <c r="B4" s="21">
        <f t="shared" si="0"/>
        <v>35730000</v>
      </c>
      <c r="C4" s="19">
        <v>35730000</v>
      </c>
      <c r="D4">
        <f t="shared" ca="1" si="1"/>
        <v>0.12589448331023623</v>
      </c>
    </row>
    <row r="5" spans="1:4" x14ac:dyDescent="0.25">
      <c r="A5" s="1" t="s">
        <v>3</v>
      </c>
      <c r="B5" s="21">
        <f t="shared" si="0"/>
        <v>5706000</v>
      </c>
      <c r="C5" s="19">
        <v>5706000</v>
      </c>
      <c r="D5">
        <f t="shared" ca="1" si="1"/>
        <v>0.95448712032993543</v>
      </c>
    </row>
    <row r="6" spans="1:4" x14ac:dyDescent="0.25">
      <c r="A6" s="1" t="s">
        <v>4</v>
      </c>
      <c r="B6" s="21">
        <f t="shared" si="0"/>
        <v>5777000</v>
      </c>
      <c r="C6" s="19">
        <v>5777000</v>
      </c>
      <c r="D6">
        <f t="shared" ca="1" si="1"/>
        <v>0.49764010967017291</v>
      </c>
    </row>
    <row r="7" spans="1:4" x14ac:dyDescent="0.25">
      <c r="A7" s="1" t="s">
        <v>5</v>
      </c>
      <c r="B7" s="21">
        <f t="shared" si="0"/>
        <v>3207000</v>
      </c>
      <c r="C7" s="19">
        <v>3207000</v>
      </c>
      <c r="D7">
        <f t="shared" ca="1" si="1"/>
        <v>0.48250568955586892</v>
      </c>
    </row>
    <row r="8" spans="1:4" x14ac:dyDescent="0.25">
      <c r="A8" s="1" t="s">
        <v>7</v>
      </c>
      <c r="B8" s="21">
        <f t="shared" si="0"/>
        <v>2595000</v>
      </c>
      <c r="C8" s="19">
        <v>2595000</v>
      </c>
      <c r="D8">
        <f t="shared" ca="1" si="1"/>
        <v>0.1525638342285025</v>
      </c>
    </row>
    <row r="9" spans="1:4" x14ac:dyDescent="0.25">
      <c r="A9" s="1" t="s">
        <v>6</v>
      </c>
      <c r="B9" s="21">
        <f t="shared" si="0"/>
        <v>3123000</v>
      </c>
      <c r="C9" s="19">
        <v>3123000</v>
      </c>
      <c r="D9">
        <f t="shared" ca="1" si="1"/>
        <v>0.45319375961697006</v>
      </c>
    </row>
    <row r="10" spans="1:4" x14ac:dyDescent="0.25">
      <c r="A10" s="1" t="s">
        <v>8</v>
      </c>
      <c r="B10" s="21">
        <f t="shared" si="0"/>
        <v>5222000</v>
      </c>
      <c r="C10" s="19">
        <v>5222000</v>
      </c>
      <c r="D10">
        <f t="shared" ca="1" si="1"/>
        <v>0.8007619125896166</v>
      </c>
    </row>
    <row r="11" spans="1:4" x14ac:dyDescent="0.25">
      <c r="A11" t="s">
        <v>9</v>
      </c>
      <c r="B11" s="21">
        <f t="shared" si="0"/>
        <v>1900000</v>
      </c>
      <c r="C11" s="19">
        <v>1900000</v>
      </c>
      <c r="D11">
        <f t="shared" ca="1" si="1"/>
        <v>0.19547375964702973</v>
      </c>
    </row>
    <row r="12" spans="1:4" x14ac:dyDescent="0.25">
      <c r="A12" t="s">
        <v>10</v>
      </c>
      <c r="B12" s="21">
        <f t="shared" si="0"/>
        <v>14250000</v>
      </c>
      <c r="C12" s="19">
        <v>14250000</v>
      </c>
      <c r="D12">
        <f t="shared" ca="1" si="1"/>
        <v>0.8894139050865254</v>
      </c>
    </row>
    <row r="13" spans="1:4" x14ac:dyDescent="0.25">
      <c r="A13" t="s">
        <v>13</v>
      </c>
      <c r="B13" s="21">
        <f t="shared" si="0"/>
        <v>1608000</v>
      </c>
      <c r="C13" s="19">
        <v>1608000</v>
      </c>
      <c r="D13">
        <f t="shared" ca="1" si="1"/>
        <v>0.92744209933848232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9103-869D-47A8-B34E-4DAF7BA26C71}">
  <dimension ref="A1:AZ65"/>
  <sheetViews>
    <sheetView workbookViewId="0">
      <selection activeCell="B7" sqref="B7"/>
    </sheetView>
  </sheetViews>
  <sheetFormatPr defaultRowHeight="15" x14ac:dyDescent="0.25"/>
  <cols>
    <col min="1" max="1" width="16.28515625" bestFit="1" customWidth="1"/>
    <col min="2" max="2" width="19.5703125" bestFit="1" customWidth="1"/>
    <col min="3" max="3" width="18.42578125" customWidth="1"/>
    <col min="4" max="4" width="16.5703125" bestFit="1" customWidth="1"/>
    <col min="5" max="5" width="14.28515625" bestFit="1" customWidth="1"/>
    <col min="6" max="6" width="20.140625" customWidth="1"/>
    <col min="7" max="9" width="12.7109375" customWidth="1"/>
    <col min="10" max="10" width="13.28515625" bestFit="1" customWidth="1"/>
    <col min="11" max="11" width="15.5703125" bestFit="1" customWidth="1"/>
    <col min="12" max="12" width="12.7109375" customWidth="1"/>
    <col min="13" max="13" width="11.5703125" bestFit="1" customWidth="1"/>
    <col min="14" max="14" width="12.140625" bestFit="1" customWidth="1"/>
    <col min="15" max="15" width="11.28515625" bestFit="1" customWidth="1"/>
    <col min="16" max="16" width="10.5703125" bestFit="1" customWidth="1"/>
  </cols>
  <sheetData>
    <row r="1" spans="1:52" x14ac:dyDescent="0.25">
      <c r="A1" t="s">
        <v>15</v>
      </c>
      <c r="B1" s="12">
        <v>1</v>
      </c>
      <c r="C1" s="12" t="s">
        <v>53</v>
      </c>
      <c r="D1" s="12" t="s">
        <v>50</v>
      </c>
      <c r="E1" s="12" t="s">
        <v>51</v>
      </c>
      <c r="F1" s="12" t="s">
        <v>52</v>
      </c>
      <c r="G1" s="2"/>
      <c r="H1" s="2"/>
      <c r="I1" s="2"/>
      <c r="J1" s="2" t="s">
        <v>55</v>
      </c>
      <c r="K1" s="2" t="s">
        <v>56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x14ac:dyDescent="0.25">
      <c r="A2" s="14" t="s">
        <v>46</v>
      </c>
      <c r="B2" s="8">
        <v>12600000</v>
      </c>
      <c r="C2" s="17">
        <f>B2/$B$20</f>
        <v>3.9562237561659988E-3</v>
      </c>
      <c r="D2" s="16">
        <f>SUMIFS(Q_start!E:E, Q_start!B:B, Medium_Capacity!A2)</f>
        <v>0</v>
      </c>
      <c r="E2" s="15">
        <f>VLOOKUP(Medium_Capacity!A2, Medium_Capacity!A1:A18:B1:B18, 2, FALSE)</f>
        <v>12600000</v>
      </c>
      <c r="F2" s="20">
        <f>E2-D2</f>
        <v>12600000</v>
      </c>
      <c r="G2" s="5"/>
      <c r="H2" s="5"/>
      <c r="I2" s="5"/>
      <c r="J2">
        <f>VLOOKUP(Q_start!B2,Medium_Capacity!$B$30:$C$46,2)</f>
        <v>0.30437026926105981</v>
      </c>
      <c r="K2">
        <f>VLOOKUP(Q_start!A2,Medium_Capacity!$B$49:$C$65,2, FALSE)</f>
        <v>14777182.228013201</v>
      </c>
      <c r="L2" s="5" t="s">
        <v>19</v>
      </c>
      <c r="M2" s="5" t="s">
        <v>23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4" t="s">
        <v>28</v>
      </c>
      <c r="B3" s="8">
        <v>24300000</v>
      </c>
      <c r="C3" s="17">
        <f t="shared" ref="C3:C18" si="0">B3/$B$20</f>
        <v>7.6298601011772823E-3</v>
      </c>
      <c r="D3" s="16">
        <f>SUMIFS(Q_start!E:E, Q_start!B:B, Medium_Capacity!A3)</f>
        <v>13305452</v>
      </c>
      <c r="E3" s="15">
        <f>VLOOKUP(Medium_Capacity!A3, Medium_Capacity!A2:A19:B2:B19, 2, FALSE)</f>
        <v>24300000</v>
      </c>
      <c r="F3" s="20">
        <f t="shared" ref="F3:F18" si="1">E3-D3</f>
        <v>10994548</v>
      </c>
      <c r="G3" s="5"/>
      <c r="H3" s="5"/>
      <c r="I3" s="5"/>
      <c r="J3">
        <f>VLOOKUP(Q_start!B3,Medium_Capacity!$B$30:$C$46,2)</f>
        <v>3.6610769045155193E-2</v>
      </c>
      <c r="K3">
        <f>VLOOKUP(Q_start!A3,Medium_Capacity!$B$49:$C$65,2, FALSE)</f>
        <v>14777182.228013201</v>
      </c>
      <c r="L3" s="5" t="s">
        <v>19</v>
      </c>
      <c r="M3" s="5" t="s">
        <v>20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14" t="s">
        <v>48</v>
      </c>
      <c r="B4" s="8">
        <v>8000000</v>
      </c>
      <c r="C4" s="17">
        <f t="shared" si="0"/>
        <v>2.5118880991530147E-3</v>
      </c>
      <c r="D4" s="16">
        <f>SUMIFS(Q_start!E:E, Q_start!B:B, Medium_Capacity!A4)</f>
        <v>0</v>
      </c>
      <c r="E4" s="15">
        <f>VLOOKUP(Medium_Capacity!A4, Medium_Capacity!A3:A20:B3:B20, 2, FALSE)</f>
        <v>8000000</v>
      </c>
      <c r="F4" s="20">
        <f t="shared" si="1"/>
        <v>8000000</v>
      </c>
      <c r="G4" s="5"/>
      <c r="H4" s="5"/>
      <c r="I4" s="6"/>
      <c r="J4">
        <f>VLOOKUP(Q_start!B4,Medium_Capacity!$B$30:$C$46,2)</f>
        <v>0.30437026926105981</v>
      </c>
      <c r="K4">
        <f>VLOOKUP(Q_start!A4,Medium_Capacity!$B$49:$C$65,2, FALSE)</f>
        <v>331279149.41895598</v>
      </c>
      <c r="L4" s="6" t="s">
        <v>25</v>
      </c>
      <c r="M4" s="5" t="s">
        <v>23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14" t="s">
        <v>36</v>
      </c>
      <c r="B5" s="8">
        <v>36000000</v>
      </c>
      <c r="C5" s="17">
        <f>B5/$B$20</f>
        <v>1.1303496446188567E-2</v>
      </c>
      <c r="D5" s="16">
        <f>SUMIFS(Q_start!E:E, Q_start!B:B, Medium_Capacity!A5)</f>
        <v>0</v>
      </c>
      <c r="E5" s="15">
        <f>VLOOKUP(Medium_Capacity!A5, Medium_Capacity!A4:A21:B4:B21, 2, FALSE)</f>
        <v>36000000</v>
      </c>
      <c r="F5" s="20">
        <f t="shared" si="1"/>
        <v>36000000</v>
      </c>
      <c r="G5" s="5"/>
      <c r="H5" s="5"/>
      <c r="I5" s="6"/>
      <c r="J5">
        <f>VLOOKUP(Q_start!B5,Medium_Capacity!$B$30:$C$46,2)</f>
        <v>5.0269160584299713E-2</v>
      </c>
      <c r="K5">
        <f>VLOOKUP(Q_start!A5,Medium_Capacity!$B$49:$C$65,2, FALSE)</f>
        <v>331279149.41895598</v>
      </c>
      <c r="L5" s="6" t="s">
        <v>25</v>
      </c>
      <c r="M5" s="5" t="s">
        <v>26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14" t="s">
        <v>47</v>
      </c>
      <c r="B6" s="8">
        <v>8400000</v>
      </c>
      <c r="C6" s="17">
        <f t="shared" si="0"/>
        <v>2.6374825041106656E-3</v>
      </c>
      <c r="D6" s="16">
        <f>SUMIFS(Q_start!E:E, Q_start!B:B, Medium_Capacity!A6)</f>
        <v>0</v>
      </c>
      <c r="E6" s="15">
        <f>VLOOKUP(Medium_Capacity!A6, Medium_Capacity!A5:A22:B5:B22, 2, FALSE)</f>
        <v>8400000</v>
      </c>
      <c r="F6" s="20">
        <f t="shared" si="1"/>
        <v>8400000</v>
      </c>
      <c r="G6" s="5"/>
      <c r="H6" s="5"/>
      <c r="I6" s="5"/>
      <c r="J6">
        <f>VLOOKUP(Q_start!B6,Medium_Capacity!$B$30:$C$46,2)</f>
        <v>0.30437026926105981</v>
      </c>
      <c r="K6">
        <f>VLOOKUP(Q_start!A6,Medium_Capacity!$B$49:$C$65,2, FALSE)</f>
        <v>26052155.976207186</v>
      </c>
      <c r="L6" s="5" t="s">
        <v>21</v>
      </c>
      <c r="M6" s="5" t="s">
        <v>23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14" t="s">
        <v>26</v>
      </c>
      <c r="B7" s="8">
        <v>160100000</v>
      </c>
      <c r="C7" s="17">
        <f t="shared" si="0"/>
        <v>5.0269160584299713E-2</v>
      </c>
      <c r="D7" s="16">
        <f>SUMIFS(Q_start!E:E, Q_start!B:B, Medium_Capacity!A7)</f>
        <v>143967364</v>
      </c>
      <c r="E7" s="15">
        <f>VLOOKUP(Medium_Capacity!A7, Medium_Capacity!A6:A23:B6:B23, 2, FALSE)</f>
        <v>160100000</v>
      </c>
      <c r="F7" s="20">
        <f t="shared" si="1"/>
        <v>16132636</v>
      </c>
      <c r="G7" s="5"/>
      <c r="H7" s="5"/>
      <c r="I7" s="5"/>
      <c r="J7">
        <f>VLOOKUP(Q_start!B7,Medium_Capacity!$B$30:$C$46,2)</f>
        <v>0.51693087150507078</v>
      </c>
      <c r="K7">
        <f>VLOOKUP(Q_start!A7,Medium_Capacity!$B$49:$C$65,2, FALSE)</f>
        <v>26052155.976207186</v>
      </c>
      <c r="L7" s="5" t="s">
        <v>21</v>
      </c>
      <c r="M7" s="5" t="s">
        <v>22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14" t="s">
        <v>45</v>
      </c>
      <c r="B8" s="8">
        <v>30000</v>
      </c>
      <c r="C8" s="17">
        <f t="shared" si="0"/>
        <v>9.4195803718238052E-6</v>
      </c>
      <c r="D8" s="16">
        <f>SUMIFS(Q_start!E:E, Q_start!B:B, Medium_Capacity!A8)</f>
        <v>0</v>
      </c>
      <c r="E8" s="15">
        <f>VLOOKUP(Medium_Capacity!A8, Medium_Capacity!A7:A24:B7:B24, 2, FALSE)</f>
        <v>30000</v>
      </c>
      <c r="F8" s="20">
        <f t="shared" si="1"/>
        <v>30000</v>
      </c>
      <c r="G8" s="6"/>
      <c r="H8" s="6"/>
      <c r="I8" s="6"/>
      <c r="J8">
        <f>VLOOKUP(Q_start!B8,Medium_Capacity!$B$30:$C$46,2)</f>
        <v>9.7335663842179328E-4</v>
      </c>
      <c r="K8">
        <f>VLOOKUP(Q_start!A8,Medium_Capacity!$B$49:$C$65,2, FALSE)</f>
        <v>26052155.976207186</v>
      </c>
      <c r="L8" s="6" t="s">
        <v>21</v>
      </c>
      <c r="M8" s="5" t="s">
        <v>24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14" t="s">
        <v>22</v>
      </c>
      <c r="B9" s="8">
        <v>1646350000</v>
      </c>
      <c r="C9" s="17">
        <f t="shared" si="0"/>
        <v>0.51693087150507078</v>
      </c>
      <c r="D9" s="16">
        <f>SUMIFS(Q_start!E:E, Q_start!B:B, Medium_Capacity!A9)</f>
        <v>487344323</v>
      </c>
      <c r="E9" s="15">
        <f>VLOOKUP(Medium_Capacity!A9, Medium_Capacity!A8:A25:B8:B25, 2, FALSE)</f>
        <v>1646350000</v>
      </c>
      <c r="F9" s="20">
        <f t="shared" si="1"/>
        <v>1159005677</v>
      </c>
      <c r="G9" s="5"/>
      <c r="H9" s="5"/>
      <c r="I9" s="5"/>
      <c r="J9">
        <f>VLOOKUP(Q_start!B9,Medium_Capacity!$B$30:$C$46,2)</f>
        <v>0.30437026926105981</v>
      </c>
      <c r="K9">
        <f>VLOOKUP(Q_start!A9,Medium_Capacity!$B$49:$C$65,2, FALSE)</f>
        <v>7180030.7496517412</v>
      </c>
      <c r="L9" s="5" t="s">
        <v>39</v>
      </c>
      <c r="M9" s="5" t="s">
        <v>23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14" t="s">
        <v>49</v>
      </c>
      <c r="B10" s="8">
        <v>8000000</v>
      </c>
      <c r="C10" s="17">
        <f t="shared" si="0"/>
        <v>2.5118880991530147E-3</v>
      </c>
      <c r="D10" s="16">
        <f>SUMIFS(Q_start!E:E, Q_start!B:B, Medium_Capacity!A10)</f>
        <v>6000000</v>
      </c>
      <c r="E10" s="15">
        <f>VLOOKUP(Medium_Capacity!A10, Medium_Capacity!A9:A26:B9:B26, 2, FALSE)</f>
        <v>8000000</v>
      </c>
      <c r="F10" s="20">
        <f t="shared" si="1"/>
        <v>2000000</v>
      </c>
      <c r="G10" s="5"/>
      <c r="H10" s="5"/>
      <c r="I10" s="5"/>
      <c r="J10">
        <f>VLOOKUP(Q_start!B10,Medium_Capacity!$B$30:$C$46,2)</f>
        <v>3.6610769045155193E-2</v>
      </c>
      <c r="K10">
        <f>VLOOKUP(Q_start!A10,Medium_Capacity!$B$49:$C$65,2, FALSE)</f>
        <v>7180030.7496517412</v>
      </c>
      <c r="L10" s="5" t="s">
        <v>39</v>
      </c>
      <c r="M10" s="5" t="s">
        <v>20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14" t="s">
        <v>31</v>
      </c>
      <c r="B11" s="8">
        <v>60600000</v>
      </c>
      <c r="C11" s="17">
        <f t="shared" si="0"/>
        <v>1.9027552351084089E-2</v>
      </c>
      <c r="D11" s="16">
        <f>SUMIFS(Q_start!E:E, Q_start!B:B, Medium_Capacity!A11)</f>
        <v>58110013</v>
      </c>
      <c r="E11" s="15">
        <f>VLOOKUP(Medium_Capacity!A11, Medium_Capacity!A10:A27:B10:B27, 2, FALSE)</f>
        <v>60600000</v>
      </c>
      <c r="F11" s="20">
        <f t="shared" si="1"/>
        <v>2489987</v>
      </c>
      <c r="G11" s="5"/>
      <c r="H11" s="5"/>
      <c r="I11" s="5"/>
      <c r="J11">
        <f>VLOOKUP(Q_start!B11,Medium_Capacity!$B$30:$C$46,2)</f>
        <v>7.6298601011772823E-3</v>
      </c>
      <c r="K11">
        <f>VLOOKUP(Q_start!A11,Medium_Capacity!$B$49:$C$65,2, FALSE)</f>
        <v>7180030.7496517412</v>
      </c>
      <c r="L11" s="5" t="s">
        <v>39</v>
      </c>
      <c r="M11" s="5" t="s">
        <v>28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14" t="s">
        <v>24</v>
      </c>
      <c r="B12" s="8">
        <v>3100000</v>
      </c>
      <c r="C12" s="17">
        <f t="shared" si="0"/>
        <v>9.7335663842179328E-4</v>
      </c>
      <c r="D12" s="16">
        <f>SUMIFS(Q_start!E:E, Q_start!B:B, Medium_Capacity!A12)</f>
        <v>2907378</v>
      </c>
      <c r="E12" s="15">
        <f>VLOOKUP(Medium_Capacity!A12, Medium_Capacity!A11:A28:B11:B28, 2, FALSE)</f>
        <v>3100000</v>
      </c>
      <c r="F12" s="20">
        <f t="shared" si="1"/>
        <v>192622</v>
      </c>
      <c r="G12" s="5"/>
      <c r="H12" s="5"/>
      <c r="I12" s="5"/>
      <c r="J12">
        <f>VLOOKUP(Q_start!B12,Medium_Capacity!$B$30:$C$46,2)</f>
        <v>0.30437026926105981</v>
      </c>
      <c r="K12">
        <f>VLOOKUP(Q_start!A12,Medium_Capacity!$B$49:$C$65,2, FALSE)</f>
        <v>59502552.144086249</v>
      </c>
      <c r="L12" s="5" t="s">
        <v>40</v>
      </c>
      <c r="M12" s="5" t="s">
        <v>23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14" t="s">
        <v>30</v>
      </c>
      <c r="B13" s="8">
        <v>20500000</v>
      </c>
      <c r="C13" s="17">
        <f t="shared" si="0"/>
        <v>6.4367132540796004E-3</v>
      </c>
      <c r="D13" s="16">
        <f>SUMIFS(Q_start!E:E, Q_start!B:B, Medium_Capacity!A13)</f>
        <v>8948035</v>
      </c>
      <c r="E13" s="15">
        <f>VLOOKUP(Medium_Capacity!A13, Medium_Capacity!A12:A29:B12:B29, 2, FALSE)</f>
        <v>20500000</v>
      </c>
      <c r="F13" s="20">
        <f t="shared" si="1"/>
        <v>11551965</v>
      </c>
      <c r="G13" s="5"/>
      <c r="H13" s="5"/>
      <c r="I13" s="5"/>
      <c r="J13">
        <f>VLOOKUP(Q_start!B13,Medium_Capacity!$B$30:$C$46,2)</f>
        <v>1.9027552351084089E-2</v>
      </c>
      <c r="K13">
        <f>VLOOKUP(Q_start!A13,Medium_Capacity!$B$49:$C$65,2, FALSE)</f>
        <v>59502552.144086249</v>
      </c>
      <c r="L13" s="5" t="s">
        <v>40</v>
      </c>
      <c r="M13" s="5" t="s">
        <v>31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14" t="s">
        <v>37</v>
      </c>
      <c r="B14" s="8">
        <v>5800000</v>
      </c>
      <c r="C14" s="17">
        <f t="shared" si="0"/>
        <v>1.8211188718859359E-3</v>
      </c>
      <c r="D14" s="16">
        <f>SUMIFS(Q_start!E:E, Q_start!B:B, Medium_Capacity!A14)</f>
        <v>4000000</v>
      </c>
      <c r="E14" s="15">
        <f>VLOOKUP(Medium_Capacity!A14, Medium_Capacity!A13:A30:B13:B30, 2, FALSE)</f>
        <v>5800000</v>
      </c>
      <c r="F14" s="20">
        <f t="shared" si="1"/>
        <v>1800000</v>
      </c>
      <c r="G14" s="5"/>
      <c r="H14" s="5"/>
      <c r="I14" s="5"/>
      <c r="J14">
        <f>VLOOKUP(Q_start!B14,Medium_Capacity!$B$30:$C$46,2)</f>
        <v>0.30437026926105981</v>
      </c>
      <c r="K14">
        <f>VLOOKUP(Q_start!A14,Medium_Capacity!$B$49:$C$65,2, FALSE)</f>
        <v>927637.83394736797</v>
      </c>
      <c r="L14" s="5" t="s">
        <v>7</v>
      </c>
      <c r="M14" s="5" t="s">
        <v>23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14" t="s">
        <v>20</v>
      </c>
      <c r="B15" s="8">
        <v>116600000</v>
      </c>
      <c r="C15" s="17">
        <f t="shared" si="0"/>
        <v>3.6610769045155193E-2</v>
      </c>
      <c r="D15" s="16">
        <f>SUMIFS(Q_start!E:E, Q_start!B:B, Medium_Capacity!A15)</f>
        <v>86957885</v>
      </c>
      <c r="E15" s="15">
        <f>VLOOKUP(Medium_Capacity!A15, Medium_Capacity!A14:A31:B14:B31, 2, FALSE)</f>
        <v>116600000</v>
      </c>
      <c r="F15" s="20">
        <f t="shared" si="1"/>
        <v>29642115</v>
      </c>
      <c r="G15" s="5"/>
      <c r="H15" s="5"/>
      <c r="I15" s="5"/>
      <c r="J15">
        <f>VLOOKUP(Q_start!B15,Medium_Capacity!$B$30:$C$46,2)</f>
        <v>3.2842936896425673E-2</v>
      </c>
      <c r="K15">
        <f>VLOOKUP(Q_start!A15,Medium_Capacity!$B$49:$C$65,2, FALSE)</f>
        <v>927637.83394736797</v>
      </c>
      <c r="L15" s="5" t="s">
        <v>7</v>
      </c>
      <c r="M15" s="5" t="s">
        <v>33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14" t="s">
        <v>33</v>
      </c>
      <c r="B16" s="8">
        <v>104600000</v>
      </c>
      <c r="C16" s="17">
        <f t="shared" si="0"/>
        <v>3.2842936896425673E-2</v>
      </c>
      <c r="D16" s="16">
        <f>SUMIFS(Q_start!E:E, Q_start!B:B, Medium_Capacity!A16)</f>
        <v>104585992</v>
      </c>
      <c r="E16" s="15">
        <f>VLOOKUP(Medium_Capacity!A16, Medium_Capacity!A15:A32:B15:B32, 2, FALSE)</f>
        <v>104600000</v>
      </c>
      <c r="F16" s="20">
        <f t="shared" si="1"/>
        <v>14008</v>
      </c>
      <c r="G16" s="5"/>
      <c r="H16" s="5"/>
      <c r="I16" s="5"/>
      <c r="J16">
        <f>VLOOKUP(Q_start!B16,Medium_Capacity!$B$30:$C$46,2)</f>
        <v>9.4195803718238052E-6</v>
      </c>
      <c r="K16">
        <f>VLOOKUP(Q_start!A16,Medium_Capacity!$B$49:$C$65,2, FALSE)</f>
        <v>927637.83394736797</v>
      </c>
      <c r="L16" s="5" t="s">
        <v>7</v>
      </c>
      <c r="M16" s="5" t="s">
        <v>45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14" t="s">
        <v>23</v>
      </c>
      <c r="B17" s="8">
        <v>969375250</v>
      </c>
      <c r="C17" s="17">
        <f t="shared" si="0"/>
        <v>0.30437026926105981</v>
      </c>
      <c r="D17" s="16">
        <f>SUMIFS(Q_start!E:E, Q_start!B:B, Medium_Capacity!A17)</f>
        <v>487523499</v>
      </c>
      <c r="E17" s="15">
        <f>VLOOKUP(Medium_Capacity!A17, Medium_Capacity!A16:A33:B16:B33, 2, FALSE)</f>
        <v>969375250</v>
      </c>
      <c r="F17" s="20">
        <f>E17-D17</f>
        <v>481851751</v>
      </c>
      <c r="J17">
        <f>VLOOKUP(Q_start!B17,Medium_Capacity!$B$30:$C$46,2)</f>
        <v>1.9027552351084089E-2</v>
      </c>
      <c r="K17">
        <f>VLOOKUP(Q_start!A17,Medium_Capacity!$B$49:$C$65,2, FALSE)</f>
        <v>83779046.847486719</v>
      </c>
      <c r="L17" t="s">
        <v>32</v>
      </c>
      <c r="M17" s="5" t="s">
        <v>31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14" t="s">
        <v>35</v>
      </c>
      <c r="B18" s="8">
        <v>500000</v>
      </c>
      <c r="C18" s="17">
        <f t="shared" si="0"/>
        <v>1.5699300619706342E-4</v>
      </c>
      <c r="D18" s="16">
        <f>SUMIFS(Q_start!E:E, Q_start!B:B, Medium_Capacity!A18)</f>
        <v>0</v>
      </c>
      <c r="E18" s="15">
        <f>VLOOKUP(Medium_Capacity!A18, Medium_Capacity!A17:A34:B17:B34, 2, FALSE)</f>
        <v>500000</v>
      </c>
      <c r="F18" s="20">
        <f t="shared" si="1"/>
        <v>500000</v>
      </c>
      <c r="G18" s="8"/>
      <c r="H18" s="8"/>
      <c r="I18" s="8"/>
      <c r="J18">
        <f>VLOOKUP(Q_start!B18,Medium_Capacity!$B$30:$C$46,2)</f>
        <v>3.9562237561659988E-3</v>
      </c>
      <c r="K18">
        <f>VLOOKUP(Q_start!A18,Medium_Capacity!$B$49:$C$65,2, FALSE)</f>
        <v>83779046.847486719</v>
      </c>
      <c r="L18" s="8" t="s">
        <v>32</v>
      </c>
      <c r="M18" s="5" t="s">
        <v>46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B19" s="13"/>
      <c r="C19" s="13"/>
      <c r="D19" s="13"/>
      <c r="E19" s="13"/>
      <c r="F19" s="13"/>
      <c r="G19" s="8"/>
      <c r="H19" s="8"/>
      <c r="I19" s="8"/>
      <c r="J19">
        <f>VLOOKUP(Q_start!B19,Medium_Capacity!$B$30:$C$46,2)</f>
        <v>2.6374825041106656E-3</v>
      </c>
      <c r="K19">
        <f>VLOOKUP(Q_start!A19,Medium_Capacity!$B$49:$C$65,2, FALSE)</f>
        <v>83779046.847486719</v>
      </c>
      <c r="L19" t="s">
        <v>32</v>
      </c>
      <c r="M19" t="s">
        <v>47</v>
      </c>
    </row>
    <row r="20" spans="1:52" x14ac:dyDescent="0.25">
      <c r="B20" s="9">
        <f>SUM(B2:B18)</f>
        <v>3184855250</v>
      </c>
      <c r="C20" s="9"/>
      <c r="D20" s="9"/>
      <c r="E20" s="9"/>
      <c r="F20" s="9"/>
      <c r="G20" s="9"/>
      <c r="H20" s="9"/>
      <c r="I20" s="9"/>
      <c r="J20">
        <f>VLOOKUP(Q_start!B20,Medium_Capacity!$B$30:$C$46,2)</f>
        <v>3.2842936896425673E-2</v>
      </c>
      <c r="K20">
        <f>VLOOKUP(Q_start!A20,Medium_Capacity!$B$49:$C$65,2, FALSE)</f>
        <v>83779046.847486719</v>
      </c>
      <c r="L20" t="s">
        <v>32</v>
      </c>
      <c r="M20" t="s">
        <v>33</v>
      </c>
    </row>
    <row r="21" spans="1:52" x14ac:dyDescent="0.25">
      <c r="B21" s="7"/>
      <c r="C21" s="7"/>
      <c r="D21" s="7"/>
      <c r="E21" s="8"/>
      <c r="F21" s="8"/>
      <c r="G21" s="8"/>
      <c r="H21" s="8"/>
      <c r="I21" s="8"/>
      <c r="J21">
        <f>VLOOKUP(Q_start!B21,Medium_Capacity!$B$30:$C$46,2)</f>
        <v>0.30437026926105981</v>
      </c>
      <c r="K21">
        <f>VLOOKUP(Q_start!A21,Medium_Capacity!$B$49:$C$65,2, FALSE)</f>
        <v>438402962.04456699</v>
      </c>
      <c r="L21" t="s">
        <v>34</v>
      </c>
      <c r="M21" t="s">
        <v>23</v>
      </c>
    </row>
    <row r="22" spans="1:52" x14ac:dyDescent="0.25">
      <c r="B22" s="7"/>
      <c r="C22" s="7"/>
      <c r="D22" s="7"/>
      <c r="E22" s="8"/>
      <c r="F22" s="8"/>
      <c r="G22" s="8"/>
      <c r="H22" s="8"/>
      <c r="I22" s="8"/>
      <c r="J22">
        <f>VLOOKUP(Q_start!B22,Medium_Capacity!$B$30:$C$46,2)</f>
        <v>3.6610769045155193E-2</v>
      </c>
      <c r="K22">
        <f>VLOOKUP(Q_start!A22,Medium_Capacity!$B$49:$C$65,2, FALSE)</f>
        <v>438402962.04456699</v>
      </c>
      <c r="L22" t="s">
        <v>34</v>
      </c>
      <c r="M22" t="s">
        <v>20</v>
      </c>
    </row>
    <row r="23" spans="1:52" x14ac:dyDescent="0.25">
      <c r="B23" s="8"/>
      <c r="C23" s="8"/>
      <c r="D23" s="8"/>
      <c r="E23" s="8"/>
      <c r="F23" s="11"/>
      <c r="G23" s="8"/>
      <c r="H23" s="8"/>
      <c r="I23" s="8"/>
      <c r="J23">
        <f>VLOOKUP(Q_start!B23,Medium_Capacity!$B$30:$C$46,2)</f>
        <v>0.51693087150507078</v>
      </c>
      <c r="K23">
        <f>VLOOKUP(Q_start!A23,Medium_Capacity!$B$49:$C$65,2, FALSE)</f>
        <v>438402962.04456699</v>
      </c>
      <c r="L23" s="8" t="s">
        <v>34</v>
      </c>
      <c r="M23" t="s">
        <v>22</v>
      </c>
    </row>
    <row r="24" spans="1:52" x14ac:dyDescent="0.25">
      <c r="B24" s="8"/>
      <c r="C24" s="8"/>
      <c r="D24" s="8"/>
      <c r="E24" s="8"/>
      <c r="F24" s="8"/>
      <c r="G24" s="8"/>
      <c r="H24" s="8"/>
      <c r="I24" s="8"/>
      <c r="J24">
        <f>VLOOKUP(Q_start!B24,Medium_Capacity!$B$30:$C$46,2)</f>
        <v>3.2842936896425673E-2</v>
      </c>
      <c r="K24">
        <f>VLOOKUP(Q_start!A24,Medium_Capacity!$B$49:$C$65,2, FALSE)</f>
        <v>438402962.04456699</v>
      </c>
      <c r="L24" s="8" t="s">
        <v>34</v>
      </c>
      <c r="M24" t="s">
        <v>33</v>
      </c>
    </row>
    <row r="25" spans="1:52" x14ac:dyDescent="0.25">
      <c r="B25" s="8"/>
      <c r="C25" s="8"/>
      <c r="D25" s="8"/>
      <c r="E25" s="8"/>
      <c r="F25" s="8"/>
      <c r="G25" s="8"/>
      <c r="H25" s="8"/>
      <c r="I25" s="8"/>
      <c r="J25">
        <f>VLOOKUP(Q_start!B25,Medium_Capacity!$B$30:$C$46,2)</f>
        <v>6.4367132540796004E-3</v>
      </c>
      <c r="K25">
        <f>VLOOKUP(Q_start!A25,Medium_Capacity!$B$49:$C$65,2, FALSE)</f>
        <v>438402962.04456699</v>
      </c>
      <c r="L25" s="8" t="s">
        <v>34</v>
      </c>
      <c r="M25" t="s">
        <v>30</v>
      </c>
    </row>
    <row r="26" spans="1:52" x14ac:dyDescent="0.25">
      <c r="B26" s="8"/>
      <c r="C26" s="8"/>
      <c r="D26" s="8"/>
      <c r="E26" s="8"/>
      <c r="F26" s="8"/>
      <c r="G26" s="8"/>
      <c r="H26" s="8"/>
      <c r="I26" s="8"/>
      <c r="J26">
        <f>VLOOKUP(Q_start!B26,Medium_Capacity!$B$30:$C$46,2)</f>
        <v>2.5118880991530147E-3</v>
      </c>
      <c r="K26">
        <f>VLOOKUP(Q_start!A26,Medium_Capacity!$B$49:$C$65,2, FALSE)</f>
        <v>438402962.04456699</v>
      </c>
      <c r="L26" s="8" t="s">
        <v>34</v>
      </c>
      <c r="M26" t="s">
        <v>48</v>
      </c>
    </row>
    <row r="27" spans="1:52" x14ac:dyDescent="0.25">
      <c r="B27" s="8"/>
      <c r="C27" s="8"/>
      <c r="D27" s="8"/>
      <c r="E27" s="8"/>
      <c r="F27" s="8"/>
      <c r="G27" s="8"/>
      <c r="H27" s="8"/>
      <c r="I27" s="8"/>
      <c r="J27">
        <f>VLOOKUP(Q_start!B27,Medium_Capacity!$B$30:$C$46,2)</f>
        <v>1.1303496446188567E-2</v>
      </c>
      <c r="K27">
        <f>VLOOKUP(Q_start!A27,Medium_Capacity!$B$49:$C$65,2, FALSE)</f>
        <v>438402962.04456699</v>
      </c>
      <c r="L27" s="8" t="s">
        <v>34</v>
      </c>
      <c r="M27" t="s">
        <v>36</v>
      </c>
    </row>
    <row r="28" spans="1:52" x14ac:dyDescent="0.25">
      <c r="E28" s="8"/>
      <c r="F28" s="8"/>
      <c r="G28" s="8"/>
      <c r="H28" s="8"/>
      <c r="I28" s="8"/>
      <c r="J28">
        <f>VLOOKUP(Q_start!B28,Medium_Capacity!$B$30:$C$46,2)</f>
        <v>2.5118880991530147E-3</v>
      </c>
      <c r="K28">
        <f>VLOOKUP(Q_start!A28,Medium_Capacity!$B$49:$C$65,2, FALSE)</f>
        <v>438402962.04456699</v>
      </c>
      <c r="L28" s="8" t="s">
        <v>34</v>
      </c>
      <c r="M28" t="s">
        <v>49</v>
      </c>
    </row>
    <row r="29" spans="1:52" x14ac:dyDescent="0.25">
      <c r="E29" s="8"/>
      <c r="F29" s="8"/>
      <c r="G29" s="8"/>
      <c r="H29" s="8"/>
      <c r="I29" s="8"/>
      <c r="J29">
        <f>VLOOKUP(Q_start!B29,Medium_Capacity!$B$30:$C$46,2)</f>
        <v>0.30437026926105981</v>
      </c>
      <c r="K29">
        <f>VLOOKUP(Q_start!A29,Medium_Capacity!$B$49:$C$65,2, FALSE)</f>
        <v>6404901.9598684218</v>
      </c>
      <c r="L29" s="8" t="s">
        <v>41</v>
      </c>
      <c r="M29" t="s">
        <v>23</v>
      </c>
    </row>
    <row r="30" spans="1:52" x14ac:dyDescent="0.25">
      <c r="B30" t="s">
        <v>46</v>
      </c>
      <c r="C30" s="2">
        <v>3.9562237561659988E-3</v>
      </c>
      <c r="E30" s="8"/>
      <c r="F30" s="8"/>
      <c r="G30" s="8"/>
      <c r="H30" s="8"/>
      <c r="I30" s="8"/>
      <c r="J30">
        <f>VLOOKUP(Q_start!B30,Medium_Capacity!$B$30:$C$46,2)</f>
        <v>3.6610769045155193E-2</v>
      </c>
      <c r="K30">
        <f>VLOOKUP(Q_start!A30,Medium_Capacity!$B$49:$C$65,2, FALSE)</f>
        <v>6404901.9598684218</v>
      </c>
      <c r="L30" s="8" t="s">
        <v>41</v>
      </c>
      <c r="M30" t="s">
        <v>20</v>
      </c>
    </row>
    <row r="31" spans="1:52" x14ac:dyDescent="0.25">
      <c r="B31" t="s">
        <v>28</v>
      </c>
      <c r="C31" s="2">
        <v>7.6298601011772823E-3</v>
      </c>
      <c r="E31" s="8"/>
      <c r="F31" s="8"/>
      <c r="G31" s="8"/>
      <c r="H31" s="8"/>
      <c r="I31" s="8"/>
      <c r="J31">
        <f>VLOOKUP(Q_start!B31,Medium_Capacity!$B$30:$C$46,2)</f>
        <v>7.6298601011772823E-3</v>
      </c>
      <c r="K31">
        <f>VLOOKUP(Q_start!A31,Medium_Capacity!$B$49:$C$65,2, FALSE)</f>
        <v>6404901.9598684218</v>
      </c>
      <c r="L31" s="8" t="s">
        <v>41</v>
      </c>
      <c r="M31" t="s">
        <v>28</v>
      </c>
    </row>
    <row r="32" spans="1:52" x14ac:dyDescent="0.25">
      <c r="B32" t="s">
        <v>48</v>
      </c>
      <c r="C32" s="2">
        <v>2.5118880991530147E-3</v>
      </c>
      <c r="E32" s="8"/>
      <c r="F32" s="8"/>
      <c r="G32" s="8"/>
      <c r="H32" s="8"/>
      <c r="I32" s="8"/>
      <c r="J32">
        <f>VLOOKUP(Q_start!B32,Medium_Capacity!$B$30:$C$46,2)</f>
        <v>0.30437026926105981</v>
      </c>
      <c r="K32">
        <f>VLOOKUP(Q_start!A32,Medium_Capacity!$B$49:$C$65,2, FALSE)</f>
        <v>243482508.59073868</v>
      </c>
      <c r="L32" s="8" t="s">
        <v>27</v>
      </c>
      <c r="M32" t="s">
        <v>23</v>
      </c>
    </row>
    <row r="33" spans="2:13" x14ac:dyDescent="0.25">
      <c r="B33" t="s">
        <v>36</v>
      </c>
      <c r="C33" s="2">
        <v>1.1303496446188567E-2</v>
      </c>
      <c r="E33" s="8"/>
      <c r="F33" s="8"/>
      <c r="G33" s="8"/>
      <c r="H33" s="8"/>
      <c r="I33" s="8"/>
      <c r="J33">
        <f>VLOOKUP(Q_start!B33,Medium_Capacity!$B$30:$C$46,2)</f>
        <v>3.6610769045155193E-2</v>
      </c>
      <c r="K33">
        <f>VLOOKUP(Q_start!A33,Medium_Capacity!$B$49:$C$65,2, FALSE)</f>
        <v>243482508.59073868</v>
      </c>
      <c r="L33" s="8" t="s">
        <v>27</v>
      </c>
      <c r="M33" t="s">
        <v>20</v>
      </c>
    </row>
    <row r="34" spans="2:13" x14ac:dyDescent="0.25">
      <c r="B34" t="s">
        <v>47</v>
      </c>
      <c r="C34" s="2">
        <v>2.6374825041106656E-3</v>
      </c>
      <c r="E34" s="8"/>
      <c r="F34" s="8"/>
      <c r="G34" s="8"/>
      <c r="H34" s="8"/>
      <c r="I34" s="8"/>
      <c r="J34">
        <f>VLOOKUP(Q_start!B34,Medium_Capacity!$B$30:$C$46,2)</f>
        <v>7.6298601011772823E-3</v>
      </c>
      <c r="K34">
        <f>VLOOKUP(Q_start!A34,Medium_Capacity!$B$49:$C$65,2, FALSE)</f>
        <v>243482508.59073868</v>
      </c>
      <c r="L34" s="8" t="s">
        <v>27</v>
      </c>
      <c r="M34" t="s">
        <v>28</v>
      </c>
    </row>
    <row r="35" spans="2:13" x14ac:dyDescent="0.25">
      <c r="B35" t="s">
        <v>26</v>
      </c>
      <c r="C35" s="2">
        <v>5.0269160584299713E-2</v>
      </c>
      <c r="E35" s="8"/>
      <c r="F35" s="8"/>
      <c r="G35" s="8"/>
      <c r="H35" s="8"/>
      <c r="I35" s="8"/>
      <c r="J35">
        <f>VLOOKUP(Q_start!B35,Medium_Capacity!$B$30:$C$46,2)</f>
        <v>0.30437026926105981</v>
      </c>
      <c r="K35">
        <f>VLOOKUP(Q_start!A35,Medium_Capacity!$B$49:$C$65,2, FALSE)</f>
        <v>62054151.5187333</v>
      </c>
      <c r="L35" s="8" t="s">
        <v>42</v>
      </c>
      <c r="M35" t="s">
        <v>23</v>
      </c>
    </row>
    <row r="36" spans="2:13" x14ac:dyDescent="0.25">
      <c r="B36" t="s">
        <v>45</v>
      </c>
      <c r="C36" s="2">
        <v>9.4195803718238052E-6</v>
      </c>
      <c r="E36" s="8"/>
      <c r="F36" s="8"/>
      <c r="G36" s="8"/>
      <c r="H36" s="8"/>
      <c r="I36" s="8"/>
      <c r="J36">
        <f>VLOOKUP(Q_start!B36,Medium_Capacity!$B$30:$C$46,2)</f>
        <v>5.0269160584299713E-2</v>
      </c>
      <c r="K36">
        <f>VLOOKUP(Q_start!A36,Medium_Capacity!$B$49:$C$65,2, FALSE)</f>
        <v>62054151.5187333</v>
      </c>
      <c r="L36" s="8" t="s">
        <v>42</v>
      </c>
      <c r="M36" t="s">
        <v>26</v>
      </c>
    </row>
    <row r="37" spans="2:13" x14ac:dyDescent="0.25">
      <c r="B37" t="s">
        <v>22</v>
      </c>
      <c r="C37" s="2">
        <v>0.51693087150507078</v>
      </c>
      <c r="E37" s="8"/>
      <c r="F37" s="8"/>
      <c r="G37" s="8"/>
      <c r="H37" s="8"/>
      <c r="I37" s="8"/>
      <c r="J37">
        <f>VLOOKUP(Q_start!B37,Medium_Capacity!$B$30:$C$46,2)</f>
        <v>0.30437026926105981</v>
      </c>
      <c r="K37">
        <f>VLOOKUP(Q_start!A37,Medium_Capacity!$B$49:$C$65,2, FALSE)</f>
        <v>5826576.9305263162</v>
      </c>
      <c r="L37" s="8" t="s">
        <v>43</v>
      </c>
      <c r="M37" t="s">
        <v>23</v>
      </c>
    </row>
    <row r="38" spans="2:13" x14ac:dyDescent="0.25">
      <c r="B38" t="s">
        <v>49</v>
      </c>
      <c r="C38" s="2">
        <v>2.5118880991530147E-3</v>
      </c>
      <c r="E38" s="8"/>
      <c r="F38" s="8"/>
      <c r="G38" s="8"/>
      <c r="H38" s="8"/>
      <c r="I38" s="8"/>
      <c r="J38">
        <f>VLOOKUP(Q_start!B38,Medium_Capacity!$B$30:$C$46,2)</f>
        <v>0.30437026926105981</v>
      </c>
      <c r="K38">
        <f>VLOOKUP(Q_start!A38,Medium_Capacity!$B$49:$C$65,2, FALSE)</f>
        <v>252782013.30394739</v>
      </c>
      <c r="L38" s="8" t="s">
        <v>29</v>
      </c>
      <c r="M38" t="s">
        <v>23</v>
      </c>
    </row>
    <row r="39" spans="2:13" x14ac:dyDescent="0.25">
      <c r="B39" t="s">
        <v>31</v>
      </c>
      <c r="C39" s="2">
        <v>1.9027552351084089E-2</v>
      </c>
      <c r="E39" s="8"/>
      <c r="F39" s="8"/>
      <c r="G39" s="8"/>
      <c r="H39" s="8"/>
      <c r="I39" s="8"/>
      <c r="J39">
        <f>VLOOKUP(Q_start!B39,Medium_Capacity!$B$30:$C$46,2)</f>
        <v>3.6610769045155193E-2</v>
      </c>
      <c r="K39">
        <f>VLOOKUP(Q_start!A39,Medium_Capacity!$B$49:$C$65,2, FALSE)</f>
        <v>252782013.30394739</v>
      </c>
      <c r="L39" s="8" t="s">
        <v>29</v>
      </c>
      <c r="M39" t="s">
        <v>20</v>
      </c>
    </row>
    <row r="40" spans="2:13" x14ac:dyDescent="0.25">
      <c r="B40" t="s">
        <v>24</v>
      </c>
      <c r="C40" s="2">
        <v>9.7335663842179328E-4</v>
      </c>
      <c r="E40" s="8"/>
      <c r="F40" s="8"/>
      <c r="G40" s="8"/>
      <c r="H40" s="8"/>
      <c r="I40" s="8"/>
      <c r="J40">
        <f>VLOOKUP(Q_start!B40,Medium_Capacity!$B$30:$C$46,2)</f>
        <v>5.0269160584299713E-2</v>
      </c>
      <c r="K40">
        <f>VLOOKUP(Q_start!A40,Medium_Capacity!$B$49:$C$65,2, FALSE)</f>
        <v>252782013.30394739</v>
      </c>
      <c r="L40" s="8" t="s">
        <v>29</v>
      </c>
      <c r="M40" t="s">
        <v>26</v>
      </c>
    </row>
    <row r="41" spans="2:13" x14ac:dyDescent="0.25">
      <c r="B41" t="s">
        <v>30</v>
      </c>
      <c r="C41" s="2">
        <v>6.4367132540796004E-3</v>
      </c>
      <c r="E41" s="8"/>
      <c r="F41" s="8"/>
      <c r="G41" s="8"/>
      <c r="H41" s="8"/>
      <c r="I41" s="8"/>
      <c r="J41">
        <f>VLOOKUP(Q_start!B41,Medium_Capacity!$B$30:$C$46,2)</f>
        <v>1.9027552351084089E-2</v>
      </c>
      <c r="K41">
        <f>VLOOKUP(Q_start!A41,Medium_Capacity!$B$49:$C$65,2, FALSE)</f>
        <v>252782013.30394739</v>
      </c>
      <c r="L41" s="8" t="s">
        <v>29</v>
      </c>
      <c r="M41" t="s">
        <v>31</v>
      </c>
    </row>
    <row r="42" spans="2:13" x14ac:dyDescent="0.25">
      <c r="B42" t="s">
        <v>37</v>
      </c>
      <c r="C42" s="2">
        <v>1.8211188718859359E-3</v>
      </c>
      <c r="E42" s="8"/>
      <c r="F42" s="8"/>
      <c r="G42" s="8"/>
      <c r="H42" s="8"/>
      <c r="I42" s="8"/>
      <c r="J42">
        <f>VLOOKUP(Q_start!B42,Medium_Capacity!$B$30:$C$46,2)</f>
        <v>6.4367132540796004E-3</v>
      </c>
      <c r="K42">
        <f>VLOOKUP(Q_start!A42,Medium_Capacity!$B$49:$C$65,2, FALSE)</f>
        <v>252782013.30394739</v>
      </c>
      <c r="L42" s="8" t="s">
        <v>29</v>
      </c>
      <c r="M42" t="s">
        <v>30</v>
      </c>
    </row>
    <row r="43" spans="2:13" x14ac:dyDescent="0.25">
      <c r="B43" t="s">
        <v>20</v>
      </c>
      <c r="C43" s="2">
        <v>3.6610769045155193E-2</v>
      </c>
      <c r="E43" s="8"/>
      <c r="F43" s="8"/>
      <c r="G43" s="8"/>
      <c r="H43" s="8"/>
      <c r="I43" s="8"/>
      <c r="J43">
        <f>VLOOKUP(Q_start!B43,Medium_Capacity!$B$30:$C$46,2)</f>
        <v>3.2842936896425673E-2</v>
      </c>
      <c r="K43">
        <f>VLOOKUP(Q_start!A43,Medium_Capacity!$B$49:$C$65,2, FALSE)</f>
        <v>0</v>
      </c>
      <c r="L43" s="8" t="s">
        <v>44</v>
      </c>
      <c r="M43" t="s">
        <v>33</v>
      </c>
    </row>
    <row r="44" spans="2:13" x14ac:dyDescent="0.25">
      <c r="B44" t="s">
        <v>33</v>
      </c>
      <c r="C44" s="2">
        <v>3.2842936896425673E-2</v>
      </c>
      <c r="E44" s="8"/>
      <c r="F44" s="8"/>
      <c r="G44" s="8"/>
      <c r="H44" s="8"/>
      <c r="I44" s="8"/>
      <c r="J44">
        <f>VLOOKUP(Q_start!B44,Medium_Capacity!$B$30:$C$46,2)</f>
        <v>0.51693087150507078</v>
      </c>
      <c r="K44">
        <f>VLOOKUP(Q_start!A44,Medium_Capacity!$B$49:$C$65,2, FALSE)</f>
        <v>18988209.721337222</v>
      </c>
      <c r="L44" s="8" t="s">
        <v>9</v>
      </c>
      <c r="M44" t="s">
        <v>22</v>
      </c>
    </row>
    <row r="45" spans="2:13" x14ac:dyDescent="0.25">
      <c r="B45" t="s">
        <v>23</v>
      </c>
      <c r="C45" s="2">
        <v>0.30437026926105981</v>
      </c>
      <c r="J45">
        <f>VLOOKUP(Q_start!B45,Medium_Capacity!$B$30:$C$46,2)</f>
        <v>9.7335663842179328E-4</v>
      </c>
      <c r="K45">
        <f>VLOOKUP(Q_start!A45,Medium_Capacity!$B$49:$C$65,2, FALSE)</f>
        <v>18988209.721337222</v>
      </c>
      <c r="L45" t="s">
        <v>9</v>
      </c>
      <c r="M45" t="s">
        <v>24</v>
      </c>
    </row>
    <row r="46" spans="2:13" x14ac:dyDescent="0.25">
      <c r="B46" t="s">
        <v>35</v>
      </c>
      <c r="C46" s="2">
        <v>1.5699300619706342E-4</v>
      </c>
      <c r="J46">
        <f>VLOOKUP(Q_start!B46,Medium_Capacity!$B$30:$C$46,2)</f>
        <v>1.5699300619706342E-4</v>
      </c>
      <c r="K46">
        <f>VLOOKUP(Q_start!A46,Medium_Capacity!$B$49:$C$65,2, FALSE)</f>
        <v>18988209.721337222</v>
      </c>
      <c r="L46" t="s">
        <v>9</v>
      </c>
      <c r="M46" t="s">
        <v>35</v>
      </c>
    </row>
    <row r="47" spans="2:13" x14ac:dyDescent="0.25">
      <c r="J47">
        <f>VLOOKUP(Q_start!B47,Medium_Capacity!$B$30:$C$46,2)</f>
        <v>0.30437026926105981</v>
      </c>
      <c r="K47">
        <f>VLOOKUP(Q_start!A47,Medium_Capacity!$B$49:$C$65,2, FALSE)</f>
        <v>142479003.36778629</v>
      </c>
      <c r="L47" t="s">
        <v>10</v>
      </c>
      <c r="M47" t="s">
        <v>23</v>
      </c>
    </row>
    <row r="48" spans="2:13" x14ac:dyDescent="0.25">
      <c r="C48" s="2"/>
      <c r="D48" s="2"/>
      <c r="J48">
        <f>VLOOKUP(Q_start!B48,Medium_Capacity!$B$30:$C$46,2)</f>
        <v>0.51693087150507078</v>
      </c>
      <c r="K48">
        <f>VLOOKUP(Q_start!A48,Medium_Capacity!$B$49:$C$65,2, FALSE)</f>
        <v>142479003.36778629</v>
      </c>
      <c r="L48" t="s">
        <v>10</v>
      </c>
      <c r="M48" t="s">
        <v>22</v>
      </c>
    </row>
    <row r="49" spans="2:13" x14ac:dyDescent="0.25">
      <c r="B49" t="s">
        <v>19</v>
      </c>
      <c r="C49" s="2">
        <v>14777182.228013201</v>
      </c>
      <c r="D49" s="2"/>
      <c r="J49">
        <f>VLOOKUP(Q_start!B49,Medium_Capacity!$B$30:$C$46,2)</f>
        <v>1.1303496446188567E-2</v>
      </c>
      <c r="K49">
        <f>VLOOKUP(Q_start!A49,Medium_Capacity!$B$49:$C$65,2, FALSE)</f>
        <v>142479003.36778629</v>
      </c>
      <c r="L49" t="s">
        <v>10</v>
      </c>
      <c r="M49" t="s">
        <v>36</v>
      </c>
    </row>
    <row r="50" spans="2:13" x14ac:dyDescent="0.25">
      <c r="B50" t="s">
        <v>25</v>
      </c>
      <c r="C50" s="2">
        <v>331279149.41895598</v>
      </c>
      <c r="D50" s="2"/>
      <c r="J50">
        <f>VLOOKUP(Q_start!B50,Medium_Capacity!$B$30:$C$46,2)</f>
        <v>0.30437026926105981</v>
      </c>
      <c r="K50">
        <f>VLOOKUP(Q_start!A50,Medium_Capacity!$B$49:$C$65,2, FALSE)</f>
        <v>160800233.02991807</v>
      </c>
      <c r="L50" t="s">
        <v>13</v>
      </c>
      <c r="M50" t="s">
        <v>23</v>
      </c>
    </row>
    <row r="51" spans="2:13" x14ac:dyDescent="0.25">
      <c r="B51" t="s">
        <v>21</v>
      </c>
      <c r="C51" s="2">
        <v>26052155.976207186</v>
      </c>
      <c r="D51" s="2"/>
      <c r="J51">
        <f>VLOOKUP(Q_start!B51,Medium_Capacity!$B$30:$C$46,2)</f>
        <v>0.51693087150507078</v>
      </c>
      <c r="K51">
        <f>VLOOKUP(Q_start!A51,Medium_Capacity!$B$49:$C$65,2, FALSE)</f>
        <v>160800233.02991807</v>
      </c>
      <c r="L51" t="s">
        <v>13</v>
      </c>
      <c r="M51" t="s">
        <v>22</v>
      </c>
    </row>
    <row r="52" spans="2:13" x14ac:dyDescent="0.25">
      <c r="B52" t="s">
        <v>39</v>
      </c>
      <c r="C52" s="2">
        <v>7180030.7496517412</v>
      </c>
      <c r="D52" s="2"/>
      <c r="J52">
        <f>VLOOKUP(Q_start!B52,Medium_Capacity!$B$30:$C$46,2)</f>
        <v>1.8211188718859359E-3</v>
      </c>
      <c r="K52">
        <f>VLOOKUP(Q_start!A52,Medium_Capacity!$B$49:$C$65,2, FALSE)</f>
        <v>160800233.02991807</v>
      </c>
      <c r="L52" t="s">
        <v>13</v>
      </c>
      <c r="M52" t="s">
        <v>37</v>
      </c>
    </row>
    <row r="53" spans="2:13" x14ac:dyDescent="0.25">
      <c r="B53" t="s">
        <v>27</v>
      </c>
      <c r="C53" s="2">
        <v>243482508.59073868</v>
      </c>
      <c r="D53" s="2"/>
    </row>
    <row r="54" spans="2:13" x14ac:dyDescent="0.25">
      <c r="B54" t="s">
        <v>41</v>
      </c>
      <c r="C54" s="2">
        <v>6404901.9598684218</v>
      </c>
      <c r="D54" s="2"/>
    </row>
    <row r="55" spans="2:13" x14ac:dyDescent="0.25">
      <c r="B55" t="s">
        <v>42</v>
      </c>
      <c r="C55" s="2">
        <v>62054151.5187333</v>
      </c>
      <c r="D55" s="2"/>
    </row>
    <row r="56" spans="2:13" x14ac:dyDescent="0.25">
      <c r="B56" t="s">
        <v>43</v>
      </c>
      <c r="C56">
        <v>5826576.9305263162</v>
      </c>
    </row>
    <row r="57" spans="2:13" x14ac:dyDescent="0.25">
      <c r="B57" t="s">
        <v>29</v>
      </c>
      <c r="C57">
        <v>252782013.30394739</v>
      </c>
    </row>
    <row r="58" spans="2:13" x14ac:dyDescent="0.25">
      <c r="B58" t="s">
        <v>44</v>
      </c>
      <c r="C58">
        <v>0</v>
      </c>
    </row>
    <row r="59" spans="2:13" x14ac:dyDescent="0.25">
      <c r="B59" t="s">
        <v>32</v>
      </c>
      <c r="C59">
        <v>83779046.847486719</v>
      </c>
    </row>
    <row r="60" spans="2:13" x14ac:dyDescent="0.25">
      <c r="B60" t="s">
        <v>34</v>
      </c>
      <c r="C60">
        <v>438402962.04456699</v>
      </c>
    </row>
    <row r="61" spans="2:13" x14ac:dyDescent="0.25">
      <c r="B61" t="s">
        <v>9</v>
      </c>
      <c r="C61">
        <v>18988209.721337222</v>
      </c>
    </row>
    <row r="62" spans="2:13" x14ac:dyDescent="0.25">
      <c r="B62" t="s">
        <v>40</v>
      </c>
      <c r="C62">
        <v>59502552.144086249</v>
      </c>
    </row>
    <row r="63" spans="2:13" x14ac:dyDescent="0.25">
      <c r="B63" t="s">
        <v>7</v>
      </c>
      <c r="C63">
        <v>927637.83394736797</v>
      </c>
    </row>
    <row r="64" spans="2:13" x14ac:dyDescent="0.25">
      <c r="B64" t="s">
        <v>10</v>
      </c>
      <c r="C64">
        <v>142479003.36778629</v>
      </c>
    </row>
    <row r="65" spans="2:3" x14ac:dyDescent="0.25">
      <c r="B65" t="s">
        <v>13</v>
      </c>
      <c r="C65">
        <v>160800233.02991807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F_start</vt:lpstr>
      <vt:lpstr>Q_start</vt:lpstr>
      <vt:lpstr>I_start</vt:lpstr>
      <vt:lpstr>S_start</vt:lpstr>
      <vt:lpstr>Medium_Capacity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2024-04-17T15:45:08Z</dcterms:modified>
</cp:coreProperties>
</file>