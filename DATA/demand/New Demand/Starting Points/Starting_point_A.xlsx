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codeName="ThisWorkbook"/>
  <mc:AlternateContent xmlns:mc="http://schemas.openxmlformats.org/markup-compatibility/2006">
    <mc:Choice Requires="x15">
      <x15ac:absPath xmlns:x15ac="http://schemas.microsoft.com/office/spreadsheetml/2010/11/ac" url="D:\ASif\UARK\RA\L-shaped\Scenario Generation\Starting Points\"/>
    </mc:Choice>
  </mc:AlternateContent>
  <xr:revisionPtr revIDLastSave="0" documentId="8_{D5734788-4946-494F-9FF4-6297022B68F0}" xr6:coauthVersionLast="36" xr6:coauthVersionMax="36" xr10:uidLastSave="{00000000-0000-0000-0000-000000000000}"/>
  <bookViews>
    <workbookView xWindow="0" yWindow="0" windowWidth="23040" windowHeight="7896" activeTab="2" xr2:uid="{00000000-000D-0000-FFFF-FFFF00000000}"/>
  </bookViews>
  <sheets>
    <sheet name="F_start" sheetId="2" r:id="rId1"/>
    <sheet name="Q_start" sheetId="7" r:id="rId2"/>
    <sheet name="I_start" sheetId="8" r:id="rId3"/>
    <sheet name="S_start" sheetId="9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7" i="7" l="1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8" i="7"/>
  <c r="D7" i="7"/>
  <c r="D6" i="7"/>
  <c r="D5" i="7"/>
  <c r="D4" i="7"/>
  <c r="D3" i="7"/>
  <c r="D2" i="7"/>
</calcChain>
</file>

<file path=xl/sharedStrings.xml><?xml version="1.0" encoding="utf-8"?>
<sst xmlns="http://schemas.openxmlformats.org/spreadsheetml/2006/main" count="105" uniqueCount="47">
  <si>
    <t>Measles</t>
  </si>
  <si>
    <t>Mumps</t>
  </si>
  <si>
    <t>Rubella</t>
  </si>
  <si>
    <t>Diphtheria</t>
  </si>
  <si>
    <t>Tetanus</t>
  </si>
  <si>
    <t>Pertussis</t>
  </si>
  <si>
    <t>Hepatitis_B</t>
  </si>
  <si>
    <t>Hib</t>
  </si>
  <si>
    <t>Polio</t>
  </si>
  <si>
    <t>HPV</t>
  </si>
  <si>
    <t>Rotavirus</t>
  </si>
  <si>
    <t>Starting</t>
  </si>
  <si>
    <t>Ending</t>
  </si>
  <si>
    <t>PCV</t>
  </si>
  <si>
    <t>Vaccine</t>
  </si>
  <si>
    <t>Producer</t>
  </si>
  <si>
    <t>Start</t>
  </si>
  <si>
    <t>End</t>
  </si>
  <si>
    <t>Amount</t>
  </si>
  <si>
    <t>M</t>
  </si>
  <si>
    <t>PT_Bio</t>
  </si>
  <si>
    <t>MMR</t>
  </si>
  <si>
    <t>GSK</t>
  </si>
  <si>
    <t>Serum_Institute</t>
  </si>
  <si>
    <t>Merck_Sharp</t>
  </si>
  <si>
    <t>MR</t>
  </si>
  <si>
    <t>Biological_E</t>
  </si>
  <si>
    <t>Td</t>
  </si>
  <si>
    <t>BB_NCIPD</t>
  </si>
  <si>
    <t>Penta</t>
  </si>
  <si>
    <t>Panacea_Biotec</t>
  </si>
  <si>
    <t>LG_Chem</t>
  </si>
  <si>
    <t>IPV</t>
  </si>
  <si>
    <t>Sanofi_Pasteur</t>
  </si>
  <si>
    <t>OPV</t>
  </si>
  <si>
    <t>Xiamen_Innovax</t>
  </si>
  <si>
    <t>Bharat_Biotech</t>
  </si>
  <si>
    <t>Pfizer</t>
  </si>
  <si>
    <t>Antigen</t>
  </si>
  <si>
    <t>TT</t>
  </si>
  <si>
    <t>HepB</t>
  </si>
  <si>
    <t>DT</t>
  </si>
  <si>
    <t>DTwP</t>
  </si>
  <si>
    <t>DTwP-Hib</t>
  </si>
  <si>
    <t>Hexa</t>
  </si>
  <si>
    <t>antigen</t>
  </si>
  <si>
    <t>Unvaccinated 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</si>
</sst>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0E+00"/>
    <numFmt numFmtId="165" formatCode="0.000000E+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onsolas"/>
      <family val="3"/>
    </font>
    <font>
      <sz val="10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" fontId="3" fillId="0" borderId="0" xfId="1" applyNumberFormat="1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165" fontId="2" fillId="0" borderId="0" xfId="0" applyNumberFormat="1" applyFont="1"/>
    <xf numFmtId="11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D6D9-E2BE-4540-AD66-B6783F716305}">
  <sheetPr codeName="Sheet1"/>
  <dimension ref="A1:C13"/>
  <sheetViews>
    <sheetView workbookViewId="0">
      <selection activeCell="C13" sqref="C13"/>
    </sheetView>
  </sheetViews>
  <sheetFormatPr defaultRowHeight="14.4" x14ac:dyDescent="0.3"/>
  <sheetData>
    <row r="1" spans="1:3" x14ac:dyDescent="0.3">
      <c r="A1" t="s">
        <v>38</v>
      </c>
      <c r="B1" t="s">
        <v>11</v>
      </c>
      <c r="C1" t="s">
        <v>12</v>
      </c>
    </row>
    <row r="2" spans="1:3" x14ac:dyDescent="0.3">
      <c r="A2" s="1" t="s">
        <v>0</v>
      </c>
      <c r="B2">
        <v>1</v>
      </c>
      <c r="C2">
        <v>2</v>
      </c>
    </row>
    <row r="3" spans="1:3" x14ac:dyDescent="0.3">
      <c r="A3" s="1" t="s">
        <v>1</v>
      </c>
      <c r="B3">
        <v>1</v>
      </c>
      <c r="C3">
        <v>2</v>
      </c>
    </row>
    <row r="4" spans="1:3" x14ac:dyDescent="0.3">
      <c r="A4" s="1" t="s">
        <v>2</v>
      </c>
      <c r="B4">
        <v>1</v>
      </c>
      <c r="C4">
        <v>2</v>
      </c>
    </row>
    <row r="5" spans="1:3" x14ac:dyDescent="0.3">
      <c r="A5" s="1" t="s">
        <v>3</v>
      </c>
      <c r="B5">
        <v>1</v>
      </c>
      <c r="C5">
        <v>1</v>
      </c>
    </row>
    <row r="6" spans="1:3" x14ac:dyDescent="0.3">
      <c r="A6" s="1" t="s">
        <v>4</v>
      </c>
      <c r="B6">
        <v>1</v>
      </c>
      <c r="C6">
        <v>1</v>
      </c>
    </row>
    <row r="7" spans="1:3" x14ac:dyDescent="0.3">
      <c r="A7" s="1" t="s">
        <v>5</v>
      </c>
      <c r="B7">
        <v>1</v>
      </c>
      <c r="C7">
        <v>1</v>
      </c>
    </row>
    <row r="8" spans="1:3" x14ac:dyDescent="0.3">
      <c r="A8" s="1" t="s">
        <v>7</v>
      </c>
      <c r="B8">
        <v>1</v>
      </c>
      <c r="C8">
        <v>1</v>
      </c>
    </row>
    <row r="9" spans="1:3" x14ac:dyDescent="0.3">
      <c r="A9" s="1" t="s">
        <v>6</v>
      </c>
      <c r="B9">
        <v>1</v>
      </c>
      <c r="C9">
        <v>1</v>
      </c>
    </row>
    <row r="10" spans="1:3" x14ac:dyDescent="0.3">
      <c r="A10" s="1" t="s">
        <v>8</v>
      </c>
      <c r="B10">
        <v>1</v>
      </c>
      <c r="C10">
        <v>3</v>
      </c>
    </row>
    <row r="11" spans="1:3" x14ac:dyDescent="0.3">
      <c r="A11" t="s">
        <v>9</v>
      </c>
      <c r="B11">
        <v>1</v>
      </c>
      <c r="C11">
        <v>5</v>
      </c>
    </row>
    <row r="12" spans="1:3" x14ac:dyDescent="0.3">
      <c r="A12" t="s">
        <v>10</v>
      </c>
      <c r="B12">
        <v>1</v>
      </c>
      <c r="C12">
        <v>1</v>
      </c>
    </row>
    <row r="13" spans="1:3" x14ac:dyDescent="0.3">
      <c r="A13" t="s">
        <v>13</v>
      </c>
      <c r="B13">
        <v>1</v>
      </c>
      <c r="C1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51515-DB43-462D-9C92-F50748C0A12A}">
  <sheetPr codeName="Sheet4"/>
  <dimension ref="A1:E27"/>
  <sheetViews>
    <sheetView topLeftCell="A7" workbookViewId="0">
      <selection activeCell="E15" sqref="E15"/>
    </sheetView>
  </sheetViews>
  <sheetFormatPr defaultRowHeight="14.4" x14ac:dyDescent="0.3"/>
  <cols>
    <col min="1" max="1" width="8.88671875" style="2"/>
    <col min="2" max="2" width="14" style="2" bestFit="1" customWidth="1"/>
    <col min="3" max="4" width="8.88671875" style="2"/>
    <col min="5" max="5" width="16.109375" style="3" bestFit="1" customWidth="1"/>
  </cols>
  <sheetData>
    <row r="1" spans="1:5" x14ac:dyDescent="0.3">
      <c r="A1" s="2" t="s">
        <v>14</v>
      </c>
      <c r="B1" s="2" t="s">
        <v>15</v>
      </c>
      <c r="C1" s="2" t="s">
        <v>16</v>
      </c>
      <c r="D1" s="2" t="s">
        <v>17</v>
      </c>
      <c r="E1" s="3" t="s">
        <v>18</v>
      </c>
    </row>
    <row r="2" spans="1:5" x14ac:dyDescent="0.3">
      <c r="A2" s="2" t="s">
        <v>19</v>
      </c>
      <c r="B2" s="2" t="s">
        <v>20</v>
      </c>
      <c r="C2" s="2">
        <v>1</v>
      </c>
      <c r="D2" s="2">
        <f>F_start!C2</f>
        <v>2</v>
      </c>
      <c r="E2" s="4">
        <v>13299</v>
      </c>
    </row>
    <row r="3" spans="1:5" x14ac:dyDescent="0.3">
      <c r="A3" s="2" t="s">
        <v>21</v>
      </c>
      <c r="B3" s="2" t="s">
        <v>22</v>
      </c>
      <c r="C3" s="2">
        <v>1</v>
      </c>
      <c r="D3" s="2">
        <f>F_start!C3</f>
        <v>2</v>
      </c>
      <c r="E3" s="3">
        <v>12505</v>
      </c>
    </row>
    <row r="4" spans="1:5" x14ac:dyDescent="0.3">
      <c r="A4" s="2" t="s">
        <v>21</v>
      </c>
      <c r="B4" s="2" t="s">
        <v>23</v>
      </c>
      <c r="C4" s="2">
        <v>1</v>
      </c>
      <c r="D4" s="2">
        <f>F_start!C3</f>
        <v>2</v>
      </c>
      <c r="E4" s="3">
        <v>13547</v>
      </c>
    </row>
    <row r="5" spans="1:5" x14ac:dyDescent="0.3">
      <c r="A5" s="2" t="s">
        <v>21</v>
      </c>
      <c r="B5" s="2" t="s">
        <v>24</v>
      </c>
      <c r="C5" s="2">
        <v>1</v>
      </c>
      <c r="D5" s="2">
        <f>F_start!C3</f>
        <v>2</v>
      </c>
      <c r="E5" s="4">
        <v>6547</v>
      </c>
    </row>
    <row r="6" spans="1:5" x14ac:dyDescent="0.3">
      <c r="A6" s="2" t="s">
        <v>25</v>
      </c>
      <c r="B6" s="2" t="s">
        <v>26</v>
      </c>
      <c r="C6" s="2">
        <v>1</v>
      </c>
      <c r="D6" s="2">
        <f>F_start!C4</f>
        <v>2</v>
      </c>
      <c r="E6" s="4">
        <v>90279</v>
      </c>
    </row>
    <row r="7" spans="1:5" x14ac:dyDescent="0.3">
      <c r="A7" s="2" t="s">
        <v>27</v>
      </c>
      <c r="B7" s="2" t="s">
        <v>23</v>
      </c>
      <c r="C7" s="2">
        <v>1</v>
      </c>
      <c r="D7" s="2">
        <f>F_start!C5</f>
        <v>1</v>
      </c>
      <c r="E7" s="4">
        <v>180177</v>
      </c>
    </row>
    <row r="8" spans="1:5" x14ac:dyDescent="0.3">
      <c r="A8" s="2" t="s">
        <v>27</v>
      </c>
      <c r="B8" s="2" t="s">
        <v>28</v>
      </c>
      <c r="C8" s="2">
        <v>1</v>
      </c>
      <c r="D8" s="2">
        <f>F_start!C5</f>
        <v>1</v>
      </c>
      <c r="E8" s="4">
        <v>13305</v>
      </c>
    </row>
    <row r="9" spans="1:5" x14ac:dyDescent="0.3">
      <c r="A9" s="2" t="s">
        <v>29</v>
      </c>
      <c r="B9" s="2" t="s">
        <v>30</v>
      </c>
      <c r="C9" s="2">
        <v>1</v>
      </c>
      <c r="D9" s="2">
        <v>1</v>
      </c>
      <c r="E9" s="4">
        <v>8948</v>
      </c>
    </row>
    <row r="10" spans="1:5" x14ac:dyDescent="0.3">
      <c r="A10" s="2" t="s">
        <v>29</v>
      </c>
      <c r="B10" s="2" t="s">
        <v>23</v>
      </c>
      <c r="C10" s="2">
        <v>1</v>
      </c>
      <c r="D10" s="2">
        <f>F_start!C5</f>
        <v>1</v>
      </c>
      <c r="E10" s="4">
        <v>140932</v>
      </c>
    </row>
    <row r="11" spans="1:5" x14ac:dyDescent="0.3">
      <c r="A11" s="2" t="s">
        <v>29</v>
      </c>
      <c r="B11" s="2" t="s">
        <v>31</v>
      </c>
      <c r="C11" s="2">
        <v>1</v>
      </c>
      <c r="D11" s="2">
        <f>F_start!C5</f>
        <v>1</v>
      </c>
      <c r="E11" s="4">
        <v>17896</v>
      </c>
    </row>
    <row r="12" spans="1:5" x14ac:dyDescent="0.3">
      <c r="A12" s="2" t="s">
        <v>29</v>
      </c>
      <c r="B12" s="2" t="s">
        <v>20</v>
      </c>
      <c r="C12" s="2">
        <v>1</v>
      </c>
      <c r="D12" s="2">
        <f>F_start!C5</f>
        <v>1</v>
      </c>
      <c r="E12" s="4">
        <v>31318</v>
      </c>
    </row>
    <row r="13" spans="1:5" x14ac:dyDescent="0.3">
      <c r="A13" s="2" t="s">
        <v>29</v>
      </c>
      <c r="B13" s="2" t="s">
        <v>26</v>
      </c>
      <c r="C13" s="2">
        <v>1</v>
      </c>
      <c r="D13" s="2">
        <f>F_start!C5</f>
        <v>1</v>
      </c>
      <c r="E13" s="4">
        <v>53688</v>
      </c>
    </row>
    <row r="14" spans="1:5" x14ac:dyDescent="0.3">
      <c r="A14" s="2" t="s">
        <v>32</v>
      </c>
      <c r="B14" s="2" t="s">
        <v>33</v>
      </c>
      <c r="C14" s="2">
        <v>1</v>
      </c>
      <c r="D14" s="2">
        <f>F_start!C10</f>
        <v>3</v>
      </c>
      <c r="E14" s="4">
        <v>43365</v>
      </c>
    </row>
    <row r="15" spans="1:5" x14ac:dyDescent="0.3">
      <c r="A15" s="2" t="s">
        <v>32</v>
      </c>
      <c r="B15" s="2" t="s">
        <v>31</v>
      </c>
      <c r="C15" s="2">
        <v>1</v>
      </c>
      <c r="D15" s="2">
        <f>F_start!C10</f>
        <v>3</v>
      </c>
      <c r="E15" s="4">
        <v>40214</v>
      </c>
    </row>
    <row r="16" spans="1:5" x14ac:dyDescent="0.3">
      <c r="A16" s="2" t="s">
        <v>34</v>
      </c>
      <c r="B16" s="2" t="s">
        <v>22</v>
      </c>
      <c r="C16" s="2">
        <v>1</v>
      </c>
      <c r="D16" s="2">
        <f>F_start!C10</f>
        <v>3</v>
      </c>
      <c r="E16" s="4">
        <v>219201</v>
      </c>
    </row>
    <row r="17" spans="1:5" x14ac:dyDescent="0.3">
      <c r="A17" s="2" t="s">
        <v>34</v>
      </c>
      <c r="B17" s="2" t="s">
        <v>33</v>
      </c>
      <c r="C17" s="2">
        <v>1</v>
      </c>
      <c r="D17" s="2">
        <f>F_start!C10</f>
        <v>3</v>
      </c>
      <c r="E17" s="4">
        <v>61221</v>
      </c>
    </row>
    <row r="18" spans="1:5" x14ac:dyDescent="0.3">
      <c r="A18" s="2" t="s">
        <v>34</v>
      </c>
      <c r="B18" s="2" t="s">
        <v>20</v>
      </c>
      <c r="C18" s="2">
        <v>1</v>
      </c>
      <c r="D18" s="2">
        <f>F_start!C10</f>
        <v>3</v>
      </c>
      <c r="E18" s="4">
        <v>84681</v>
      </c>
    </row>
    <row r="19" spans="1:5" x14ac:dyDescent="0.3">
      <c r="A19" s="2" t="s">
        <v>9</v>
      </c>
      <c r="B19" s="2" t="s">
        <v>24</v>
      </c>
      <c r="C19" s="2">
        <v>1</v>
      </c>
      <c r="D19" s="2">
        <f>F_start!C11</f>
        <v>5</v>
      </c>
      <c r="E19" s="4">
        <v>3625</v>
      </c>
    </row>
    <row r="20" spans="1:5" x14ac:dyDescent="0.3">
      <c r="A20" s="2" t="s">
        <v>9</v>
      </c>
      <c r="B20" s="2" t="s">
        <v>22</v>
      </c>
      <c r="C20" s="2">
        <v>1</v>
      </c>
      <c r="D20" s="2">
        <f>F_start!C11</f>
        <v>5</v>
      </c>
      <c r="E20" s="4">
        <v>13464</v>
      </c>
    </row>
    <row r="21" spans="1:5" x14ac:dyDescent="0.3">
      <c r="A21" s="2" t="s">
        <v>9</v>
      </c>
      <c r="B21" s="2" t="s">
        <v>35</v>
      </c>
      <c r="C21" s="2">
        <v>1</v>
      </c>
      <c r="D21" s="2">
        <f>F_start!C11</f>
        <v>5</v>
      </c>
      <c r="E21" s="4">
        <v>5391</v>
      </c>
    </row>
    <row r="22" spans="1:5" x14ac:dyDescent="0.3">
      <c r="A22" s="2" t="s">
        <v>10</v>
      </c>
      <c r="B22" s="2" t="s">
        <v>22</v>
      </c>
      <c r="C22" s="2">
        <v>1</v>
      </c>
      <c r="D22" s="2">
        <f>F_start!C12</f>
        <v>1</v>
      </c>
      <c r="E22" s="4">
        <v>56510</v>
      </c>
    </row>
    <row r="23" spans="1:5" x14ac:dyDescent="0.3">
      <c r="A23" s="2" t="s">
        <v>10</v>
      </c>
      <c r="B23" s="2" t="s">
        <v>23</v>
      </c>
      <c r="C23" s="2">
        <v>1</v>
      </c>
      <c r="D23" s="2">
        <f>F_start!C12</f>
        <v>1</v>
      </c>
      <c r="E23" s="4">
        <v>0</v>
      </c>
    </row>
    <row r="24" spans="1:5" x14ac:dyDescent="0.3">
      <c r="A24" s="2" t="s">
        <v>10</v>
      </c>
      <c r="B24" s="2" t="s">
        <v>36</v>
      </c>
      <c r="C24" s="2">
        <v>1</v>
      </c>
      <c r="D24" s="2">
        <f>F_start!C12</f>
        <v>1</v>
      </c>
      <c r="E24" s="4">
        <v>0</v>
      </c>
    </row>
    <row r="25" spans="1:5" x14ac:dyDescent="0.3">
      <c r="A25" s="2" t="s">
        <v>13</v>
      </c>
      <c r="B25" s="2" t="s">
        <v>22</v>
      </c>
      <c r="C25" s="2">
        <v>1</v>
      </c>
      <c r="D25" s="2">
        <f>F_start!C13</f>
        <v>3</v>
      </c>
      <c r="E25" s="4">
        <v>185663</v>
      </c>
    </row>
    <row r="26" spans="1:5" x14ac:dyDescent="0.3">
      <c r="A26" s="2" t="s">
        <v>13</v>
      </c>
      <c r="B26" s="2" t="s">
        <v>37</v>
      </c>
      <c r="C26" s="2">
        <v>1</v>
      </c>
      <c r="D26" s="2">
        <f>F_start!C13</f>
        <v>3</v>
      </c>
      <c r="E26" s="4">
        <v>20000</v>
      </c>
    </row>
    <row r="27" spans="1:5" x14ac:dyDescent="0.3">
      <c r="A27" s="2" t="s">
        <v>13</v>
      </c>
      <c r="B27" s="2" t="s">
        <v>23</v>
      </c>
      <c r="C27" s="2">
        <v>1</v>
      </c>
      <c r="D27" s="2">
        <f>F_start!C13</f>
        <v>3</v>
      </c>
      <c r="E27" s="4">
        <v>148533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8CA8F-1DBE-42B3-8633-48C2ED5062E9}">
  <sheetPr codeName="Sheet6"/>
  <dimension ref="A1:B18"/>
  <sheetViews>
    <sheetView tabSelected="1" workbookViewId="0">
      <selection activeCell="I18" sqref="I18"/>
    </sheetView>
  </sheetViews>
  <sheetFormatPr defaultRowHeight="14.4" x14ac:dyDescent="0.3"/>
  <cols>
    <col min="1" max="1" width="10" bestFit="1" customWidth="1"/>
    <col min="2" max="2" width="12.5546875" bestFit="1" customWidth="1"/>
  </cols>
  <sheetData>
    <row r="1" spans="1:2" x14ac:dyDescent="0.3">
      <c r="A1" t="s">
        <v>14</v>
      </c>
      <c r="B1" t="s">
        <v>18</v>
      </c>
    </row>
    <row r="2" spans="1:2" x14ac:dyDescent="0.3">
      <c r="A2" t="s">
        <v>29</v>
      </c>
      <c r="B2" s="8">
        <v>265421113.96914476</v>
      </c>
    </row>
    <row r="3" spans="1:2" x14ac:dyDescent="0.3">
      <c r="A3" t="s">
        <v>34</v>
      </c>
      <c r="B3" s="8">
        <v>1455812173.1803045</v>
      </c>
    </row>
    <row r="4" spans="1:2" x14ac:dyDescent="0.3">
      <c r="A4" t="s">
        <v>32</v>
      </c>
      <c r="B4" s="8">
        <v>342833685.74683321</v>
      </c>
    </row>
    <row r="5" spans="1:2" x14ac:dyDescent="0.3">
      <c r="A5" t="s">
        <v>13</v>
      </c>
      <c r="B5" s="8">
        <v>584809885.25091171</v>
      </c>
    </row>
    <row r="6" spans="1:2" x14ac:dyDescent="0.3">
      <c r="A6" t="s">
        <v>19</v>
      </c>
      <c r="B6" s="9">
        <v>55362723.64255444</v>
      </c>
    </row>
    <row r="7" spans="1:2" x14ac:dyDescent="0.3">
      <c r="A7" t="s">
        <v>25</v>
      </c>
      <c r="B7" s="9">
        <v>586597380.02556205</v>
      </c>
    </row>
    <row r="8" spans="1:2" x14ac:dyDescent="0.3">
      <c r="A8" t="s">
        <v>21</v>
      </c>
      <c r="B8" s="9">
        <v>55312482.388300441</v>
      </c>
    </row>
    <row r="9" spans="1:2" x14ac:dyDescent="0.3">
      <c r="A9" t="s">
        <v>39</v>
      </c>
      <c r="B9" s="8">
        <v>7539032.2871343289</v>
      </c>
    </row>
    <row r="10" spans="1:2" x14ac:dyDescent="0.3">
      <c r="A10" s="6" t="s">
        <v>40</v>
      </c>
      <c r="B10" s="8">
        <v>62477679.751290567</v>
      </c>
    </row>
    <row r="11" spans="1:2" x14ac:dyDescent="0.3">
      <c r="A11" s="6" t="s">
        <v>7</v>
      </c>
      <c r="B11" s="8">
        <v>974019.7256447369</v>
      </c>
    </row>
    <row r="12" spans="1:2" x14ac:dyDescent="0.3">
      <c r="A12" s="6" t="s">
        <v>41</v>
      </c>
      <c r="B12" s="8">
        <v>6725147.0578618431</v>
      </c>
    </row>
    <row r="13" spans="1:2" x14ac:dyDescent="0.3">
      <c r="A13" s="6" t="s">
        <v>27</v>
      </c>
      <c r="B13" s="8">
        <v>255656634.02027562</v>
      </c>
    </row>
    <row r="14" spans="1:2" x14ac:dyDescent="0.3">
      <c r="A14" s="6" t="s">
        <v>42</v>
      </c>
      <c r="B14" s="8">
        <v>65156859.094669968</v>
      </c>
    </row>
    <row r="15" spans="1:2" x14ac:dyDescent="0.3">
      <c r="A15" s="6" t="s">
        <v>43</v>
      </c>
      <c r="B15" s="8">
        <v>6117905.7770526325</v>
      </c>
    </row>
    <row r="16" spans="1:2" x14ac:dyDescent="0.3">
      <c r="A16" s="6" t="s">
        <v>44</v>
      </c>
      <c r="B16" s="8">
        <v>0</v>
      </c>
    </row>
    <row r="17" spans="1:2" x14ac:dyDescent="0.3">
      <c r="A17" s="6" t="s">
        <v>9</v>
      </c>
      <c r="B17" s="8">
        <v>242285519.48057517</v>
      </c>
    </row>
    <row r="18" spans="1:2" x14ac:dyDescent="0.3">
      <c r="A18" s="6" t="s">
        <v>10</v>
      </c>
      <c r="B18" s="8">
        <v>149602953.53617561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BEB0C-00BA-4B81-9CB6-933B54D27020}">
  <sheetPr codeName="Sheet8"/>
  <dimension ref="A1:B13"/>
  <sheetViews>
    <sheetView workbookViewId="0">
      <selection activeCell="B26" sqref="B26"/>
    </sheetView>
  </sheetViews>
  <sheetFormatPr defaultRowHeight="14.4" x14ac:dyDescent="0.3"/>
  <cols>
    <col min="1" max="1" width="10.33203125" bestFit="1" customWidth="1"/>
    <col min="2" max="2" width="21.109375" bestFit="1" customWidth="1"/>
  </cols>
  <sheetData>
    <row r="1" spans="1:2" x14ac:dyDescent="0.3">
      <c r="A1" t="s">
        <v>45</v>
      </c>
      <c r="B1" s="5" t="s">
        <v>46</v>
      </c>
    </row>
    <row r="2" spans="1:2" x14ac:dyDescent="0.3">
      <c r="A2" s="1" t="s">
        <v>3</v>
      </c>
      <c r="B2" s="7">
        <v>0</v>
      </c>
    </row>
    <row r="3" spans="1:2" x14ac:dyDescent="0.3">
      <c r="A3" s="1" t="s">
        <v>7</v>
      </c>
      <c r="B3" s="7">
        <v>0</v>
      </c>
    </row>
    <row r="4" spans="1:2" x14ac:dyDescent="0.3">
      <c r="A4" s="1" t="s">
        <v>0</v>
      </c>
      <c r="B4" s="7">
        <v>0</v>
      </c>
    </row>
    <row r="5" spans="1:2" x14ac:dyDescent="0.3">
      <c r="A5" s="1" t="s">
        <v>1</v>
      </c>
      <c r="B5" s="7">
        <v>0</v>
      </c>
    </row>
    <row r="6" spans="1:2" x14ac:dyDescent="0.3">
      <c r="A6" s="1" t="s">
        <v>13</v>
      </c>
      <c r="B6" s="7">
        <v>0</v>
      </c>
    </row>
    <row r="7" spans="1:2" x14ac:dyDescent="0.3">
      <c r="A7" s="1" t="s">
        <v>5</v>
      </c>
      <c r="B7" s="7">
        <v>0</v>
      </c>
    </row>
    <row r="8" spans="1:2" x14ac:dyDescent="0.3">
      <c r="A8" s="1" t="s">
        <v>8</v>
      </c>
      <c r="B8" s="7">
        <v>0</v>
      </c>
    </row>
    <row r="9" spans="1:2" x14ac:dyDescent="0.3">
      <c r="A9" s="1" t="s">
        <v>10</v>
      </c>
      <c r="B9" s="7">
        <v>0</v>
      </c>
    </row>
    <row r="10" spans="1:2" x14ac:dyDescent="0.3">
      <c r="A10" s="1" t="s">
        <v>2</v>
      </c>
      <c r="B10" s="7">
        <v>0</v>
      </c>
    </row>
    <row r="11" spans="1:2" x14ac:dyDescent="0.3">
      <c r="A11" t="s">
        <v>4</v>
      </c>
      <c r="B11" s="7">
        <v>0</v>
      </c>
    </row>
    <row r="12" spans="1:2" x14ac:dyDescent="0.3">
      <c r="A12" t="s">
        <v>6</v>
      </c>
      <c r="B12" s="7">
        <v>0</v>
      </c>
    </row>
    <row r="13" spans="1:2" x14ac:dyDescent="0.3">
      <c r="A13" t="s">
        <v>9</v>
      </c>
      <c r="B13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F_start</vt:lpstr>
      <vt:lpstr>Q_start</vt:lpstr>
      <vt:lpstr>I_start</vt:lpstr>
      <vt:lpstr>S_start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Çengil</dc:creator>
  <cp:lastModifiedBy>Md Asif Khan Sharon</cp:lastModifiedBy>
  <dcterms:created xsi:type="dcterms:W3CDTF">2015-06-05T18:17:20Z</dcterms:created>
  <dcterms:modified xsi:type="dcterms:W3CDTF">2025-02-20T17:49:44Z</dcterms:modified>
</cp:coreProperties>
</file>