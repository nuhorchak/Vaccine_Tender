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msharon_uark_edu/Documents/UARK/RA/L-shaped/Scenario Generation/"/>
    </mc:Choice>
  </mc:AlternateContent>
  <xr:revisionPtr revIDLastSave="665" documentId="11_4A5645C871AEA98286DE389EAFF8EF0F542BC54D" xr6:coauthVersionLast="47" xr6:coauthVersionMax="47" xr10:uidLastSave="{A146485C-2CAD-477A-8A41-749623920520}"/>
  <bookViews>
    <workbookView xWindow="-108" yWindow="-108" windowWidth="23256" windowHeight="12456" xr2:uid="{00000000-000D-0000-FFFF-FFFF00000000}"/>
  </bookViews>
  <sheets>
    <sheet name="Diphtheria" sheetId="1" r:id="rId1"/>
    <sheet name="Pertussis" sheetId="2" r:id="rId2"/>
    <sheet name="Polio" sheetId="3" r:id="rId3"/>
    <sheet name="Tetanus" sheetId="4" r:id="rId4"/>
    <sheet name="Rotavirus" sheetId="5" r:id="rId5"/>
    <sheet name="PCV" sheetId="6" r:id="rId6"/>
    <sheet name="Measles" sheetId="7" r:id="rId7"/>
    <sheet name="Mumps" sheetId="8" r:id="rId8"/>
    <sheet name="Rubella" sheetId="9" r:id="rId9"/>
    <sheet name="Hepatitis_B" sheetId="10" r:id="rId10"/>
    <sheet name="Hib" sheetId="11" r:id="rId11"/>
    <sheet name="HPV" sheetId="12" r:id="rId12"/>
    <sheet name="Scenario_dat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3" l="1"/>
  <c r="D24" i="13" s="1"/>
  <c r="B12" i="13"/>
  <c r="B25" i="13" s="1"/>
  <c r="F12" i="13"/>
  <c r="F25" i="13" s="1"/>
  <c r="G12" i="13"/>
  <c r="G25" i="13" s="1"/>
  <c r="B2" i="13"/>
  <c r="B15" i="13" s="1"/>
  <c r="K9" i="13"/>
  <c r="K22" i="13" s="1"/>
  <c r="J9" i="13"/>
  <c r="J22" i="13" s="1"/>
  <c r="I9" i="13"/>
  <c r="I22" i="13" s="1"/>
  <c r="G9" i="13"/>
  <c r="G22" i="13" s="1"/>
  <c r="D9" i="13"/>
  <c r="D22" i="13" s="1"/>
  <c r="J3" i="13"/>
  <c r="J16" i="13" s="1"/>
  <c r="G3" i="13"/>
  <c r="G16" i="13" s="1"/>
  <c r="F3" i="13"/>
  <c r="F16" i="13" s="1"/>
  <c r="E3" i="13"/>
  <c r="E16" i="13" s="1"/>
  <c r="D3" i="13"/>
  <c r="D16" i="13" s="1"/>
  <c r="C3" i="13"/>
  <c r="C16" i="13" s="1"/>
  <c r="B3" i="13"/>
  <c r="B16" i="13" s="1"/>
  <c r="I6" i="13"/>
  <c r="I19" i="13" s="1"/>
  <c r="H6" i="13"/>
  <c r="H19" i="13" s="1"/>
  <c r="G6" i="13"/>
  <c r="G19" i="13" s="1"/>
  <c r="F6" i="13"/>
  <c r="F19" i="13" s="1"/>
  <c r="E6" i="13"/>
  <c r="E19" i="13" s="1"/>
  <c r="D6" i="13"/>
  <c r="D19" i="13" s="1"/>
  <c r="C6" i="13"/>
  <c r="C19" i="13" s="1"/>
  <c r="J10" i="13"/>
  <c r="J23" i="13" s="1"/>
  <c r="C10" i="13"/>
  <c r="C23" i="13" s="1"/>
  <c r="J7" i="13"/>
  <c r="J20" i="13" s="1"/>
  <c r="E7" i="13"/>
  <c r="E20" i="13" s="1"/>
  <c r="K5" i="13"/>
  <c r="K18" i="13" s="1"/>
  <c r="J5" i="13"/>
  <c r="J18" i="13" s="1"/>
  <c r="C5" i="13"/>
  <c r="C18" i="13" s="1"/>
  <c r="B5" i="13"/>
  <c r="B18" i="13" s="1"/>
  <c r="K10" i="13"/>
  <c r="K23" i="13" s="1"/>
  <c r="H7" i="13"/>
  <c r="H20" i="13" s="1"/>
  <c r="I2" i="13"/>
  <c r="I15" i="13" s="1"/>
  <c r="K2" i="13"/>
  <c r="K15" i="13" s="1"/>
  <c r="E4" i="13"/>
  <c r="E17" i="13" s="1"/>
  <c r="K7" i="13"/>
  <c r="K20" i="13" s="1"/>
  <c r="G4" i="13"/>
  <c r="G17" i="13" s="1"/>
  <c r="H4" i="13"/>
  <c r="H17" i="13" s="1"/>
  <c r="F10" i="13"/>
  <c r="F23" i="13" s="1"/>
  <c r="D2" i="13"/>
  <c r="D15" i="13" s="1"/>
  <c r="F9" i="13"/>
  <c r="F22" i="13" s="1"/>
  <c r="D7" i="13"/>
  <c r="D20" i="13" s="1"/>
  <c r="H9" i="13"/>
  <c r="H22" i="13" s="1"/>
  <c r="H3" i="13"/>
  <c r="H16" i="13" s="1"/>
  <c r="D5" i="13"/>
  <c r="D18" i="13" s="1"/>
  <c r="J6" i="13"/>
  <c r="J19" i="13" s="1"/>
  <c r="B10" i="13"/>
  <c r="B23" i="13" s="1"/>
  <c r="C2" i="13"/>
  <c r="C15" i="13" s="1"/>
  <c r="I3" i="13"/>
  <c r="I16" i="13" s="1"/>
  <c r="E5" i="13"/>
  <c r="E18" i="13" s="1"/>
  <c r="K6" i="13"/>
  <c r="K19" i="13" s="1"/>
  <c r="F5" i="13"/>
  <c r="F18" i="13" s="1"/>
  <c r="B7" i="13"/>
  <c r="B20" i="13" s="1"/>
  <c r="H8" i="13"/>
  <c r="H21" i="13" s="1"/>
  <c r="D10" i="13"/>
  <c r="D23" i="13" s="1"/>
  <c r="E2" i="13"/>
  <c r="E15" i="13" s="1"/>
  <c r="K3" i="13"/>
  <c r="K16" i="13" s="1"/>
  <c r="G5" i="13"/>
  <c r="G18" i="13" s="1"/>
  <c r="C7" i="13"/>
  <c r="C20" i="13" s="1"/>
  <c r="E10" i="13"/>
  <c r="E23" i="13" s="1"/>
  <c r="I4" i="13"/>
  <c r="I17" i="13" s="1"/>
  <c r="E8" i="13"/>
  <c r="E21" i="13" s="1"/>
  <c r="F2" i="13"/>
  <c r="F15" i="13" s="1"/>
  <c r="H5" i="13"/>
  <c r="H18" i="13" s="1"/>
  <c r="G2" i="13"/>
  <c r="G15" i="13" s="1"/>
  <c r="C4" i="13"/>
  <c r="C17" i="13" s="1"/>
  <c r="I5" i="13"/>
  <c r="I18" i="13" s="1"/>
  <c r="K8" i="13"/>
  <c r="K21" i="13" s="1"/>
  <c r="G10" i="13"/>
  <c r="G23" i="13" s="1"/>
  <c r="H2" i="13"/>
  <c r="H15" i="13" s="1"/>
  <c r="F7" i="13"/>
  <c r="F20" i="13" s="1"/>
  <c r="B9" i="13"/>
  <c r="B22" i="13" s="1"/>
  <c r="H10" i="13"/>
  <c r="H23" i="13" s="1"/>
  <c r="J13" i="13"/>
  <c r="J26" i="13" s="1"/>
  <c r="G7" i="13"/>
  <c r="G20" i="13" s="1"/>
  <c r="C9" i="13"/>
  <c r="C22" i="13" s="1"/>
  <c r="I10" i="13"/>
  <c r="I23" i="13" s="1"/>
  <c r="J2" i="13"/>
  <c r="J15" i="13" s="1"/>
  <c r="B6" i="13"/>
  <c r="B19" i="13" s="1"/>
  <c r="B13" i="13"/>
  <c r="B26" i="13" s="1"/>
  <c r="I7" i="13"/>
  <c r="I20" i="13" s="1"/>
  <c r="E9" i="13"/>
  <c r="E22" i="13" s="1"/>
  <c r="K13" i="13"/>
  <c r="K26" i="13" s="1"/>
  <c r="E13" i="13"/>
  <c r="E26" i="13" s="1"/>
  <c r="D8" i="13"/>
  <c r="D21" i="13" s="1"/>
  <c r="H13" i="13"/>
  <c r="H26" i="13" s="1"/>
  <c r="J8" i="13"/>
  <c r="J21" i="13" s="1"/>
  <c r="C8" i="13"/>
  <c r="C21" i="13" s="1"/>
  <c r="F4" i="13"/>
  <c r="F17" i="13" s="1"/>
  <c r="G13" i="13"/>
  <c r="G26" i="13" s="1"/>
  <c r="G8" i="13"/>
  <c r="G21" i="13" s="1"/>
  <c r="D4" i="13"/>
  <c r="D17" i="13" s="1"/>
  <c r="B8" i="13"/>
  <c r="B21" i="13" s="1"/>
  <c r="F13" i="13"/>
  <c r="F26" i="13" s="1"/>
  <c r="I8" i="13"/>
  <c r="I21" i="13" s="1"/>
  <c r="B4" i="13"/>
  <c r="B17" i="13" s="1"/>
  <c r="K4" i="13"/>
  <c r="K17" i="13" s="1"/>
  <c r="F8" i="13"/>
  <c r="F21" i="13" s="1"/>
  <c r="I13" i="13"/>
  <c r="I26" i="13" s="1"/>
  <c r="D13" i="13"/>
  <c r="D26" i="13" s="1"/>
  <c r="J4" i="13"/>
  <c r="J17" i="13" s="1"/>
  <c r="C13" i="13"/>
  <c r="C26" i="13" s="1"/>
  <c r="E11" i="13" l="1"/>
  <c r="E24" i="13" s="1"/>
  <c r="B11" i="13"/>
  <c r="B24" i="13" s="1"/>
  <c r="K11" i="13"/>
  <c r="K24" i="13" s="1"/>
  <c r="C11" i="13"/>
  <c r="C24" i="13" s="1"/>
  <c r="I11" i="13"/>
  <c r="I24" i="13" s="1"/>
  <c r="F11" i="13"/>
  <c r="F24" i="13" s="1"/>
  <c r="G11" i="13"/>
  <c r="G24" i="13" s="1"/>
  <c r="H11" i="13"/>
  <c r="H24" i="13" s="1"/>
  <c r="J11" i="13"/>
  <c r="J24" i="13" s="1"/>
  <c r="D12" i="13"/>
  <c r="D25" i="13" s="1"/>
  <c r="J12" i="13"/>
  <c r="J25" i="13" s="1"/>
  <c r="C12" i="13"/>
  <c r="C25" i="13" s="1"/>
  <c r="E12" i="13"/>
  <c r="E25" i="13" s="1"/>
  <c r="H12" i="13"/>
  <c r="H25" i="13" s="1"/>
  <c r="I12" i="13"/>
  <c r="I25" i="13" s="1"/>
  <c r="K12" i="13"/>
  <c r="K25" i="13" s="1"/>
</calcChain>
</file>

<file path=xl/sharedStrings.xml><?xml version="1.0" encoding="utf-8"?>
<sst xmlns="http://schemas.openxmlformats.org/spreadsheetml/2006/main" count="73" uniqueCount="17">
  <si>
    <t>Lower</t>
  </si>
  <si>
    <t>Upper</t>
  </si>
  <si>
    <t>sd</t>
  </si>
  <si>
    <t>Antigen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</si>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</sst>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1" fontId="0" fillId="0" borderId="0" xfId="0" applyNumberFormat="1"/>
    <xf numFmtId="0" fontId="0" fillId="0" borderId="4" xfId="0" applyBorder="1"/>
    <xf numFmtId="0" fontId="4" fillId="0" borderId="4" xfId="0" applyFont="1" applyBorder="1"/>
    <xf numFmtId="11" fontId="4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Scenario_data!$A$15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Scenario_data!$B$15:$K$15</c:f>
              <c:numCache>
                <c:formatCode>0.00E+00</c:formatCode>
                <c:ptCount val="10"/>
                <c:pt idx="0">
                  <c:v>362884096.83346754</c:v>
                </c:pt>
                <c:pt idx="1">
                  <c:v>527559268.65152407</c:v>
                </c:pt>
                <c:pt idx="2">
                  <c:v>540478167.02181292</c:v>
                </c:pt>
                <c:pt idx="3">
                  <c:v>473818802.67396188</c:v>
                </c:pt>
                <c:pt idx="4">
                  <c:v>558373124.02731562</c:v>
                </c:pt>
                <c:pt idx="5">
                  <c:v>585248904.9507854</c:v>
                </c:pt>
                <c:pt idx="6">
                  <c:v>583217299.26573563</c:v>
                </c:pt>
                <c:pt idx="7">
                  <c:v>679601106.7353406</c:v>
                </c:pt>
                <c:pt idx="8">
                  <c:v>627868459.52424717</c:v>
                </c:pt>
                <c:pt idx="9">
                  <c:v>644044073.50778949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B-466B-BE2B-F7F1DF82D6E7}"/>
            </c:ext>
          </c:extLst>
        </c:ser>
        <c:ser>
          <c:idx val="1"/>
          <c:order val="1"/>
          <c:tx>
            <c:strRef>
              <c:f>Scenario_data!$A$16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Scenario_data!$B$16:$K$16</c:f>
              <c:numCache>
                <c:formatCode>0.00E+00</c:formatCode>
                <c:ptCount val="10"/>
                <c:pt idx="0">
                  <c:v>28197519.686688609</c:v>
                </c:pt>
                <c:pt idx="1">
                  <c:v>33104382.486176554</c:v>
                </c:pt>
                <c:pt idx="2">
                  <c:v>28130901.443310194</c:v>
                </c:pt>
                <c:pt idx="3">
                  <c:v>31916779.705372646</c:v>
                </c:pt>
                <c:pt idx="4">
                  <c:v>31991016.805642638</c:v>
                </c:pt>
                <c:pt idx="5">
                  <c:v>28844296.153791036</c:v>
                </c:pt>
                <c:pt idx="6">
                  <c:v>34512639.889883049</c:v>
                </c:pt>
                <c:pt idx="7">
                  <c:v>35489049.755324714</c:v>
                </c:pt>
                <c:pt idx="8">
                  <c:v>29220978.229427118</c:v>
                </c:pt>
                <c:pt idx="9">
                  <c:v>38506800.935488775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B-466B-BE2B-F7F1DF82D6E7}"/>
            </c:ext>
          </c:extLst>
        </c:ser>
        <c:ser>
          <c:idx val="2"/>
          <c:order val="2"/>
          <c:tx>
            <c:strRef>
              <c:f>Scenario_data!$A$17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Scenario_data!$B$17:$K$17</c:f>
              <c:numCache>
                <c:formatCode>0.00E+00</c:formatCode>
                <c:ptCount val="10"/>
                <c:pt idx="0">
                  <c:v>324064524.66340053</c:v>
                </c:pt>
                <c:pt idx="1">
                  <c:v>388440003.58979893</c:v>
                </c:pt>
                <c:pt idx="2">
                  <c:v>395827678.96909899</c:v>
                </c:pt>
                <c:pt idx="3">
                  <c:v>378884611.99120545</c:v>
                </c:pt>
                <c:pt idx="4">
                  <c:v>508084210.38290584</c:v>
                </c:pt>
                <c:pt idx="5">
                  <c:v>525189986.48082769</c:v>
                </c:pt>
                <c:pt idx="6">
                  <c:v>458780597.28585184</c:v>
                </c:pt>
                <c:pt idx="7">
                  <c:v>543232180.43985224</c:v>
                </c:pt>
                <c:pt idx="8">
                  <c:v>527195368.14498329</c:v>
                </c:pt>
                <c:pt idx="9">
                  <c:v>602495101.72033203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B-466B-BE2B-F7F1DF82D6E7}"/>
            </c:ext>
          </c:extLst>
        </c:ser>
        <c:ser>
          <c:idx val="3"/>
          <c:order val="3"/>
          <c:tx>
            <c:strRef>
              <c:f>Scenario_data!$A$18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Scenario_data!$B$18:$K$18</c:f>
              <c:numCache>
                <c:formatCode>0.00E+00</c:formatCode>
                <c:ptCount val="10"/>
                <c:pt idx="0">
                  <c:v>716519024.4870826</c:v>
                </c:pt>
                <c:pt idx="1">
                  <c:v>548556000.45124471</c:v>
                </c:pt>
                <c:pt idx="2">
                  <c:v>458561763.78702199</c:v>
                </c:pt>
                <c:pt idx="3">
                  <c:v>742146561.51151669</c:v>
                </c:pt>
                <c:pt idx="4">
                  <c:v>882629128.56951523</c:v>
                </c:pt>
                <c:pt idx="5">
                  <c:v>1002065414.24702</c:v>
                </c:pt>
                <c:pt idx="6">
                  <c:v>961477887.53899074</c:v>
                </c:pt>
                <c:pt idx="7">
                  <c:v>882671967.98047364</c:v>
                </c:pt>
                <c:pt idx="8">
                  <c:v>884890194.32102013</c:v>
                </c:pt>
                <c:pt idx="9">
                  <c:v>1033645044.9912246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AB-466B-BE2B-F7F1DF82D6E7}"/>
            </c:ext>
          </c:extLst>
        </c:ser>
        <c:ser>
          <c:idx val="4"/>
          <c:order val="4"/>
          <c:tx>
            <c:strRef>
              <c:f>Scenario_data!$A$19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Scenario_data!$B$19:$K$19</c:f>
              <c:numCache>
                <c:formatCode>0.00E+00</c:formatCode>
                <c:ptCount val="10"/>
                <c:pt idx="0">
                  <c:v>618270347.03430653</c:v>
                </c:pt>
                <c:pt idx="1">
                  <c:v>580369592.3529923</c:v>
                </c:pt>
                <c:pt idx="2">
                  <c:v>720846487.18493354</c:v>
                </c:pt>
                <c:pt idx="3">
                  <c:v>676529590.05393624</c:v>
                </c:pt>
                <c:pt idx="4">
                  <c:v>876440509.95524597</c:v>
                </c:pt>
                <c:pt idx="5">
                  <c:v>644063355.79327989</c:v>
                </c:pt>
                <c:pt idx="6">
                  <c:v>759296849.90053654</c:v>
                </c:pt>
                <c:pt idx="7">
                  <c:v>732894766.375036</c:v>
                </c:pt>
                <c:pt idx="8">
                  <c:v>757934912.01489079</c:v>
                </c:pt>
                <c:pt idx="9">
                  <c:v>728167284.01332724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AB-466B-BE2B-F7F1DF82D6E7}"/>
            </c:ext>
          </c:extLst>
        </c:ser>
        <c:ser>
          <c:idx val="5"/>
          <c:order val="5"/>
          <c:tx>
            <c:strRef>
              <c:f>Scenario_data!$A$20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Scenario_data!$B$20:$K$20</c:f>
              <c:numCache>
                <c:formatCode>0.00E+00</c:formatCode>
                <c:ptCount val="10"/>
                <c:pt idx="0">
                  <c:v>357962965.07906479</c:v>
                </c:pt>
                <c:pt idx="1">
                  <c:v>385984923.65423208</c:v>
                </c:pt>
                <c:pt idx="2">
                  <c:v>399300205.69818771</c:v>
                </c:pt>
                <c:pt idx="3">
                  <c:v>315721924.93538284</c:v>
                </c:pt>
                <c:pt idx="4">
                  <c:v>328108391.16257685</c:v>
                </c:pt>
                <c:pt idx="5">
                  <c:v>338154549.02416116</c:v>
                </c:pt>
                <c:pt idx="6">
                  <c:v>437844990.14128888</c:v>
                </c:pt>
                <c:pt idx="7">
                  <c:v>341627708.46030927</c:v>
                </c:pt>
                <c:pt idx="8">
                  <c:v>369807362.54598725</c:v>
                </c:pt>
                <c:pt idx="9">
                  <c:v>464537478.96020603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AB-466B-BE2B-F7F1DF82D6E7}"/>
            </c:ext>
          </c:extLst>
        </c:ser>
        <c:ser>
          <c:idx val="6"/>
          <c:order val="6"/>
          <c:tx>
            <c:strRef>
              <c:f>Scenario_data!$A$21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Scenario_data!$B$21:$K$21</c:f>
              <c:numCache>
                <c:formatCode>0.00E+00</c:formatCode>
                <c:ptCount val="10"/>
                <c:pt idx="0">
                  <c:v>294789184.59256047</c:v>
                </c:pt>
                <c:pt idx="1">
                  <c:v>337903178.34019881</c:v>
                </c:pt>
                <c:pt idx="2">
                  <c:v>437358133.36150169</c:v>
                </c:pt>
                <c:pt idx="3">
                  <c:v>344007538.62837195</c:v>
                </c:pt>
                <c:pt idx="4">
                  <c:v>411339813.82015568</c:v>
                </c:pt>
                <c:pt idx="5">
                  <c:v>472659087.86237627</c:v>
                </c:pt>
                <c:pt idx="6">
                  <c:v>297017886.09161115</c:v>
                </c:pt>
                <c:pt idx="7">
                  <c:v>374286457.92392427</c:v>
                </c:pt>
                <c:pt idx="8">
                  <c:v>423842089.59252286</c:v>
                </c:pt>
                <c:pt idx="9">
                  <c:v>338479479.93275744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AB-466B-BE2B-F7F1DF82D6E7}"/>
            </c:ext>
          </c:extLst>
        </c:ser>
        <c:ser>
          <c:idx val="7"/>
          <c:order val="7"/>
          <c:tx>
            <c:strRef>
              <c:f>Scenario_data!$A$22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Scenario_data!$B$22:$K$22</c:f>
              <c:numCache>
                <c:formatCode>0.00E+00</c:formatCode>
                <c:ptCount val="10"/>
                <c:pt idx="0">
                  <c:v>386197948.97212666</c:v>
                </c:pt>
                <c:pt idx="1">
                  <c:v>215863571.392382</c:v>
                </c:pt>
                <c:pt idx="2">
                  <c:v>331775643.07944691</c:v>
                </c:pt>
                <c:pt idx="3">
                  <c:v>214548788.52759385</c:v>
                </c:pt>
                <c:pt idx="4">
                  <c:v>283087150.98930007</c:v>
                </c:pt>
                <c:pt idx="5">
                  <c:v>347683369.15839118</c:v>
                </c:pt>
                <c:pt idx="6">
                  <c:v>290663911.7408855</c:v>
                </c:pt>
                <c:pt idx="7">
                  <c:v>429599038.27666599</c:v>
                </c:pt>
                <c:pt idx="8">
                  <c:v>348947545.65683019</c:v>
                </c:pt>
                <c:pt idx="9">
                  <c:v>314958776.12185615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AB-466B-BE2B-F7F1DF82D6E7}"/>
            </c:ext>
          </c:extLst>
        </c:ser>
        <c:ser>
          <c:idx val="8"/>
          <c:order val="8"/>
          <c:tx>
            <c:strRef>
              <c:f>Scenario_data!$A$23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Scenario_data!$B$23:$K$23</c:f>
              <c:numCache>
                <c:formatCode>0.00E+00</c:formatCode>
                <c:ptCount val="10"/>
                <c:pt idx="0">
                  <c:v>698468020.36813533</c:v>
                </c:pt>
                <c:pt idx="1">
                  <c:v>528983371.95985216</c:v>
                </c:pt>
                <c:pt idx="2">
                  <c:v>444392848.59248102</c:v>
                </c:pt>
                <c:pt idx="3">
                  <c:v>696391729.64604211</c:v>
                </c:pt>
                <c:pt idx="4">
                  <c:v>750115507.51990473</c:v>
                </c:pt>
                <c:pt idx="5">
                  <c:v>932331996.55546904</c:v>
                </c:pt>
                <c:pt idx="6">
                  <c:v>839261538.44331825</c:v>
                </c:pt>
                <c:pt idx="7">
                  <c:v>832255072.15663481</c:v>
                </c:pt>
                <c:pt idx="8">
                  <c:v>925351279.70380986</c:v>
                </c:pt>
                <c:pt idx="9">
                  <c:v>877891393.17264688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AB-466B-BE2B-F7F1DF82D6E7}"/>
            </c:ext>
          </c:extLst>
        </c:ser>
        <c:ser>
          <c:idx val="9"/>
          <c:order val="9"/>
          <c:tx>
            <c:strRef>
              <c:f>Scenario_data!$A$24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Scenario_data!$B$24:$K$24</c:f>
              <c:numCache>
                <c:formatCode>0.00E+00</c:formatCode>
                <c:ptCount val="10"/>
                <c:pt idx="0">
                  <c:v>33809335.638964765</c:v>
                </c:pt>
                <c:pt idx="1">
                  <c:v>23639891.260379501</c:v>
                </c:pt>
                <c:pt idx="2">
                  <c:v>41606481.899600953</c:v>
                </c:pt>
                <c:pt idx="3">
                  <c:v>30965158.294107765</c:v>
                </c:pt>
                <c:pt idx="4">
                  <c:v>29864898.376548599</c:v>
                </c:pt>
                <c:pt idx="5">
                  <c:v>42401446.343910649</c:v>
                </c:pt>
                <c:pt idx="6">
                  <c:v>47812455.427732661</c:v>
                </c:pt>
                <c:pt idx="7">
                  <c:v>47833178.701296888</c:v>
                </c:pt>
                <c:pt idx="8">
                  <c:v>55124312.984121449</c:v>
                </c:pt>
                <c:pt idx="9">
                  <c:v>51932134.074550867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EAB-466B-BE2B-F7F1DF82D6E7}"/>
            </c:ext>
          </c:extLst>
        </c:ser>
        <c:ser>
          <c:idx val="10"/>
          <c:order val="10"/>
          <c:tx>
            <c:strRef>
              <c:f>Scenario_data!$A$25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Scenario_data!$B$25:$K$25</c:f>
              <c:numCache>
                <c:formatCode>0.00E+00</c:formatCode>
                <c:ptCount val="10"/>
                <c:pt idx="0">
                  <c:v>163070369.25679088</c:v>
                </c:pt>
                <c:pt idx="1">
                  <c:v>216613485.98555088</c:v>
                </c:pt>
                <c:pt idx="2">
                  <c:v>229407803.60394022</c:v>
                </c:pt>
                <c:pt idx="3">
                  <c:v>274049066.44983482</c:v>
                </c:pt>
                <c:pt idx="4">
                  <c:v>288902945.27039438</c:v>
                </c:pt>
                <c:pt idx="5">
                  <c:v>240013482.58909434</c:v>
                </c:pt>
                <c:pt idx="6">
                  <c:v>308672873.18810976</c:v>
                </c:pt>
                <c:pt idx="7">
                  <c:v>277183579.26215231</c:v>
                </c:pt>
                <c:pt idx="8">
                  <c:v>320431284.49357003</c:v>
                </c:pt>
                <c:pt idx="9">
                  <c:v>291884189.87406081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AB-466B-BE2B-F7F1DF82D6E7}"/>
            </c:ext>
          </c:extLst>
        </c:ser>
        <c:ser>
          <c:idx val="11"/>
          <c:order val="11"/>
          <c:tx>
            <c:strRef>
              <c:f>Scenario_data!$A$26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Scenario_data!$B$26:$K$26</c:f>
              <c:numCache>
                <c:formatCode>0.00E+00</c:formatCode>
                <c:ptCount val="10"/>
                <c:pt idx="0">
                  <c:v>210330436.09402835</c:v>
                </c:pt>
                <c:pt idx="1">
                  <c:v>216103294.2738612</c:v>
                </c:pt>
                <c:pt idx="2">
                  <c:v>171054064.30469936</c:v>
                </c:pt>
                <c:pt idx="3">
                  <c:v>267939870.07698801</c:v>
                </c:pt>
                <c:pt idx="4">
                  <c:v>258803511.07610404</c:v>
                </c:pt>
                <c:pt idx="5">
                  <c:v>271377374.51167816</c:v>
                </c:pt>
                <c:pt idx="6">
                  <c:v>314235769.64220506</c:v>
                </c:pt>
                <c:pt idx="7">
                  <c:v>319534848.29913098</c:v>
                </c:pt>
                <c:pt idx="8">
                  <c:v>330300810.88067639</c:v>
                </c:pt>
                <c:pt idx="9">
                  <c:v>384980061.32444608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EAB-466B-BE2B-F7F1DF82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306912"/>
        <c:axId val="336304992"/>
      </c:lineChart>
      <c:catAx>
        <c:axId val="3363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4992"/>
        <c:crosses val="autoZero"/>
        <c:auto val="1"/>
        <c:lblAlgn val="ctr"/>
        <c:lblOffset val="100"/>
        <c:noMultiLvlLbl val="0"/>
      </c:catAx>
      <c:valAx>
        <c:axId val="3363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382977</xdr:colOff>
      <xdr:row>1</xdr:row>
      <xdr:rowOff>21206</xdr:rowOff>
    </xdr:from>
    <xdr:to>
      <xdr:col>23</xdr:col>
      <xdr:colOff>530345</xdr:colOff>
      <xdr:row>28</xdr:row>
      <xdr:rowOff>39118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0FB706-E6A6-1FC0-80DD-FCCB3E905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6" sqref="E6"/>
    </sheetView>
  </sheetViews>
  <sheetFormatPr defaultRowHeight="14.4" x14ac:dyDescent="0.3"/>
  <cols>
    <col min="1" max="3" width="12.44140625" bestFit="1" customWidth="1"/>
    <col min="4" max="4" width="8.88671875" bestFit="1" customWidth="1"/>
  </cols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432545653.50801098</v>
      </c>
      <c r="B2">
        <v>873864218.29198802</v>
      </c>
      <c r="C2">
        <v>653204935.89999998</v>
      </c>
      <c r="D2" s="4">
        <v>112581266.52652401</v>
      </c>
    </row>
    <row r="3" spans="1:4" x14ac:dyDescent="0.3">
      <c r="A3">
        <v>488339840.88728398</v>
      </c>
      <c r="B3">
        <v>871569100.71271503</v>
      </c>
      <c r="C3">
        <v>679954470.79999995</v>
      </c>
      <c r="D3" s="4">
        <v>97762566.281997606</v>
      </c>
    </row>
    <row r="4" spans="1:4" x14ac:dyDescent="0.3">
      <c r="A4">
        <v>458561763.78702199</v>
      </c>
      <c r="B4">
        <v>954846247.61297703</v>
      </c>
      <c r="C4">
        <v>706704005.69999897</v>
      </c>
      <c r="D4" s="4">
        <v>126603184.649478</v>
      </c>
    </row>
    <row r="5" spans="1:4" x14ac:dyDescent="0.3">
      <c r="A5">
        <v>419292480.96074098</v>
      </c>
      <c r="B5">
        <v>1047614600.2392499</v>
      </c>
      <c r="C5">
        <v>733453540.59999895</v>
      </c>
      <c r="D5" s="4">
        <v>160286254.917988</v>
      </c>
    </row>
    <row r="6" spans="1:4" x14ac:dyDescent="0.3">
      <c r="A6">
        <v>552403334.29921806</v>
      </c>
      <c r="B6">
        <v>968002816.70078099</v>
      </c>
      <c r="C6">
        <v>760203075.49999905</v>
      </c>
      <c r="D6" s="4">
        <v>106020276.12284701</v>
      </c>
    </row>
    <row r="7" spans="1:4" x14ac:dyDescent="0.3">
      <c r="A7">
        <v>571839806.55297196</v>
      </c>
      <c r="B7">
        <v>1002065414.24702</v>
      </c>
      <c r="C7">
        <v>786952610.39999902</v>
      </c>
      <c r="D7" s="4">
        <v>109751430.534197</v>
      </c>
    </row>
    <row r="8" spans="1:4" x14ac:dyDescent="0.3">
      <c r="A8">
        <v>463958451.33370203</v>
      </c>
      <c r="B8">
        <v>1163445839.2662899</v>
      </c>
      <c r="C8">
        <v>813702145.299999</v>
      </c>
      <c r="D8" s="4">
        <v>178440660.18688601</v>
      </c>
    </row>
    <row r="9" spans="1:4" x14ac:dyDescent="0.3">
      <c r="A9">
        <v>536470608.79437298</v>
      </c>
      <c r="B9">
        <v>1144432751.6056199</v>
      </c>
      <c r="C9">
        <v>840451680.19999897</v>
      </c>
      <c r="D9" s="4">
        <v>155092383.370217</v>
      </c>
    </row>
    <row r="10" spans="1:4" x14ac:dyDescent="0.3">
      <c r="A10">
        <v>648152814.31100595</v>
      </c>
      <c r="B10">
        <v>1086249615.8889899</v>
      </c>
      <c r="C10">
        <v>867201215.09999895</v>
      </c>
      <c r="D10" s="4">
        <v>111759388.157649</v>
      </c>
    </row>
    <row r="11" spans="1:4" x14ac:dyDescent="0.3">
      <c r="A11">
        <v>588350292.81465697</v>
      </c>
      <c r="B11">
        <v>1199551207.1853399</v>
      </c>
      <c r="C11">
        <v>893950749.99999905</v>
      </c>
      <c r="D11" s="4">
        <v>155918600.60476601</v>
      </c>
    </row>
    <row r="12" spans="1:4" x14ac:dyDescent="0.3">
      <c r="A12">
        <v>687646589.45817101</v>
      </c>
      <c r="B12">
        <v>1153753980.34182</v>
      </c>
      <c r="C12">
        <v>920700284.89999902</v>
      </c>
      <c r="D12">
        <v>118904946.653993</v>
      </c>
    </row>
    <row r="13" spans="1:4" x14ac:dyDescent="0.3">
      <c r="A13" s="4">
        <v>707818314.14943504</v>
      </c>
      <c r="B13" s="4">
        <v>1187081325.4505601</v>
      </c>
      <c r="C13" s="4">
        <v>947449819.799999</v>
      </c>
      <c r="D13">
        <v>122260972.270696</v>
      </c>
    </row>
    <row r="14" spans="1:4" x14ac:dyDescent="0.3">
      <c r="A14">
        <v>666994285.50415397</v>
      </c>
      <c r="B14">
        <v>1281404423.8958399</v>
      </c>
      <c r="C14">
        <v>974199354.69999897</v>
      </c>
      <c r="D14">
        <v>156737280.20196101</v>
      </c>
    </row>
    <row r="15" spans="1:4" x14ac:dyDescent="0.3">
      <c r="A15">
        <v>863940829.573668</v>
      </c>
      <c r="B15">
        <v>1137956949.6263299</v>
      </c>
      <c r="C15">
        <v>1000948889.59999</v>
      </c>
      <c r="D15">
        <v>69902071.442005605</v>
      </c>
    </row>
    <row r="16" spans="1:4" x14ac:dyDescent="0.3">
      <c r="A16">
        <v>881906816.58494496</v>
      </c>
      <c r="B16">
        <v>1173490032.41505</v>
      </c>
      <c r="C16">
        <v>1027698424.49999</v>
      </c>
      <c r="D16">
        <v>74383473.426047996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G3" sqref="G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234972002.467087</v>
      </c>
      <c r="B2">
        <v>474709718.13291198</v>
      </c>
      <c r="C2">
        <v>354840860.30000001</v>
      </c>
      <c r="D2" s="4">
        <v>61157580.526996098</v>
      </c>
    </row>
    <row r="3" spans="1:4" x14ac:dyDescent="0.3">
      <c r="A3">
        <v>256551534.06705701</v>
      </c>
      <c r="B3">
        <v>457882751.13294202</v>
      </c>
      <c r="C3">
        <v>357217142.60000002</v>
      </c>
      <c r="D3" s="4">
        <v>51360004.353541903</v>
      </c>
    </row>
    <row r="4" spans="1:4" x14ac:dyDescent="0.3">
      <c r="A4">
        <v>233330777.57926199</v>
      </c>
      <c r="B4">
        <v>485856072.22073698</v>
      </c>
      <c r="C4">
        <v>359593424.89999998</v>
      </c>
      <c r="D4" s="4">
        <v>64419718.020784602</v>
      </c>
    </row>
    <row r="5" spans="1:4" x14ac:dyDescent="0.3">
      <c r="A5">
        <v>206926776.08504701</v>
      </c>
      <c r="B5">
        <v>517012638.31495202</v>
      </c>
      <c r="C5">
        <v>361969707.19999999</v>
      </c>
      <c r="D5" s="4">
        <v>79103536.283139199</v>
      </c>
    </row>
    <row r="6" spans="1:4" x14ac:dyDescent="0.3">
      <c r="A6">
        <v>264752861.34033501</v>
      </c>
      <c r="B6">
        <v>463939117.65966398</v>
      </c>
      <c r="C6">
        <v>364345989.5</v>
      </c>
      <c r="D6" s="4">
        <v>50812820.489624701</v>
      </c>
    </row>
    <row r="7" spans="1:4" x14ac:dyDescent="0.3">
      <c r="A7">
        <v>266479061.37345001</v>
      </c>
      <c r="B7">
        <v>466965482.22654903</v>
      </c>
      <c r="C7">
        <v>366722271.80000001</v>
      </c>
      <c r="D7" s="4">
        <v>51144495.115586601</v>
      </c>
    </row>
    <row r="8" spans="1:4" x14ac:dyDescent="0.3">
      <c r="A8">
        <v>210453412.88440201</v>
      </c>
      <c r="B8">
        <v>527743695.315597</v>
      </c>
      <c r="C8">
        <v>369098554.10000002</v>
      </c>
      <c r="D8" s="4">
        <v>80941398.579386503</v>
      </c>
    </row>
    <row r="9" spans="1:4" x14ac:dyDescent="0.3">
      <c r="A9">
        <v>237116941.19984901</v>
      </c>
      <c r="B9">
        <v>505832731.60014999</v>
      </c>
      <c r="C9">
        <v>371474836.39999998</v>
      </c>
      <c r="D9" s="4">
        <v>68549946.530688897</v>
      </c>
    </row>
    <row r="10" spans="1:4" x14ac:dyDescent="0.3">
      <c r="A10">
        <v>279419182.65276098</v>
      </c>
      <c r="B10">
        <v>468283054.74723899</v>
      </c>
      <c r="C10">
        <v>373851118.69999999</v>
      </c>
      <c r="D10" s="4">
        <v>48179559.207774997</v>
      </c>
    </row>
    <row r="11" spans="1:4" x14ac:dyDescent="0.3">
      <c r="A11">
        <v>247612635.86752099</v>
      </c>
      <c r="B11">
        <v>504842166.13247901</v>
      </c>
      <c r="C11">
        <v>376227401</v>
      </c>
      <c r="D11" s="4">
        <v>65619778.128815703</v>
      </c>
    </row>
    <row r="12" spans="1:4" x14ac:dyDescent="0.3">
      <c r="A12">
        <v>282769035.53453702</v>
      </c>
      <c r="B12">
        <v>474438331.06546199</v>
      </c>
      <c r="C12">
        <v>378603683.30000001</v>
      </c>
      <c r="D12">
        <v>48895228.451766603</v>
      </c>
    </row>
    <row r="13" spans="1:4" x14ac:dyDescent="0.3">
      <c r="A13" s="4">
        <v>284621508.53817898</v>
      </c>
      <c r="B13" s="4">
        <v>477338422.66182101</v>
      </c>
      <c r="C13" s="4">
        <v>380979965.60000002</v>
      </c>
      <c r="D13">
        <v>49162478.092765801</v>
      </c>
    </row>
    <row r="14" spans="1:4" x14ac:dyDescent="0.3">
      <c r="A14">
        <v>262468277.594327</v>
      </c>
      <c r="B14">
        <v>504244218.20567298</v>
      </c>
      <c r="C14">
        <v>383356247.89999998</v>
      </c>
      <c r="D14">
        <v>61677535.870241202</v>
      </c>
    </row>
    <row r="15" spans="1:4" x14ac:dyDescent="0.3">
      <c r="A15">
        <v>332934164.36848402</v>
      </c>
      <c r="B15">
        <v>438530896.031515</v>
      </c>
      <c r="C15">
        <v>385732530.19999999</v>
      </c>
      <c r="D15">
        <v>26937941.750773299</v>
      </c>
    </row>
    <row r="16" spans="1:4" x14ac:dyDescent="0.3">
      <c r="A16">
        <v>333050824.211357</v>
      </c>
      <c r="B16">
        <v>443166800.78864199</v>
      </c>
      <c r="C16">
        <v>388108812.5</v>
      </c>
      <c r="D16">
        <v>28090810.351348098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419857338.63599497</v>
      </c>
      <c r="B2">
        <v>848230243.54931498</v>
      </c>
      <c r="C2">
        <v>634043791.09265494</v>
      </c>
      <c r="D2" s="4">
        <v>109278802.27380601</v>
      </c>
    </row>
    <row r="3" spans="1:4" x14ac:dyDescent="0.3">
      <c r="A3">
        <v>473617812.19505</v>
      </c>
      <c r="B3">
        <v>845293822.24138796</v>
      </c>
      <c r="C3">
        <v>659455817.21821904</v>
      </c>
      <c r="D3" s="4">
        <v>94815308.685290098</v>
      </c>
    </row>
    <row r="4" spans="1:4" x14ac:dyDescent="0.3">
      <c r="A4">
        <v>444392848.59248102</v>
      </c>
      <c r="B4">
        <v>925342838.09508598</v>
      </c>
      <c r="C4">
        <v>684867843.34378302</v>
      </c>
      <c r="D4" s="4">
        <v>122691323.852705</v>
      </c>
    </row>
    <row r="5" spans="1:4" x14ac:dyDescent="0.3">
      <c r="A5">
        <v>406044816.96638602</v>
      </c>
      <c r="B5">
        <v>1014514921.9723099</v>
      </c>
      <c r="C5">
        <v>710279869.46934795</v>
      </c>
      <c r="D5" s="4">
        <v>155221965.56273499</v>
      </c>
    </row>
    <row r="6" spans="1:4" x14ac:dyDescent="0.3">
      <c r="A6">
        <v>534592228.367724</v>
      </c>
      <c r="B6">
        <v>936791562.82210004</v>
      </c>
      <c r="C6">
        <v>735691895.59491205</v>
      </c>
      <c r="D6" s="4">
        <v>102601871.034279</v>
      </c>
    </row>
    <row r="7" spans="1:4" x14ac:dyDescent="0.3">
      <c r="A7">
        <v>553056834.18741405</v>
      </c>
      <c r="B7">
        <v>969151009.25353897</v>
      </c>
      <c r="C7">
        <v>761103921.72047603</v>
      </c>
      <c r="D7" s="4">
        <v>106146473.23115399</v>
      </c>
    </row>
    <row r="8" spans="1:4" x14ac:dyDescent="0.3">
      <c r="A8">
        <v>448457366.39587098</v>
      </c>
      <c r="B8">
        <v>1124574529.2962101</v>
      </c>
      <c r="C8">
        <v>786515947.84604096</v>
      </c>
      <c r="D8" s="4">
        <v>172478868.08682099</v>
      </c>
    </row>
    <row r="9" spans="1:4" x14ac:dyDescent="0.3">
      <c r="A9">
        <v>518263577.49689603</v>
      </c>
      <c r="B9">
        <v>1105592370.44631</v>
      </c>
      <c r="C9">
        <v>811927973.97160494</v>
      </c>
      <c r="D9" s="4">
        <v>149828773.711586</v>
      </c>
    </row>
    <row r="10" spans="1:4" x14ac:dyDescent="0.3">
      <c r="A10">
        <v>625834314.053141</v>
      </c>
      <c r="B10">
        <v>1048845686.1411901</v>
      </c>
      <c r="C10">
        <v>837340000.09716904</v>
      </c>
      <c r="D10" s="4">
        <v>107911064.30817699</v>
      </c>
    </row>
    <row r="11" spans="1:4" x14ac:dyDescent="0.3">
      <c r="A11">
        <v>567816971.18614697</v>
      </c>
      <c r="B11">
        <v>1157687081.25932</v>
      </c>
      <c r="C11">
        <v>862752026.22273397</v>
      </c>
      <c r="D11" s="4">
        <v>150477068.896218</v>
      </c>
    </row>
    <row r="12" spans="1:4" x14ac:dyDescent="0.3">
      <c r="A12">
        <v>663346141.51117694</v>
      </c>
      <c r="B12">
        <v>1112981963.18541</v>
      </c>
      <c r="C12">
        <v>888164052.34829795</v>
      </c>
      <c r="D12">
        <v>114703015.733225</v>
      </c>
    </row>
    <row r="13" spans="1:4" x14ac:dyDescent="0.3">
      <c r="A13" s="4">
        <v>682512008.76171303</v>
      </c>
      <c r="B13" s="4">
        <v>1144640148.1860099</v>
      </c>
      <c r="C13" s="4">
        <v>913576078.47386205</v>
      </c>
      <c r="D13">
        <v>117889831.48579</v>
      </c>
    </row>
    <row r="14" spans="1:4" x14ac:dyDescent="0.3">
      <c r="A14">
        <v>642886588.76915503</v>
      </c>
      <c r="B14">
        <v>1235089620.4296899</v>
      </c>
      <c r="C14">
        <v>938988104.59942698</v>
      </c>
      <c r="D14">
        <v>151072201.95422</v>
      </c>
    </row>
    <row r="15" spans="1:4" x14ac:dyDescent="0.3">
      <c r="A15">
        <v>832394798.21238601</v>
      </c>
      <c r="B15">
        <v>1096405463.2375901</v>
      </c>
      <c r="C15">
        <v>964400130.72499096</v>
      </c>
      <c r="D15">
        <v>67349659.445206806</v>
      </c>
    </row>
    <row r="16" spans="1:4" x14ac:dyDescent="0.3">
      <c r="A16">
        <v>849395180.00122499</v>
      </c>
      <c r="B16">
        <v>1130229133.6998799</v>
      </c>
      <c r="C16">
        <v>989812156.85055494</v>
      </c>
      <c r="D16">
        <v>71641314.719046295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426637006.79149002</v>
      </c>
      <c r="B2">
        <v>861927085.40850902</v>
      </c>
      <c r="C2">
        <v>644282046.10000002</v>
      </c>
      <c r="D2" s="4">
        <v>111043387.4023</v>
      </c>
    </row>
    <row r="3" spans="1:4" x14ac:dyDescent="0.3">
      <c r="A3">
        <v>470622792.88981801</v>
      </c>
      <c r="B3">
        <v>839948433.51018095</v>
      </c>
      <c r="C3">
        <v>655285613.20000005</v>
      </c>
      <c r="D3" s="4">
        <v>94215724.648051694</v>
      </c>
    </row>
    <row r="4" spans="1:4" x14ac:dyDescent="0.3">
      <c r="A4">
        <v>432337639.58638</v>
      </c>
      <c r="B4">
        <v>900240721.01362002</v>
      </c>
      <c r="C4">
        <v>666289180.29999995</v>
      </c>
      <c r="D4" s="4">
        <v>119363030.976336</v>
      </c>
    </row>
    <row r="5" spans="1:4" x14ac:dyDescent="0.3">
      <c r="A5">
        <v>387187109.57718003</v>
      </c>
      <c r="B5">
        <v>967398385.22281897</v>
      </c>
      <c r="C5">
        <v>677292747.39999998</v>
      </c>
      <c r="D5" s="4">
        <v>148013080.521846</v>
      </c>
    </row>
    <row r="6" spans="1:4" x14ac:dyDescent="0.3">
      <c r="A6">
        <v>500152119.04475302</v>
      </c>
      <c r="B6">
        <v>876440509.95524597</v>
      </c>
      <c r="C6">
        <v>688296314.5</v>
      </c>
      <c r="D6" s="4">
        <v>95991936.456758499</v>
      </c>
    </row>
    <row r="7" spans="1:4" x14ac:dyDescent="0.3">
      <c r="A7">
        <v>508146874.07085598</v>
      </c>
      <c r="B7">
        <v>890452889.12914395</v>
      </c>
      <c r="C7">
        <v>699299881.60000002</v>
      </c>
      <c r="D7" s="4">
        <v>97527044.657726407</v>
      </c>
    </row>
    <row r="8" spans="1:4" x14ac:dyDescent="0.3">
      <c r="A8">
        <v>405002358.58950502</v>
      </c>
      <c r="B8">
        <v>1015604538.81049</v>
      </c>
      <c r="C8">
        <v>710303448.70000005</v>
      </c>
      <c r="D8" s="4">
        <v>155765862.30127299</v>
      </c>
    </row>
    <row r="9" spans="1:4" x14ac:dyDescent="0.3">
      <c r="A9">
        <v>460419109.16496098</v>
      </c>
      <c r="B9">
        <v>982194922.43503904</v>
      </c>
      <c r="C9">
        <v>721307015.79999995</v>
      </c>
      <c r="D9" s="4">
        <v>133106074.813795</v>
      </c>
    </row>
    <row r="10" spans="1:4" x14ac:dyDescent="0.3">
      <c r="A10">
        <v>547334525.12706101</v>
      </c>
      <c r="B10">
        <v>917286640.67293894</v>
      </c>
      <c r="C10">
        <v>732310582.89999998</v>
      </c>
      <c r="D10" s="4">
        <v>94375539.680070996</v>
      </c>
    </row>
    <row r="11" spans="1:4" x14ac:dyDescent="0.3">
      <c r="A11">
        <v>489209386.317734</v>
      </c>
      <c r="B11">
        <v>997418913.682266</v>
      </c>
      <c r="C11">
        <v>743314150</v>
      </c>
      <c r="D11" s="4">
        <v>129645287.59299199</v>
      </c>
    </row>
    <row r="12" spans="1:4" x14ac:dyDescent="0.3">
      <c r="A12">
        <v>563379868.60515296</v>
      </c>
      <c r="B12">
        <v>945255565.59484696</v>
      </c>
      <c r="C12">
        <v>754317717.10000002</v>
      </c>
      <c r="D12">
        <v>97417269.640227899</v>
      </c>
    </row>
    <row r="13" spans="1:4" x14ac:dyDescent="0.3">
      <c r="A13" s="4">
        <v>571754207.81596196</v>
      </c>
      <c r="B13" s="4">
        <v>958888360.58403802</v>
      </c>
      <c r="C13" s="4">
        <v>765321284.20000005</v>
      </c>
      <c r="D13">
        <v>98758712.440835804</v>
      </c>
    </row>
    <row r="14" spans="1:4" x14ac:dyDescent="0.3">
      <c r="A14">
        <v>531517740.19745398</v>
      </c>
      <c r="B14">
        <v>1021131962.40254</v>
      </c>
      <c r="C14">
        <v>776324851.29999995</v>
      </c>
      <c r="D14">
        <v>124901587.297217</v>
      </c>
    </row>
    <row r="15" spans="1:4" x14ac:dyDescent="0.3">
      <c r="A15">
        <v>679560339.20097995</v>
      </c>
      <c r="B15">
        <v>895096497.59902</v>
      </c>
      <c r="C15">
        <v>787328418.39999998</v>
      </c>
      <c r="D15">
        <v>54983713.877050802</v>
      </c>
    </row>
    <row r="16" spans="1:4" x14ac:dyDescent="0.3">
      <c r="A16">
        <v>685078816.04740596</v>
      </c>
      <c r="B16">
        <v>911585154.95259404</v>
      </c>
      <c r="C16">
        <v>798331985.5</v>
      </c>
      <c r="D16">
        <v>57782229.312548101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activeCell="F3" sqref="F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125155879.456664</v>
      </c>
      <c r="B2">
        <v>252850176.343335</v>
      </c>
      <c r="C2">
        <v>189003027.90000001</v>
      </c>
      <c r="D2" s="4">
        <v>32575075.736395799</v>
      </c>
    </row>
    <row r="3" spans="1:4" x14ac:dyDescent="0.3">
      <c r="A3">
        <v>146694658.00879601</v>
      </c>
      <c r="B3">
        <v>261814663.591203</v>
      </c>
      <c r="C3">
        <v>204254660.80000001</v>
      </c>
      <c r="D3" s="4">
        <v>29367348.362858798</v>
      </c>
    </row>
    <row r="4" spans="1:4" x14ac:dyDescent="0.3">
      <c r="A4">
        <v>142431898.48870501</v>
      </c>
      <c r="B4">
        <v>296580688.91129398</v>
      </c>
      <c r="C4">
        <v>219506293.69999999</v>
      </c>
      <c r="D4" s="4">
        <v>39323671.026170403</v>
      </c>
    </row>
    <row r="5" spans="1:4" x14ac:dyDescent="0.3">
      <c r="A5">
        <v>134203774.36420999</v>
      </c>
      <c r="B5">
        <v>335312078.83578902</v>
      </c>
      <c r="C5">
        <v>234757926.59999999</v>
      </c>
      <c r="D5" s="4">
        <v>51303138.895810902</v>
      </c>
    </row>
    <row r="6" spans="1:4" x14ac:dyDescent="0.3">
      <c r="A6">
        <v>181670028.345575</v>
      </c>
      <c r="B6">
        <v>318349090.65442401</v>
      </c>
      <c r="C6">
        <v>250009559.5</v>
      </c>
      <c r="D6" s="4">
        <v>34867107.731849097</v>
      </c>
    </row>
    <row r="7" spans="1:4" x14ac:dyDescent="0.3">
      <c r="A7">
        <v>192752278.78197801</v>
      </c>
      <c r="B7">
        <v>337770106.01802099</v>
      </c>
      <c r="C7">
        <v>265261192.40000001</v>
      </c>
      <c r="D7" s="4">
        <v>36994343.682663798</v>
      </c>
    </row>
    <row r="8" spans="1:4" x14ac:dyDescent="0.3">
      <c r="A8">
        <v>159943410.198883</v>
      </c>
      <c r="B8">
        <v>401082240.40111601</v>
      </c>
      <c r="C8">
        <v>280512825.30000001</v>
      </c>
      <c r="D8" s="4">
        <v>61515007.704651199</v>
      </c>
    </row>
    <row r="9" spans="1:4" x14ac:dyDescent="0.3">
      <c r="A9">
        <v>188790078.821109</v>
      </c>
      <c r="B9">
        <v>402738837.57889003</v>
      </c>
      <c r="C9">
        <v>295764458.19999999</v>
      </c>
      <c r="D9" s="4">
        <v>54578764.989229798</v>
      </c>
    </row>
    <row r="10" spans="1:4" x14ac:dyDescent="0.3">
      <c r="A10">
        <v>232455802.91216201</v>
      </c>
      <c r="B10">
        <v>389576379.28783703</v>
      </c>
      <c r="C10">
        <v>311016091.09999901</v>
      </c>
      <c r="D10" s="4">
        <v>40081779.687672198</v>
      </c>
    </row>
    <row r="11" spans="1:4" x14ac:dyDescent="0.3">
      <c r="A11">
        <v>214731864.08912501</v>
      </c>
      <c r="B11">
        <v>437803583.91087401</v>
      </c>
      <c r="C11">
        <v>326267723.99999899</v>
      </c>
      <c r="D11" s="4">
        <v>56906050.974935897</v>
      </c>
    </row>
    <row r="12" spans="1:4" x14ac:dyDescent="0.3">
      <c r="A12">
        <v>255071737.08731899</v>
      </c>
      <c r="B12">
        <v>427966976.71267998</v>
      </c>
      <c r="C12">
        <v>341519356.89999902</v>
      </c>
      <c r="D12">
        <v>44105928.475857198</v>
      </c>
    </row>
    <row r="13" spans="1:4" x14ac:dyDescent="0.3">
      <c r="A13" s="4">
        <v>266535530.705962</v>
      </c>
      <c r="B13" s="4">
        <v>447006448.89403701</v>
      </c>
      <c r="C13" s="4">
        <v>356770989.799999</v>
      </c>
      <c r="D13">
        <v>46038499.537774302</v>
      </c>
    </row>
    <row r="14" spans="1:4" x14ac:dyDescent="0.3">
      <c r="A14">
        <v>254708609.91853201</v>
      </c>
      <c r="B14">
        <v>489336635.48146701</v>
      </c>
      <c r="C14">
        <v>372022622.69999897</v>
      </c>
      <c r="D14">
        <v>59854088.153810002</v>
      </c>
    </row>
    <row r="15" spans="1:4" x14ac:dyDescent="0.3">
      <c r="A15">
        <v>334264861.205145</v>
      </c>
      <c r="B15">
        <v>440283649.99485302</v>
      </c>
      <c r="C15">
        <v>387274255.59999901</v>
      </c>
      <c r="D15">
        <v>27045609.3851295</v>
      </c>
    </row>
    <row r="16" spans="1:4" x14ac:dyDescent="0.3">
      <c r="A16">
        <v>345422661.41234201</v>
      </c>
      <c r="B16">
        <v>459629115.58765602</v>
      </c>
      <c r="C16">
        <v>402525888.49999899</v>
      </c>
      <c r="D16">
        <v>29134299.534518801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150482637.83364099</v>
      </c>
      <c r="B2">
        <v>304017371.60115802</v>
      </c>
      <c r="C2">
        <v>227250004.717399</v>
      </c>
      <c r="D2" s="4">
        <v>39167023.920285001</v>
      </c>
    </row>
    <row r="3" spans="1:4" x14ac:dyDescent="0.3">
      <c r="A3">
        <v>175100581.88727999</v>
      </c>
      <c r="B3">
        <v>312512402.04461402</v>
      </c>
      <c r="C3">
        <v>243806491.965947</v>
      </c>
      <c r="D3" s="4">
        <v>35054035.754422002</v>
      </c>
    </row>
    <row r="4" spans="1:4" x14ac:dyDescent="0.3">
      <c r="A4">
        <v>168571829.55948299</v>
      </c>
      <c r="B4">
        <v>351010903.26162499</v>
      </c>
      <c r="C4">
        <v>259791366.41055399</v>
      </c>
      <c r="D4" s="4">
        <v>46540580.026056603</v>
      </c>
    </row>
    <row r="5" spans="1:4" x14ac:dyDescent="0.3">
      <c r="A5">
        <v>157530424.31892499</v>
      </c>
      <c r="B5">
        <v>393594400.07187498</v>
      </c>
      <c r="C5">
        <v>275562412.1954</v>
      </c>
      <c r="D5" s="4">
        <v>60220401.977793403</v>
      </c>
    </row>
    <row r="6" spans="1:4" x14ac:dyDescent="0.3">
      <c r="A6">
        <v>211640011.22272301</v>
      </c>
      <c r="B6">
        <v>370866926.88066101</v>
      </c>
      <c r="C6">
        <v>291253469.05169201</v>
      </c>
      <c r="D6" s="4">
        <v>40619111.137228899</v>
      </c>
    </row>
    <row r="7" spans="1:4" x14ac:dyDescent="0.3">
      <c r="A7">
        <v>223019766.73118401</v>
      </c>
      <c r="B7">
        <v>390809440.64018703</v>
      </c>
      <c r="C7">
        <v>306914603.68568599</v>
      </c>
      <c r="D7" s="4">
        <v>42803488.242092498</v>
      </c>
    </row>
    <row r="8" spans="1:4" x14ac:dyDescent="0.3">
      <c r="A8">
        <v>183920550.819363</v>
      </c>
      <c r="B8">
        <v>461208539.23716497</v>
      </c>
      <c r="C8">
        <v>322564545.02826399</v>
      </c>
      <c r="D8" s="4">
        <v>70736731.739234999</v>
      </c>
    </row>
    <row r="9" spans="1:4" x14ac:dyDescent="0.3">
      <c r="A9">
        <v>215883779.37861899</v>
      </c>
      <c r="B9">
        <v>460536819.00026202</v>
      </c>
      <c r="C9">
        <v>338210299.18944001</v>
      </c>
      <c r="D9" s="4">
        <v>62411489.699398898</v>
      </c>
    </row>
    <row r="10" spans="1:4" x14ac:dyDescent="0.3">
      <c r="A10">
        <v>264473547.33786401</v>
      </c>
      <c r="B10">
        <v>443235426.68551201</v>
      </c>
      <c r="C10">
        <v>353854487.01168799</v>
      </c>
      <c r="D10" s="4">
        <v>45602520.241746902</v>
      </c>
    </row>
    <row r="11" spans="1:4" x14ac:dyDescent="0.3">
      <c r="A11">
        <v>243183764.651389</v>
      </c>
      <c r="B11">
        <v>495812413.14576101</v>
      </c>
      <c r="C11">
        <v>369498088.89857501</v>
      </c>
      <c r="D11" s="4">
        <v>64446083.799584702</v>
      </c>
    </row>
    <row r="12" spans="1:4" x14ac:dyDescent="0.3">
      <c r="A12">
        <v>287651935.97473198</v>
      </c>
      <c r="B12">
        <v>482631007.22332299</v>
      </c>
      <c r="C12">
        <v>385141471.59902799</v>
      </c>
      <c r="D12">
        <v>49739558.9919874</v>
      </c>
    </row>
    <row r="13" spans="1:4" x14ac:dyDescent="0.3">
      <c r="A13" s="4">
        <v>299417231.33210999</v>
      </c>
      <c r="B13" s="4">
        <v>502152313.28052503</v>
      </c>
      <c r="C13" s="4">
        <v>400784772.30631697</v>
      </c>
      <c r="D13">
        <v>51718133.1501057</v>
      </c>
    </row>
    <row r="14" spans="1:4" x14ac:dyDescent="0.3">
      <c r="A14">
        <v>285111176.91213298</v>
      </c>
      <c r="B14">
        <v>547744907.77115095</v>
      </c>
      <c r="C14">
        <v>416428042.34164202</v>
      </c>
      <c r="D14">
        <v>66998400.729341403</v>
      </c>
    </row>
    <row r="15" spans="1:4" x14ac:dyDescent="0.3">
      <c r="A15">
        <v>372930168.57880402</v>
      </c>
      <c r="B15">
        <v>491212433.22761899</v>
      </c>
      <c r="C15">
        <v>432071300.903211</v>
      </c>
      <c r="D15">
        <v>30174047.104289401</v>
      </c>
    </row>
    <row r="16" spans="1:4" x14ac:dyDescent="0.3">
      <c r="A16">
        <v>384200762.28411698</v>
      </c>
      <c r="B16">
        <v>511228348.06124997</v>
      </c>
      <c r="C16">
        <v>447714555.17268401</v>
      </c>
      <c r="D16">
        <v>32404996.371717401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G4" sqref="G4"/>
    </sheetView>
  </sheetViews>
  <sheetFormatPr defaultRowHeight="14.4" x14ac:dyDescent="0.3"/>
  <cols>
    <col min="1" max="1" width="12" bestFit="1" customWidth="1"/>
    <col min="2" max="2" width="11" bestFit="1" customWidth="1"/>
    <col min="3" max="4" width="12" bestFit="1" customWidth="1"/>
  </cols>
  <sheetData>
    <row r="1" spans="1:4" x14ac:dyDescent="0.3">
      <c r="A1" s="2" t="s">
        <v>0</v>
      </c>
      <c r="B1" s="2" t="s">
        <v>1</v>
      </c>
      <c r="C1" t="s">
        <v>16</v>
      </c>
      <c r="D1" t="s">
        <v>2</v>
      </c>
    </row>
    <row r="2" spans="1:4" x14ac:dyDescent="0.3">
      <c r="A2">
        <v>275374764.42802203</v>
      </c>
      <c r="B2">
        <v>556334692.77197695</v>
      </c>
      <c r="C2">
        <v>415854728.60000002</v>
      </c>
      <c r="D2" s="4">
        <v>71673451.108151898</v>
      </c>
    </row>
    <row r="3" spans="1:4" x14ac:dyDescent="0.3">
      <c r="A3">
        <v>313763430.22790903</v>
      </c>
      <c r="B3">
        <v>559992218.17209005</v>
      </c>
      <c r="C3">
        <v>436877824.19999999</v>
      </c>
      <c r="D3" s="4">
        <v>62813466.312290899</v>
      </c>
    </row>
    <row r="4" spans="1:4" x14ac:dyDescent="0.3">
      <c r="A4">
        <v>297119942.33739197</v>
      </c>
      <c r="B4">
        <v>618681897.26260698</v>
      </c>
      <c r="C4">
        <v>457900919.80000001</v>
      </c>
      <c r="D4" s="4">
        <v>82031110.950310096</v>
      </c>
    </row>
    <row r="5" spans="1:4" x14ac:dyDescent="0.3">
      <c r="A5">
        <v>273785901.20987701</v>
      </c>
      <c r="B5">
        <v>684062129.59012198</v>
      </c>
      <c r="C5">
        <v>478924015.39999998</v>
      </c>
      <c r="D5" s="4">
        <v>104662303.158225</v>
      </c>
    </row>
    <row r="6" spans="1:4" x14ac:dyDescent="0.3">
      <c r="A6">
        <v>363287731.91034198</v>
      </c>
      <c r="B6">
        <v>636606490.08965802</v>
      </c>
      <c r="C6">
        <v>499947111</v>
      </c>
      <c r="D6" s="4">
        <v>69724173.004927501</v>
      </c>
    </row>
    <row r="7" spans="1:4" x14ac:dyDescent="0.3">
      <c r="A7">
        <v>378563458.87280297</v>
      </c>
      <c r="B7">
        <v>663376954.327196</v>
      </c>
      <c r="C7">
        <v>520970206.60000002</v>
      </c>
      <c r="D7" s="4">
        <v>72656503.942447007</v>
      </c>
    </row>
    <row r="8" spans="1:4" x14ac:dyDescent="0.3">
      <c r="A8">
        <v>309034914.77122802</v>
      </c>
      <c r="B8">
        <v>774951689.62877095</v>
      </c>
      <c r="C8">
        <v>541993302.20000005</v>
      </c>
      <c r="D8" s="4">
        <v>118856320.11672001</v>
      </c>
    </row>
    <row r="9" spans="1:4" x14ac:dyDescent="0.3">
      <c r="A9">
        <v>359380267.54507101</v>
      </c>
      <c r="B9">
        <v>766652528.05492795</v>
      </c>
      <c r="C9">
        <v>563016397.79999995</v>
      </c>
      <c r="D9" s="4">
        <v>103895984.823943</v>
      </c>
    </row>
    <row r="10" spans="1:4" x14ac:dyDescent="0.3">
      <c r="A10">
        <v>436515579.91916901</v>
      </c>
      <c r="B10">
        <v>731563406.880831</v>
      </c>
      <c r="C10">
        <v>584039493.39999998</v>
      </c>
      <c r="D10" s="4">
        <v>75267302.796342298</v>
      </c>
    </row>
    <row r="11" spans="1:4" x14ac:dyDescent="0.3">
      <c r="A11">
        <v>398219646.22698098</v>
      </c>
      <c r="B11">
        <v>811905531.77301896</v>
      </c>
      <c r="C11">
        <v>605062589</v>
      </c>
      <c r="D11" s="4">
        <v>105532113.659703</v>
      </c>
    </row>
    <row r="12" spans="1:4" x14ac:dyDescent="0.3">
      <c r="A12">
        <v>467606769.30879301</v>
      </c>
      <c r="B12">
        <v>784564599.89120603</v>
      </c>
      <c r="C12">
        <v>626085684.60000002</v>
      </c>
      <c r="D12">
        <v>80856589.434289098</v>
      </c>
    </row>
    <row r="13" spans="1:4" x14ac:dyDescent="0.3">
      <c r="A13" s="4">
        <v>483440321.90448803</v>
      </c>
      <c r="B13" s="4">
        <v>810777238.49551201</v>
      </c>
      <c r="C13" s="4">
        <v>647108780.20000005</v>
      </c>
      <c r="D13">
        <v>83504315.456893697</v>
      </c>
    </row>
    <row r="14" spans="1:4" x14ac:dyDescent="0.3">
      <c r="A14">
        <v>457442453.61259103</v>
      </c>
      <c r="B14">
        <v>878821297.98740804</v>
      </c>
      <c r="C14">
        <v>668131875.79999995</v>
      </c>
      <c r="D14">
        <v>107494603.15684099</v>
      </c>
    </row>
    <row r="15" spans="1:4" x14ac:dyDescent="0.3">
      <c r="A15">
        <v>594824694.72948205</v>
      </c>
      <c r="B15">
        <v>783485248.07051802</v>
      </c>
      <c r="C15">
        <v>689154971.39999998</v>
      </c>
      <c r="D15">
        <v>48127692.178835601</v>
      </c>
    </row>
    <row r="16" spans="1:4" x14ac:dyDescent="0.3">
      <c r="A16">
        <v>609430610.52286398</v>
      </c>
      <c r="B16">
        <v>810925523.47713602</v>
      </c>
      <c r="C16">
        <v>710178067</v>
      </c>
      <c r="D16">
        <v>51401763.508742899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17791727.747469999</v>
      </c>
      <c r="B2">
        <v>35944308.153402299</v>
      </c>
      <c r="C2">
        <v>26868017.9504361</v>
      </c>
      <c r="D2" s="4">
        <v>4630760.3076357897</v>
      </c>
    </row>
    <row r="3" spans="1:4" x14ac:dyDescent="0.3">
      <c r="A3">
        <v>19764995.762654401</v>
      </c>
      <c r="B3">
        <v>35275761.140331499</v>
      </c>
      <c r="C3">
        <v>27520378.451492898</v>
      </c>
      <c r="D3" s="4">
        <v>3956827.9024686399</v>
      </c>
    </row>
    <row r="4" spans="1:4" x14ac:dyDescent="0.3">
      <c r="A4">
        <v>18342993.663138099</v>
      </c>
      <c r="B4">
        <v>38194939.160628997</v>
      </c>
      <c r="C4">
        <v>28268966.4118836</v>
      </c>
      <c r="D4" s="4">
        <v>5064271.8105844101</v>
      </c>
    </row>
    <row r="5" spans="1:4" x14ac:dyDescent="0.3">
      <c r="A5">
        <v>16576125.7174237</v>
      </c>
      <c r="B5">
        <v>41415937.8131098</v>
      </c>
      <c r="C5">
        <v>28996031.765266702</v>
      </c>
      <c r="D5" s="4">
        <v>6336686.7591035701</v>
      </c>
    </row>
    <row r="6" spans="1:4" x14ac:dyDescent="0.3">
      <c r="A6">
        <v>21601855.686889</v>
      </c>
      <c r="B6">
        <v>37853966.210033298</v>
      </c>
      <c r="C6">
        <v>29727910.9484611</v>
      </c>
      <c r="D6" s="4">
        <v>4145946.5620266101</v>
      </c>
    </row>
    <row r="7" spans="1:4" x14ac:dyDescent="0.3">
      <c r="A7">
        <v>22132850.9213221</v>
      </c>
      <c r="B7">
        <v>38784575.982273497</v>
      </c>
      <c r="C7">
        <v>30458713.451797798</v>
      </c>
      <c r="D7" s="4">
        <v>4247889.0461610695</v>
      </c>
    </row>
    <row r="8" spans="1:4" x14ac:dyDescent="0.3">
      <c r="A8">
        <v>17783843.058359899</v>
      </c>
      <c r="B8">
        <v>44595670.480699897</v>
      </c>
      <c r="C8">
        <v>31189756.769529901</v>
      </c>
      <c r="D8" s="4">
        <v>6839751.8934540898</v>
      </c>
    </row>
    <row r="9" spans="1:4" x14ac:dyDescent="0.3">
      <c r="A9">
        <v>20375403.564949401</v>
      </c>
      <c r="B9">
        <v>43466088.886610202</v>
      </c>
      <c r="C9">
        <v>31920746.225779802</v>
      </c>
      <c r="D9" s="4">
        <v>5890480.9494032701</v>
      </c>
    </row>
    <row r="10" spans="1:4" x14ac:dyDescent="0.3">
      <c r="A10">
        <v>24404165.739340801</v>
      </c>
      <c r="B10">
        <v>40899329.718454801</v>
      </c>
      <c r="C10">
        <v>32651747.728897799</v>
      </c>
      <c r="D10" s="4">
        <v>4207949.9946719399</v>
      </c>
    </row>
    <row r="11" spans="1:4" x14ac:dyDescent="0.3">
      <c r="A11">
        <v>21970727.917991798</v>
      </c>
      <c r="B11">
        <v>44794765.157141201</v>
      </c>
      <c r="C11">
        <v>33382746.537566502</v>
      </c>
      <c r="D11" s="4">
        <v>5822458.4793748399</v>
      </c>
    </row>
    <row r="12" spans="1:4" x14ac:dyDescent="0.3">
      <c r="A12">
        <v>25478650.805394299</v>
      </c>
      <c r="B12">
        <v>42748841.092378199</v>
      </c>
      <c r="C12">
        <v>34113745.948886298</v>
      </c>
      <c r="D12">
        <v>4405660.7874958897</v>
      </c>
    </row>
    <row r="13" spans="1:4" x14ac:dyDescent="0.3">
      <c r="A13" s="4">
        <v>26031720.421484701</v>
      </c>
      <c r="B13" s="4">
        <v>43657770.029344797</v>
      </c>
      <c r="C13" s="4">
        <v>34844745.225414701</v>
      </c>
      <c r="D13">
        <v>4496441.2264949204</v>
      </c>
    </row>
    <row r="14" spans="1:4" x14ac:dyDescent="0.3">
      <c r="A14">
        <v>24357251.101616301</v>
      </c>
      <c r="B14">
        <v>46794237.962566003</v>
      </c>
      <c r="C14">
        <v>35575744.532091103</v>
      </c>
      <c r="D14">
        <v>5723721.1379973702</v>
      </c>
    </row>
    <row r="15" spans="1:4" x14ac:dyDescent="0.3">
      <c r="A15">
        <v>31337142.896369901</v>
      </c>
      <c r="B15">
        <v>41276344.7676792</v>
      </c>
      <c r="C15">
        <v>36306743.8320245</v>
      </c>
      <c r="D15">
        <v>2535510.6814564499</v>
      </c>
    </row>
    <row r="16" spans="1:4" x14ac:dyDescent="0.3">
      <c r="A16">
        <v>31783485.662360299</v>
      </c>
      <c r="B16">
        <v>42292000.604571901</v>
      </c>
      <c r="C16">
        <v>37037743.133466102</v>
      </c>
      <c r="D16">
        <v>2680743.6077070301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219426221.35483301</v>
      </c>
      <c r="B2">
        <v>443302855.64516598</v>
      </c>
      <c r="C2">
        <v>331364538.5</v>
      </c>
      <c r="D2" s="4">
        <v>57111386.298554301</v>
      </c>
    </row>
    <row r="3" spans="1:4" x14ac:dyDescent="0.3">
      <c r="A3">
        <v>257191099.85041299</v>
      </c>
      <c r="B3">
        <v>459024222.14958602</v>
      </c>
      <c r="C3">
        <v>358107661</v>
      </c>
      <c r="D3" s="4">
        <v>51488041.402850397</v>
      </c>
    </row>
    <row r="4" spans="1:4" x14ac:dyDescent="0.3">
      <c r="A4">
        <v>249719617.62375101</v>
      </c>
      <c r="B4">
        <v>519981949.376248</v>
      </c>
      <c r="C4">
        <v>384850783.5</v>
      </c>
      <c r="D4" s="4">
        <v>68944472.385840893</v>
      </c>
    </row>
    <row r="5" spans="1:4" x14ac:dyDescent="0.3">
      <c r="A5">
        <v>235295380.609772</v>
      </c>
      <c r="B5">
        <v>587892431.39022696</v>
      </c>
      <c r="C5">
        <v>411593906</v>
      </c>
      <c r="D5" s="4">
        <v>89948227.239911899</v>
      </c>
    </row>
    <row r="6" spans="1:4" x14ac:dyDescent="0.3">
      <c r="A6">
        <v>318518622.05497098</v>
      </c>
      <c r="B6">
        <v>558155434.94502795</v>
      </c>
      <c r="C6">
        <v>438337028.5</v>
      </c>
      <c r="D6" s="4">
        <v>61131840.022973597</v>
      </c>
    </row>
    <row r="7" spans="1:4" x14ac:dyDescent="0.3">
      <c r="A7">
        <v>337950900.81000698</v>
      </c>
      <c r="B7">
        <v>592209401.18999195</v>
      </c>
      <c r="C7">
        <v>465080151</v>
      </c>
      <c r="D7" s="4">
        <v>64861862.341832697</v>
      </c>
    </row>
    <row r="8" spans="1:4" x14ac:dyDescent="0.3">
      <c r="A8">
        <v>280428859.16050202</v>
      </c>
      <c r="B8">
        <v>703217687.83949697</v>
      </c>
      <c r="C8">
        <v>491823273.5</v>
      </c>
      <c r="D8" s="4">
        <v>107854293.030356</v>
      </c>
    </row>
    <row r="9" spans="1:4" x14ac:dyDescent="0.3">
      <c r="A9">
        <v>331007286.57740599</v>
      </c>
      <c r="B9">
        <v>706125505.422593</v>
      </c>
      <c r="C9">
        <v>518566396</v>
      </c>
      <c r="D9" s="4">
        <v>95693423.174792603</v>
      </c>
    </row>
    <row r="10" spans="1:4" x14ac:dyDescent="0.3">
      <c r="A10">
        <v>407568500.74938798</v>
      </c>
      <c r="B10">
        <v>683050536.25061095</v>
      </c>
      <c r="C10">
        <v>545309518.5</v>
      </c>
      <c r="D10" s="4">
        <v>70276029.464597702</v>
      </c>
    </row>
    <row r="11" spans="1:4" x14ac:dyDescent="0.3">
      <c r="A11">
        <v>376494274.25140297</v>
      </c>
      <c r="B11">
        <v>767611007.74859595</v>
      </c>
      <c r="C11">
        <v>572052641</v>
      </c>
      <c r="D11" s="4">
        <v>99774676.912549093</v>
      </c>
    </row>
    <row r="12" spans="1:4" x14ac:dyDescent="0.3">
      <c r="A12">
        <v>447224652.04569697</v>
      </c>
      <c r="B12">
        <v>750366874.95430195</v>
      </c>
      <c r="C12">
        <v>598795763.5</v>
      </c>
      <c r="D12">
        <v>77332199.7215828</v>
      </c>
    </row>
    <row r="13" spans="1:4" x14ac:dyDescent="0.3">
      <c r="A13" s="4">
        <v>467325942.19807899</v>
      </c>
      <c r="B13" s="4">
        <v>783751829.80192006</v>
      </c>
      <c r="C13" s="4">
        <v>625538886</v>
      </c>
      <c r="D13">
        <v>80720889.694857299</v>
      </c>
    </row>
    <row r="14" spans="1:4" x14ac:dyDescent="0.3">
      <c r="A14">
        <v>446590700.46361202</v>
      </c>
      <c r="B14">
        <v>857973316.53638697</v>
      </c>
      <c r="C14">
        <v>652282008.5</v>
      </c>
      <c r="D14">
        <v>104944544.91652399</v>
      </c>
    </row>
    <row r="15" spans="1:4" x14ac:dyDescent="0.3">
      <c r="A15">
        <v>586081408.42430198</v>
      </c>
      <c r="B15">
        <v>771968853.57569695</v>
      </c>
      <c r="C15">
        <v>679025131</v>
      </c>
      <c r="D15">
        <v>47420266.620254003</v>
      </c>
    </row>
    <row r="16" spans="1:4" x14ac:dyDescent="0.3">
      <c r="A16">
        <v>605646383.07558405</v>
      </c>
      <c r="B16">
        <v>805890123.92441499</v>
      </c>
      <c r="C16">
        <v>705768253.5</v>
      </c>
      <c r="D16">
        <v>51082586.951232202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235864212.84944999</v>
      </c>
      <c r="B2">
        <v>476512234.75054997</v>
      </c>
      <c r="C2">
        <v>356188223.80000001</v>
      </c>
      <c r="D2" s="4">
        <v>61389801.505382597</v>
      </c>
    </row>
    <row r="3" spans="1:4" x14ac:dyDescent="0.3">
      <c r="A3">
        <v>259023219.809387</v>
      </c>
      <c r="B3">
        <v>462294115.39061201</v>
      </c>
      <c r="C3">
        <v>360658667.60000002</v>
      </c>
      <c r="D3" s="4">
        <v>51854820.301332898</v>
      </c>
    </row>
    <row r="4" spans="1:4" x14ac:dyDescent="0.3">
      <c r="A4">
        <v>236922739.90682399</v>
      </c>
      <c r="B4">
        <v>493335482.89317501</v>
      </c>
      <c r="C4">
        <v>365129111.39999998</v>
      </c>
      <c r="D4" s="4">
        <v>65411414.027130097</v>
      </c>
    </row>
    <row r="5" spans="1:4" x14ac:dyDescent="0.3">
      <c r="A5">
        <v>211288521.88104701</v>
      </c>
      <c r="B5">
        <v>527910588.51895201</v>
      </c>
      <c r="C5">
        <v>369599555.19999999</v>
      </c>
      <c r="D5" s="4">
        <v>80770935.366812602</v>
      </c>
    </row>
    <row r="6" spans="1:4" x14ac:dyDescent="0.3">
      <c r="A6">
        <v>271818835.47760701</v>
      </c>
      <c r="B6">
        <v>476321162.52239299</v>
      </c>
      <c r="C6">
        <v>374069999</v>
      </c>
      <c r="D6" s="4">
        <v>52168960.980812699</v>
      </c>
    </row>
    <row r="7" spans="1:4" x14ac:dyDescent="0.3">
      <c r="A7">
        <v>275066745.72589803</v>
      </c>
      <c r="B7">
        <v>482014139.874102</v>
      </c>
      <c r="C7">
        <v>378540442.80000001</v>
      </c>
      <c r="D7" s="4">
        <v>52792702.588827498</v>
      </c>
    </row>
    <row r="8" spans="1:4" x14ac:dyDescent="0.3">
      <c r="A8">
        <v>218385976.757341</v>
      </c>
      <c r="B8">
        <v>547635796.44265902</v>
      </c>
      <c r="C8">
        <v>383010886.60000002</v>
      </c>
      <c r="D8" s="4">
        <v>83992300.940132096</v>
      </c>
    </row>
    <row r="9" spans="1:4" x14ac:dyDescent="0.3">
      <c r="A9">
        <v>247334082.50986499</v>
      </c>
      <c r="B9">
        <v>527628578.29013401</v>
      </c>
      <c r="C9">
        <v>387481330.39999998</v>
      </c>
      <c r="D9" s="4">
        <v>71503697.903129905</v>
      </c>
    </row>
    <row r="10" spans="1:4" x14ac:dyDescent="0.3">
      <c r="A10">
        <v>292947750.87766302</v>
      </c>
      <c r="B10">
        <v>490955797.52233601</v>
      </c>
      <c r="C10">
        <v>391951774.19999999</v>
      </c>
      <c r="D10" s="4">
        <v>50512256.797110297</v>
      </c>
    </row>
    <row r="11" spans="1:4" x14ac:dyDescent="0.3">
      <c r="A11">
        <v>260903778.01969001</v>
      </c>
      <c r="B11">
        <v>531940657.98030901</v>
      </c>
      <c r="C11">
        <v>396422218</v>
      </c>
      <c r="D11" s="4">
        <v>69142061.214443594</v>
      </c>
    </row>
    <row r="12" spans="1:4" x14ac:dyDescent="0.3">
      <c r="A12">
        <v>299416081.59219801</v>
      </c>
      <c r="B12">
        <v>502369242.00780201</v>
      </c>
      <c r="C12">
        <v>400892661.80000001</v>
      </c>
      <c r="D12">
        <v>51773765.412143797</v>
      </c>
    </row>
    <row r="13" spans="1:4" x14ac:dyDescent="0.3">
      <c r="A13" s="4">
        <v>302837600.501881</v>
      </c>
      <c r="B13" s="4">
        <v>507888610.69811898</v>
      </c>
      <c r="C13" s="4">
        <v>405363105.60000002</v>
      </c>
      <c r="D13">
        <v>52308931.1725097</v>
      </c>
    </row>
    <row r="14" spans="1:4" x14ac:dyDescent="0.3">
      <c r="A14">
        <v>280596198.44632602</v>
      </c>
      <c r="B14">
        <v>539070900.35367298</v>
      </c>
      <c r="C14">
        <v>409833549.39999998</v>
      </c>
      <c r="D14">
        <v>65937423.955955699</v>
      </c>
    </row>
    <row r="15" spans="1:4" x14ac:dyDescent="0.3">
      <c r="A15">
        <v>357594817.57747799</v>
      </c>
      <c r="B15">
        <v>471013168.82252097</v>
      </c>
      <c r="C15">
        <v>414303993.19999999</v>
      </c>
      <c r="D15">
        <v>28933252.868633401</v>
      </c>
    </row>
    <row r="16" spans="1:4" x14ac:dyDescent="0.3">
      <c r="A16">
        <v>359366154.30884397</v>
      </c>
      <c r="B16">
        <v>478182719.69115603</v>
      </c>
      <c r="C16">
        <v>418774437</v>
      </c>
      <c r="D16">
        <v>30310348.3118142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t="s">
        <v>16</v>
      </c>
      <c r="D1" t="s">
        <v>2</v>
      </c>
    </row>
    <row r="2" spans="1:4" x14ac:dyDescent="0.3">
      <c r="A2">
        <v>199030451.80705199</v>
      </c>
      <c r="B2">
        <v>402097648.59294701</v>
      </c>
      <c r="C2">
        <v>300564050.19999999</v>
      </c>
      <c r="D2" s="4">
        <v>51802856.322932303</v>
      </c>
    </row>
    <row r="3" spans="1:4" x14ac:dyDescent="0.3">
      <c r="A3">
        <v>215863571.392382</v>
      </c>
      <c r="B3">
        <v>385264529.007617</v>
      </c>
      <c r="C3">
        <v>300564050.19999999</v>
      </c>
      <c r="D3" s="4">
        <v>43214530.0038862</v>
      </c>
    </row>
    <row r="4" spans="1:4" x14ac:dyDescent="0.3">
      <c r="A4">
        <v>196510081.27721</v>
      </c>
      <c r="B4">
        <v>409185694.36768901</v>
      </c>
      <c r="C4">
        <v>302847887.82244998</v>
      </c>
      <c r="D4" s="4">
        <v>54253982.931244701</v>
      </c>
    </row>
    <row r="5" spans="1:4" x14ac:dyDescent="0.3">
      <c r="A5">
        <v>174839783.46091101</v>
      </c>
      <c r="B5">
        <v>436842343.16968501</v>
      </c>
      <c r="C5">
        <v>305841063.31529802</v>
      </c>
      <c r="D5" s="4">
        <v>66837387.680809699</v>
      </c>
    </row>
    <row r="6" spans="1:4" x14ac:dyDescent="0.3">
      <c r="A6">
        <v>224249898.212284</v>
      </c>
      <c r="B6">
        <v>392963835.726547</v>
      </c>
      <c r="C6">
        <v>308606866.96941602</v>
      </c>
      <c r="D6" s="4">
        <v>43039269.7740466</v>
      </c>
    </row>
    <row r="7" spans="1:4" x14ac:dyDescent="0.3">
      <c r="A7">
        <v>226015862.20732501</v>
      </c>
      <c r="B7">
        <v>396059658.65582401</v>
      </c>
      <c r="C7">
        <v>311037760.43157399</v>
      </c>
      <c r="D7" s="4">
        <v>43378519.502168</v>
      </c>
    </row>
    <row r="8" spans="1:4" x14ac:dyDescent="0.3">
      <c r="A8">
        <v>178653562.48375499</v>
      </c>
      <c r="B8">
        <v>448000771.06975102</v>
      </c>
      <c r="C8">
        <v>313327166.77675301</v>
      </c>
      <c r="D8" s="4">
        <v>68711022.598468393</v>
      </c>
    </row>
    <row r="9" spans="1:4" x14ac:dyDescent="0.3">
      <c r="A9">
        <v>201381214.64840701</v>
      </c>
      <c r="B9">
        <v>429599038.27666599</v>
      </c>
      <c r="C9">
        <v>315490126.46253598</v>
      </c>
      <c r="D9" s="4">
        <v>58218832.558229201</v>
      </c>
    </row>
    <row r="10" spans="1:4" x14ac:dyDescent="0.3">
      <c r="A10">
        <v>237364809.29706299</v>
      </c>
      <c r="B10">
        <v>397803461.207807</v>
      </c>
      <c r="C10">
        <v>317584135.25243503</v>
      </c>
      <c r="D10" s="4">
        <v>40928227.528250903</v>
      </c>
    </row>
    <row r="11" spans="1:4" x14ac:dyDescent="0.3">
      <c r="A11">
        <v>210361155.55546999</v>
      </c>
      <c r="B11">
        <v>428892415.23834801</v>
      </c>
      <c r="C11">
        <v>319626785.396909</v>
      </c>
      <c r="D11" s="4">
        <v>55747770.327264898</v>
      </c>
    </row>
    <row r="12" spans="1:4" x14ac:dyDescent="0.3">
      <c r="A12">
        <v>240223047.27177399</v>
      </c>
      <c r="B12">
        <v>403053401.57076597</v>
      </c>
      <c r="C12">
        <v>321638224.42127001</v>
      </c>
      <c r="D12">
        <v>41538355.688518502</v>
      </c>
    </row>
    <row r="13" spans="1:4" x14ac:dyDescent="0.3">
      <c r="A13" s="4">
        <v>241775195.42493701</v>
      </c>
      <c r="B13" s="4">
        <v>405480917.50210202</v>
      </c>
      <c r="C13" s="4">
        <v>323628056.46351999</v>
      </c>
      <c r="D13">
        <v>41761663.795194998</v>
      </c>
    </row>
    <row r="14" spans="1:4" x14ac:dyDescent="0.3">
      <c r="A14">
        <v>222927783.258414</v>
      </c>
      <c r="B14">
        <v>428280502.374479</v>
      </c>
      <c r="C14">
        <v>325604142.81644601</v>
      </c>
      <c r="D14">
        <v>52385897.733690001</v>
      </c>
    </row>
    <row r="15" spans="1:4" x14ac:dyDescent="0.3">
      <c r="A15">
        <v>282733674.72048497</v>
      </c>
      <c r="B15">
        <v>372408316.66716802</v>
      </c>
      <c r="C15">
        <v>327570995.69382602</v>
      </c>
      <c r="D15">
        <v>22876184.170072101</v>
      </c>
    </row>
    <row r="16" spans="1:4" x14ac:dyDescent="0.3">
      <c r="A16">
        <v>282783730.36725801</v>
      </c>
      <c r="B16">
        <v>376279990.89534301</v>
      </c>
      <c r="C16">
        <v>329531860.63130099</v>
      </c>
      <c r="D16">
        <v>23851086.8694092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workbookViewId="0">
      <selection activeCell="G3" sqref="G3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t="s">
        <v>16</v>
      </c>
      <c r="D1" t="s">
        <v>2</v>
      </c>
    </row>
    <row r="2" spans="1:4" x14ac:dyDescent="0.3">
      <c r="A2">
        <v>19990080.4826767</v>
      </c>
      <c r="B2">
        <v>40385600.717323199</v>
      </c>
      <c r="C2">
        <v>30187840.600000001</v>
      </c>
      <c r="D2" s="4">
        <v>5202938.8353690198</v>
      </c>
    </row>
    <row r="3" spans="1:4" x14ac:dyDescent="0.3">
      <c r="A3">
        <v>23639891.260379501</v>
      </c>
      <c r="B3">
        <v>42191517.139620401</v>
      </c>
      <c r="C3">
        <v>32915704.199999999</v>
      </c>
      <c r="D3" s="4">
        <v>4732557.62225533</v>
      </c>
    </row>
    <row r="4" spans="1:4" x14ac:dyDescent="0.3">
      <c r="A4">
        <v>23128179.812481102</v>
      </c>
      <c r="B4">
        <v>48158955.787518799</v>
      </c>
      <c r="C4">
        <v>35643567.799999997</v>
      </c>
      <c r="D4" s="4">
        <v>6385402.0344483703</v>
      </c>
    </row>
    <row r="5" spans="1:4" x14ac:dyDescent="0.3">
      <c r="A5">
        <v>21935748.863601401</v>
      </c>
      <c r="B5">
        <v>54807113.936398499</v>
      </c>
      <c r="C5">
        <v>38371431.399999999</v>
      </c>
      <c r="D5" s="4">
        <v>8385552.3144890498</v>
      </c>
    </row>
    <row r="6" spans="1:4" x14ac:dyDescent="0.3">
      <c r="A6">
        <v>29864898.376548599</v>
      </c>
      <c r="B6">
        <v>52333691.623451397</v>
      </c>
      <c r="C6">
        <v>41099295</v>
      </c>
      <c r="D6" s="4">
        <v>5731835.0119650001</v>
      </c>
    </row>
    <row r="7" spans="1:4" x14ac:dyDescent="0.3">
      <c r="A7">
        <v>31847043.347186498</v>
      </c>
      <c r="B7">
        <v>55807273.8528134</v>
      </c>
      <c r="C7">
        <v>43827158.600000001</v>
      </c>
      <c r="D7" s="4">
        <v>6112303.7004150096</v>
      </c>
    </row>
    <row r="8" spans="1:4" x14ac:dyDescent="0.3">
      <c r="A8">
        <v>26544843.376017701</v>
      </c>
      <c r="B8">
        <v>66565201.023982197</v>
      </c>
      <c r="C8">
        <v>46555022.200000003</v>
      </c>
      <c r="D8" s="4">
        <v>10209274.910195</v>
      </c>
    </row>
    <row r="9" spans="1:4" x14ac:dyDescent="0.3">
      <c r="A9">
        <v>31457870.060986701</v>
      </c>
      <c r="B9">
        <v>67107901.5390132</v>
      </c>
      <c r="C9">
        <v>49282885.799999997</v>
      </c>
      <c r="D9" s="4">
        <v>9094395.7852108497</v>
      </c>
    </row>
    <row r="10" spans="1:4" x14ac:dyDescent="0.3">
      <c r="A10">
        <v>38873231.507346503</v>
      </c>
      <c r="B10">
        <v>65148267.292653501</v>
      </c>
      <c r="C10">
        <v>52010749.399999999</v>
      </c>
      <c r="D10" s="4">
        <v>6702815.2513538199</v>
      </c>
    </row>
    <row r="11" spans="1:4" x14ac:dyDescent="0.3">
      <c r="A11">
        <v>36026010.366698802</v>
      </c>
      <c r="B11">
        <v>73451215.633301094</v>
      </c>
      <c r="C11">
        <v>54738613</v>
      </c>
      <c r="D11" s="4">
        <v>9547246.2414801791</v>
      </c>
    </row>
    <row r="12" spans="1:4" x14ac:dyDescent="0.3">
      <c r="A12">
        <v>42920185.092002898</v>
      </c>
      <c r="B12">
        <v>72012768.107997</v>
      </c>
      <c r="C12">
        <v>57466476.600000001</v>
      </c>
      <c r="D12" s="4">
        <v>7421577.2999985004</v>
      </c>
    </row>
    <row r="13" spans="1:4" x14ac:dyDescent="0.3">
      <c r="A13">
        <v>44969829.020280503</v>
      </c>
      <c r="B13">
        <v>75418851.379719496</v>
      </c>
      <c r="C13">
        <v>60194340.200000003</v>
      </c>
      <c r="D13" s="4">
        <v>7767607.7447548397</v>
      </c>
    </row>
    <row r="14" spans="1:4" x14ac:dyDescent="0.3">
      <c r="A14">
        <v>43080248.578949101</v>
      </c>
      <c r="B14">
        <v>82764159.0210509</v>
      </c>
      <c r="C14">
        <v>62922203.799999997</v>
      </c>
      <c r="D14" s="4">
        <v>10123446.541352499</v>
      </c>
    </row>
    <row r="15" spans="1:4" x14ac:dyDescent="0.3">
      <c r="A15">
        <v>56664005.805320203</v>
      </c>
      <c r="B15">
        <v>74636128.994679704</v>
      </c>
      <c r="C15">
        <v>65650067.399999999</v>
      </c>
      <c r="D15" s="4">
        <v>4584725.3034080202</v>
      </c>
    </row>
    <row r="16" spans="1:4" x14ac:dyDescent="0.3">
      <c r="A16">
        <v>58677684.051344</v>
      </c>
      <c r="B16">
        <v>78078177.948655903</v>
      </c>
      <c r="C16">
        <v>68377931</v>
      </c>
      <c r="D16" s="4">
        <v>4949105.5860489402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0"/>
  <sheetViews>
    <sheetView zoomScale="77" zoomScaleNormal="77" workbookViewId="0">
      <selection activeCell="B2" sqref="B2"/>
    </sheetView>
  </sheetViews>
  <sheetFormatPr defaultRowHeight="14.4" x14ac:dyDescent="0.3"/>
  <cols>
    <col min="2" max="11" width="12" bestFit="1" customWidth="1"/>
    <col min="13" max="13" width="12.88671875" bestFit="1" customWidth="1"/>
  </cols>
  <sheetData>
    <row r="1" spans="1:24" x14ac:dyDescent="0.3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4" x14ac:dyDescent="0.3">
      <c r="A2" s="5" t="s">
        <v>4</v>
      </c>
      <c r="B2" s="4">
        <f ca="1">_xlfn.NORM.INV(RAND(),Measles!$C2,Measles!$D$2)</f>
        <v>362884096.83346754</v>
      </c>
      <c r="C2" s="4">
        <f ca="1">_xlfn.NORM.INV(RAND(),Measles!$C3,Measles!$D$2)</f>
        <v>527559268.65152407</v>
      </c>
      <c r="D2" s="4">
        <f ca="1">_xlfn.NORM.INV(RAND(),Measles!$C4,Measles!$D$2)</f>
        <v>540478167.02181292</v>
      </c>
      <c r="E2" s="4">
        <f ca="1">_xlfn.NORM.INV(RAND(),Measles!$C5,Measles!$D$2)</f>
        <v>473818802.67396188</v>
      </c>
      <c r="F2" s="4">
        <f ca="1">_xlfn.NORM.INV(RAND(),Measles!$C6,Measles!$D$2)</f>
        <v>558373124.02731562</v>
      </c>
      <c r="G2" s="4">
        <f ca="1">_xlfn.NORM.INV(RAND(),Measles!$C7,Measles!$D$2)</f>
        <v>585248904.9507854</v>
      </c>
      <c r="H2" s="4">
        <f ca="1">_xlfn.NORM.INV(RAND(),Measles!$C8,Measles!$D$2)</f>
        <v>583217299.26573563</v>
      </c>
      <c r="I2" s="4">
        <f ca="1">_xlfn.NORM.INV(RAND(),Measles!$C9,Measles!$D$2)</f>
        <v>679601106.7353406</v>
      </c>
      <c r="J2" s="4">
        <f ca="1">_xlfn.NORM.INV(RAND(),Measles!$C10,Measles!$D$2)</f>
        <v>627868459.52424717</v>
      </c>
      <c r="K2" s="4">
        <f ca="1">_xlfn.NORM.INV(RAND(),Measles!$C11,Measles!$D$2)</f>
        <v>644044073.50778949</v>
      </c>
    </row>
    <row r="3" spans="1:24" x14ac:dyDescent="0.3">
      <c r="A3" s="5" t="s">
        <v>5</v>
      </c>
      <c r="B3" s="4">
        <f ca="1">_xlfn.NORM.INV(RAND(),Mumps!$C2,Mumps!$D$2)</f>
        <v>28197519.686688609</v>
      </c>
      <c r="C3" s="4">
        <f ca="1">_xlfn.NORM.INV(RAND(),Mumps!$C3,Mumps!$D$2)</f>
        <v>33104382.486176554</v>
      </c>
      <c r="D3" s="4">
        <f ca="1">_xlfn.NORM.INV(RAND(),Mumps!$C4,Mumps!$D$2)</f>
        <v>28130901.443310194</v>
      </c>
      <c r="E3" s="4">
        <f ca="1">_xlfn.NORM.INV(RAND(),Mumps!$C5,Mumps!$D$2)</f>
        <v>31916779.705372646</v>
      </c>
      <c r="F3" s="4">
        <f ca="1">_xlfn.NORM.INV(RAND(),Mumps!$C6,Mumps!$D$2)</f>
        <v>31991016.805642638</v>
      </c>
      <c r="G3" s="4">
        <f ca="1">_xlfn.NORM.INV(RAND(),Mumps!$C7,Mumps!$D$2)</f>
        <v>28844296.153791036</v>
      </c>
      <c r="H3" s="4">
        <f ca="1">_xlfn.NORM.INV(RAND(),Mumps!$C8,Mumps!$D$2)</f>
        <v>34512639.889883049</v>
      </c>
      <c r="I3" s="4">
        <f ca="1">_xlfn.NORM.INV(RAND(),Mumps!$C9,Mumps!$D$2)</f>
        <v>35489049.755324714</v>
      </c>
      <c r="J3" s="4">
        <f ca="1">_xlfn.NORM.INV(RAND(),Mumps!$C10,Mumps!$D$2)</f>
        <v>29220978.229427118</v>
      </c>
      <c r="K3" s="4">
        <f ca="1">_xlfn.NORM.INV(RAND(),Mumps!$C11,Mumps!$D$2)</f>
        <v>38506800.935488775</v>
      </c>
    </row>
    <row r="4" spans="1:24" x14ac:dyDescent="0.3">
      <c r="A4" s="5" t="s">
        <v>6</v>
      </c>
      <c r="B4" s="4">
        <f ca="1">_xlfn.NORM.INV(RAND(),Rubella!$C2,Rubella!$D$2)</f>
        <v>324064524.66340053</v>
      </c>
      <c r="C4" s="4">
        <f ca="1">_xlfn.NORM.INV(RAND(),Rubella!$C3,Rubella!$D$2)</f>
        <v>388440003.58979893</v>
      </c>
      <c r="D4" s="4">
        <f ca="1">_xlfn.NORM.INV(RAND(),Rubella!$C4,Rubella!$D$2)</f>
        <v>395827678.96909899</v>
      </c>
      <c r="E4" s="4">
        <f ca="1">_xlfn.NORM.INV(RAND(),Rubella!$C5,Rubella!$D$2)</f>
        <v>378884611.99120545</v>
      </c>
      <c r="F4" s="4">
        <f ca="1">_xlfn.NORM.INV(RAND(),Rubella!$C6,Rubella!$D$2)</f>
        <v>508084210.38290584</v>
      </c>
      <c r="G4" s="4">
        <f ca="1">_xlfn.NORM.INV(RAND(),Rubella!$C7,Rubella!$D$2)</f>
        <v>525189986.48082769</v>
      </c>
      <c r="H4" s="4">
        <f ca="1">_xlfn.NORM.INV(RAND(),Rubella!$C8,Rubella!$D$2)</f>
        <v>458780597.28585184</v>
      </c>
      <c r="I4" s="4">
        <f ca="1">_xlfn.NORM.INV(RAND(),Rubella!$C9,Rubella!$D$2)</f>
        <v>543232180.43985224</v>
      </c>
      <c r="J4" s="4">
        <f ca="1">_xlfn.NORM.INV(RAND(),Rubella!$C10,Rubella!$D$2)</f>
        <v>527195368.14498329</v>
      </c>
      <c r="K4" s="4">
        <f ca="1">_xlfn.NORM.INV(RAND(),Rubella!$C11,Rubella!$D$2)</f>
        <v>602495101.72033203</v>
      </c>
    </row>
    <row r="5" spans="1:24" x14ac:dyDescent="0.3">
      <c r="A5" s="5" t="s">
        <v>7</v>
      </c>
      <c r="B5" s="4">
        <f ca="1">_xlfn.NORM.INV(RAND(),Diphtheria!$C2,Diphtheria!$D$2)</f>
        <v>716519024.4870826</v>
      </c>
      <c r="C5" s="4">
        <f ca="1">_xlfn.NORM.INV(RAND(),Diphtheria!$C3,Diphtheria!$D$2)</f>
        <v>548556000.45124471</v>
      </c>
      <c r="D5" s="4">
        <f ca="1">_xlfn.NORM.INV(RAND(),Diphtheria!$C4,Diphtheria!$D$2)</f>
        <v>368019826.84378481</v>
      </c>
      <c r="E5" s="4">
        <f ca="1">_xlfn.NORM.INV(RAND(),Diphtheria!$C5,Diphtheria!$D$2)</f>
        <v>742146561.51151669</v>
      </c>
      <c r="F5" s="4">
        <f ca="1">_xlfn.NORM.INV(RAND(),Diphtheria!$C6,Diphtheria!$D$2)</f>
        <v>882629128.56951523</v>
      </c>
      <c r="G5" s="4">
        <f ca="1">_xlfn.NORM.INV(RAND(),Diphtheria!$C8,Diphtheria!$D$2)</f>
        <v>1037354437.6905884</v>
      </c>
      <c r="H5" s="4">
        <f ca="1">_xlfn.NORM.INV(RAND(),Diphtheria!$C9,Diphtheria!$D$2)</f>
        <v>961477887.53899074</v>
      </c>
      <c r="I5" s="4">
        <f ca="1">_xlfn.NORM.INV(RAND(),Diphtheria!$C10,Diphtheria!$D$2)</f>
        <v>882671967.98047364</v>
      </c>
      <c r="J5" s="4">
        <f ca="1">_xlfn.NORM.INV(RAND(),Diphtheria!$C10,Diphtheria!$D$2)</f>
        <v>884890194.32102013</v>
      </c>
      <c r="K5" s="4">
        <f ca="1">_xlfn.NORM.INV(RAND(),Diphtheria!$C11,Diphtheria!$D$2)</f>
        <v>1033645044.9912246</v>
      </c>
    </row>
    <row r="6" spans="1:24" x14ac:dyDescent="0.3">
      <c r="A6" s="5" t="s">
        <v>8</v>
      </c>
      <c r="B6" s="4">
        <f ca="1">_xlfn.NORM.INV(RAND(),Tetanus!$C2,Tetanus!$D$2)</f>
        <v>618270347.03430653</v>
      </c>
      <c r="C6" s="4">
        <f ca="1">_xlfn.NORM.INV(RAND(),Tetanus!$C3,Tetanus!$D$2)</f>
        <v>580369592.3529923</v>
      </c>
      <c r="D6" s="4">
        <f ca="1">_xlfn.NORM.INV(RAND(),Tetanus!$C4,Tetanus!$D$2)</f>
        <v>720846487.18493354</v>
      </c>
      <c r="E6" s="4">
        <f ca="1">_xlfn.NORM.INV(RAND(),Tetanus!$C5,Tetanus!$D$2)</f>
        <v>676529590.05393624</v>
      </c>
      <c r="F6" s="4">
        <f ca="1">_xlfn.NORM.INV(RAND(),Tetanus!$C6,Tetanus!$D$2)</f>
        <v>899584844.22148037</v>
      </c>
      <c r="G6" s="4">
        <f ca="1">_xlfn.NORM.INV(RAND(),Tetanus!$C7,Tetanus!$D$2)</f>
        <v>644063355.79327989</v>
      </c>
      <c r="H6" s="4">
        <f ca="1">_xlfn.NORM.INV(RAND(),Tetanus!$C8,Tetanus!$D$2)</f>
        <v>759296849.90053654</v>
      </c>
      <c r="I6" s="4">
        <f ca="1">_xlfn.NORM.INV(RAND(),Tetanus!$C9,Tetanus!$D$2)</f>
        <v>732894766.375036</v>
      </c>
      <c r="J6" s="4">
        <f ca="1">_xlfn.NORM.INV(RAND(),Tetanus!$C10,Tetanus!$D$2)</f>
        <v>757934912.01489079</v>
      </c>
      <c r="K6" s="4">
        <f ca="1">_xlfn.NORM.INV(RAND(),Tetanus!$C11,Tetanus!$D$2)</f>
        <v>728167284.01332724</v>
      </c>
    </row>
    <row r="7" spans="1:24" x14ac:dyDescent="0.3">
      <c r="A7" s="5" t="s">
        <v>9</v>
      </c>
      <c r="B7" s="4">
        <f ca="1">_xlfn.NORM.INV(RAND(),Pertussis!$C2,Pertussis!$D$2)</f>
        <v>357962965.07906479</v>
      </c>
      <c r="C7" s="4">
        <f ca="1">_xlfn.NORM.INV(RAND(),Pertussis!$C2,Pertussis!$D$2)</f>
        <v>385984923.65423208</v>
      </c>
      <c r="D7" s="4">
        <f ca="1">_xlfn.NORM.INV(RAND(),Pertussis!$C4,Pertussis!$D$2)</f>
        <v>399300205.69818771</v>
      </c>
      <c r="E7" s="4">
        <f ca="1">_xlfn.NORM.INV(RAND(),Pertussis!$C5,Pertussis!$D$2)</f>
        <v>315721924.93538284</v>
      </c>
      <c r="F7" s="4">
        <f ca="1">_xlfn.NORM.INV(RAND(),Pertussis!$C6,Pertussis!$D$2)</f>
        <v>328108391.16257685</v>
      </c>
      <c r="G7" s="4">
        <f ca="1">_xlfn.NORM.INV(RAND(),Pertussis!$C7,Pertussis!$D$2)</f>
        <v>338154549.02416116</v>
      </c>
      <c r="H7" s="4">
        <f ca="1">_xlfn.NORM.INV(RAND(),Pertussis!$C8,Pertussis!$D$2)</f>
        <v>437844990.14128888</v>
      </c>
      <c r="I7" s="4">
        <f ca="1">_xlfn.NORM.INV(RAND(),Pertussis!$C9,Pertussis!$D$2)</f>
        <v>341627708.46030927</v>
      </c>
      <c r="J7" s="4">
        <f ca="1">_xlfn.NORM.INV(RAND(),Pertussis!$C10,Pertussis!$D$2)</f>
        <v>369807362.54598725</v>
      </c>
      <c r="K7" s="4">
        <f ca="1">_xlfn.NORM.INV(RAND(),Pertussis!$C11,Pertussis!$D$2)</f>
        <v>464537478.96020603</v>
      </c>
    </row>
    <row r="8" spans="1:24" x14ac:dyDescent="0.3">
      <c r="A8" s="5" t="s">
        <v>10</v>
      </c>
      <c r="B8" s="4">
        <f ca="1">_xlfn.NORM.INV(RAND(),Hepatitis_B!$C2,Hepatitis_B!$D$2)</f>
        <v>294789184.59256047</v>
      </c>
      <c r="C8" s="4">
        <f ca="1">_xlfn.NORM.INV(RAND(),Hepatitis_B!$C3,Hepatitis_B!$D$2)</f>
        <v>337903178.34019881</v>
      </c>
      <c r="D8" s="4">
        <f ca="1">_xlfn.NORM.INV(RAND(),Hepatitis_B!$C4,Hepatitis_B!$D$2)</f>
        <v>437358133.36150169</v>
      </c>
      <c r="E8" s="4">
        <f ca="1">_xlfn.NORM.INV(RAND(),Hepatitis_B!$C5,Hepatitis_B!$D$2)</f>
        <v>344007538.62837195</v>
      </c>
      <c r="F8" s="4">
        <f ca="1">_xlfn.NORM.INV(RAND(),Hepatitis_B!$C6,Hepatitis_B!$D$2)</f>
        <v>411339813.82015568</v>
      </c>
      <c r="G8" s="4">
        <f ca="1">_xlfn.NORM.INV(RAND(),Hepatitis_B!$C7,Hepatitis_B!$D$2)</f>
        <v>472659087.86237627</v>
      </c>
      <c r="H8" s="4">
        <f ca="1">_xlfn.NORM.INV(RAND(),Hepatitis_B!$C8,Hepatitis_B!$D$2)</f>
        <v>297017886.09161115</v>
      </c>
      <c r="I8" s="4">
        <f ca="1">_xlfn.NORM.INV(RAND(),Hepatitis_B!$C9,Hepatitis_B!$D$2)</f>
        <v>374286457.92392427</v>
      </c>
      <c r="J8" s="4">
        <f ca="1">_xlfn.NORM.INV(RAND(),Hepatitis_B!$C10,Hepatitis_B!$D$2)</f>
        <v>423842089.59252286</v>
      </c>
      <c r="K8" s="4">
        <f ca="1">_xlfn.NORM.INV(RAND(),Hepatitis_B!$C11,Hepatitis_B!$D$2)</f>
        <v>338479479.93275744</v>
      </c>
    </row>
    <row r="9" spans="1:24" x14ac:dyDescent="0.3">
      <c r="A9" s="5" t="s">
        <v>11</v>
      </c>
      <c r="B9" s="4">
        <f ca="1">_xlfn.NORM.INV(RAND(),Hib!$C2,Hib!$D$2)</f>
        <v>386197948.97212666</v>
      </c>
      <c r="C9" s="4">
        <f ca="1">_xlfn.NORM.INV(RAND(),Hib!$C3,Hib!$D$2)</f>
        <v>184555103.04430473</v>
      </c>
      <c r="D9" s="4">
        <f ca="1">_xlfn.NORM.INV(RAND(),Hib!$C4,Hib!$D$2)</f>
        <v>331775643.07944691</v>
      </c>
      <c r="E9" s="4">
        <f ca="1">_xlfn.NORM.INV(RAND(),Hib!$C5,Hib!$D$2)</f>
        <v>214548788.52759385</v>
      </c>
      <c r="F9" s="4">
        <f ca="1">_xlfn.NORM.INV(RAND(),Hib!$C6,Hib!$D$2)</f>
        <v>283087150.98930007</v>
      </c>
      <c r="G9" s="4">
        <f ca="1">_xlfn.NORM.INV(RAND(),Hib!$C7,Hib!$D$2)</f>
        <v>347683369.15839118</v>
      </c>
      <c r="H9" s="4">
        <f ca="1">_xlfn.NORM.INV(RAND(),Hib!$C8,Hib!$D$2)</f>
        <v>290663911.7408855</v>
      </c>
      <c r="I9" s="4">
        <f ca="1">_xlfn.NORM.INV(RAND(),Hib!$C9,Hib!$D$2)</f>
        <v>469621560.95004302</v>
      </c>
      <c r="J9" s="4">
        <f ca="1">_xlfn.NORM.INV(RAND(),Hib!$C10,Hib!$D$2)</f>
        <v>348947545.65683019</v>
      </c>
      <c r="K9" s="4">
        <f ca="1">_xlfn.NORM.INV(RAND(),Hib!$C11,Hib!$D$2)</f>
        <v>314958776.12185615</v>
      </c>
    </row>
    <row r="10" spans="1:24" x14ac:dyDescent="0.3">
      <c r="A10" s="5" t="s">
        <v>12</v>
      </c>
      <c r="B10" s="4">
        <f ca="1">_xlfn.NORM.INV(RAND(),Polio!$C2,Polio!$D$2)</f>
        <v>698468020.36813533</v>
      </c>
      <c r="C10" s="4">
        <f ca="1">_xlfn.NORM.INV(RAND(),Polio!$C3,Polio!$D$2)</f>
        <v>528983371.95985216</v>
      </c>
      <c r="D10" s="4">
        <f ca="1">_xlfn.NORM.INV(RAND(),Polio!$C4,Polio!$D$2)</f>
        <v>354869877.77646333</v>
      </c>
      <c r="E10" s="4">
        <f ca="1">_xlfn.NORM.INV(RAND(),Polio!$C5,Polio!$D$2)</f>
        <v>696391729.64604211</v>
      </c>
      <c r="F10" s="4">
        <f ca="1">_xlfn.NORM.INV(RAND(),Polio!$C6,Polio!$D$2)</f>
        <v>750115507.51990473</v>
      </c>
      <c r="G10" s="4">
        <f ca="1">_xlfn.NORM.INV(RAND(),Polio!$C7,Polio!$D$2)</f>
        <v>932331996.55546904</v>
      </c>
      <c r="H10" s="4">
        <f ca="1">_xlfn.NORM.INV(RAND(),Polio!$C8,Polio!$D$2)</f>
        <v>839261538.44331825</v>
      </c>
      <c r="I10" s="4">
        <f ca="1">_xlfn.NORM.INV(RAND(),Polio!$C9,Polio!$D$2)</f>
        <v>832255072.15663481</v>
      </c>
      <c r="J10" s="4">
        <f ca="1">_xlfn.NORM.INV(RAND(),Polio!$C10,Polio!$D$2)</f>
        <v>925351279.70380986</v>
      </c>
      <c r="K10" s="4">
        <f ca="1">_xlfn.NORM.INV(RAND(),Polio!$C11,Polio!$D$2)</f>
        <v>877891393.17264688</v>
      </c>
    </row>
    <row r="11" spans="1:24" x14ac:dyDescent="0.3">
      <c r="A11" s="5" t="s">
        <v>13</v>
      </c>
      <c r="B11" s="4">
        <f ca="1">_xlfn.NORM.INV(RAND(),HPV!$C2,HPV!$D$2)</f>
        <v>33809335.638964765</v>
      </c>
      <c r="C11" s="4">
        <f ca="1">_xlfn.NORM.INV(RAND(),HPV!$C3,HPV!$D$2)</f>
        <v>23094448.998672906</v>
      </c>
      <c r="D11" s="4">
        <f ca="1">_xlfn.NORM.INV(RAND(),HPV!$C4,HPV!$D$2)</f>
        <v>41606481.899600953</v>
      </c>
      <c r="E11" s="4">
        <f ca="1">_xlfn.NORM.INV(RAND(),HPV!$C5,HPV!$D$2)</f>
        <v>30965158.294107765</v>
      </c>
      <c r="F11" s="4">
        <f ca="1">_xlfn.NORM.INV(RAND(),HPV!$C6,HPV!$D$2)</f>
        <v>28844715.790015806</v>
      </c>
      <c r="G11" s="4">
        <f ca="1">_xlfn.NORM.INV(RAND(),HPV!$C7,HPV!$D$2)</f>
        <v>42401446.343910649</v>
      </c>
      <c r="H11" s="4">
        <f ca="1">_xlfn.NORM.INV(RAND(),HPV!$C8,HPV!$D$2)</f>
        <v>47812455.427732661</v>
      </c>
      <c r="I11" s="4">
        <f ca="1">_xlfn.NORM.INV(RAND(),HPV!$C9,HPV!$D$2)</f>
        <v>47833178.701296888</v>
      </c>
      <c r="J11" s="4">
        <f ca="1">_xlfn.NORM.INV(RAND(),HPV!$C10,HPV!$D$2)</f>
        <v>55124312.984121449</v>
      </c>
      <c r="K11" s="4">
        <f ca="1">_xlfn.NORM.INV(RAND(),HPV!$C11,HPV!$D$2)</f>
        <v>51932134.074550867</v>
      </c>
    </row>
    <row r="12" spans="1:24" x14ac:dyDescent="0.3">
      <c r="A12" s="5" t="s">
        <v>14</v>
      </c>
      <c r="B12" s="4">
        <f ca="1">_xlfn.NORM.INV(RAND(),Rotavirus!$C2,Rotavirus!$D$2)</f>
        <v>163070369.25679088</v>
      </c>
      <c r="C12" s="4">
        <f ca="1">_xlfn.NORM.INV(RAND(),Rotavirus!$C3,Rotavirus!$D$2)</f>
        <v>216613485.98555088</v>
      </c>
      <c r="D12" s="4">
        <f ca="1">_xlfn.NORM.INV(RAND(),Rotavirus!$C4,Rotavirus!$D$2)</f>
        <v>229407803.60394022</v>
      </c>
      <c r="E12" s="4">
        <f ca="1">_xlfn.NORM.INV(RAND(),Rotavirus!$C5,Rotavirus!$D$2)</f>
        <v>274049066.44983482</v>
      </c>
      <c r="F12" s="4">
        <f ca="1">_xlfn.NORM.INV(RAND(),Rotavirus!$C6,Rotavirus!$D$2)</f>
        <v>288902945.27039438</v>
      </c>
      <c r="G12" s="4">
        <f ca="1">_xlfn.NORM.INV(RAND(),Rotavirus!$C7,Rotavirus!$D$2)</f>
        <v>240013482.58909434</v>
      </c>
      <c r="H12" s="4">
        <f ca="1">_xlfn.NORM.INV(RAND(),Rotavirus!$C8,Rotavirus!$D$2)</f>
        <v>308672873.18810976</v>
      </c>
      <c r="I12" s="4">
        <f ca="1">_xlfn.NORM.INV(RAND(),Rotavirus!$C9,Rotavirus!$D$2)</f>
        <v>277183579.26215231</v>
      </c>
      <c r="J12" s="4">
        <f ca="1">_xlfn.NORM.INV(RAND(),Rotavirus!$C10,Rotavirus!$D$2)</f>
        <v>320431284.49357003</v>
      </c>
      <c r="K12" s="4">
        <f ca="1">_xlfn.NORM.INV(RAND(),Rotavirus!$C11,Rotavirus!$D$2)</f>
        <v>291884189.87406081</v>
      </c>
    </row>
    <row r="13" spans="1:24" x14ac:dyDescent="0.3">
      <c r="A13" s="5" t="s">
        <v>15</v>
      </c>
      <c r="B13" s="4">
        <f ca="1">_xlfn.NORM.INV(RAND(),PCV!$C2,PCV!$D$2)</f>
        <v>210330436.09402835</v>
      </c>
      <c r="C13" s="4">
        <f ca="1">_xlfn.NORM.INV(RAND(),PCV!$C3,PCV!$D$2)</f>
        <v>216103294.2738612</v>
      </c>
      <c r="D13" s="4">
        <f ca="1">_xlfn.NORM.INV(RAND(),PCV!$C4,PCV!$D$2)</f>
        <v>171054064.30469936</v>
      </c>
      <c r="E13" s="4">
        <f ca="1">_xlfn.NORM.INV(RAND(),PCV!$C5,PCV!$D$2)</f>
        <v>267939870.07698801</v>
      </c>
      <c r="F13" s="4">
        <f ca="1">_xlfn.NORM.INV(RAND(),PCV!$C6,PCV!$D$2)</f>
        <v>258803511.07610404</v>
      </c>
      <c r="G13" s="4">
        <f ca="1">_xlfn.NORM.INV(RAND(),PCV!$C7,PCV!$D$2)</f>
        <v>271377374.51167816</v>
      </c>
      <c r="H13" s="4">
        <f ca="1">_xlfn.NORM.INV(RAND(),PCV!$C8,PCV!$D$2)</f>
        <v>314235769.64220506</v>
      </c>
      <c r="I13" s="4">
        <f ca="1">_xlfn.NORM.INV(RAND(),PCV!$C9,PCV!$D$2)</f>
        <v>319534848.29913098</v>
      </c>
      <c r="J13" s="4">
        <f ca="1">_xlfn.NORM.INV(RAND(),PCV!$C10,PCV!$D$2)</f>
        <v>330300810.88067639</v>
      </c>
      <c r="K13" s="4">
        <f ca="1">_xlfn.NORM.INV(RAND(),Hepatitis_B!$C11,PCV!$D$2)</f>
        <v>384980061.32444608</v>
      </c>
    </row>
    <row r="15" spans="1:24" x14ac:dyDescent="0.3">
      <c r="A15" s="6" t="s">
        <v>4</v>
      </c>
      <c r="B15" s="7">
        <f ca="1">IF(B2&gt;Measles!B2,Measles!B2,IF(Scenario_data!B2 &lt;Measles!A2,Measles!A2,Scenario_data!B2))</f>
        <v>362884096.83346754</v>
      </c>
      <c r="C15" s="7">
        <f ca="1">IF(C2&gt;Measles!B3,Measles!B3,IF(Scenario_data!C2 &lt;Measles!A3,Measles!A3,Scenario_data!C2))</f>
        <v>527559268.65152407</v>
      </c>
      <c r="D15" s="7">
        <f ca="1">IF(D2&gt;Measles!B4,Measles!B4,IF(Scenario_data!D2 &lt;Measles!A4,Measles!A4,Scenario_data!D2))</f>
        <v>540478167.02181292</v>
      </c>
      <c r="E15" s="7">
        <f ca="1">IF(E2&gt;Measles!B5,Measles!B5,IF(Scenario_data!E2 &lt;Measles!A5,Measles!A5,Scenario_data!E2))</f>
        <v>473818802.67396188</v>
      </c>
      <c r="F15" s="7">
        <f ca="1">IF(F2&gt;Measles!B6,Measles!B6,IF(Scenario_data!F2 &lt;Measles!A6,Measles!A6,Scenario_data!F2))</f>
        <v>558373124.02731562</v>
      </c>
      <c r="G15" s="7">
        <f ca="1">IF(G2&gt;Measles!B7,Measles!B7,IF(Scenario_data!G2 &lt;Measles!A7,Measles!A7,Scenario_data!G2))</f>
        <v>585248904.9507854</v>
      </c>
      <c r="H15" s="7">
        <f ca="1">IF(H2&gt;Measles!B8,Measles!B8,IF(Scenario_data!H2 &lt;Measles!A8,Measles!A8,Scenario_data!H2))</f>
        <v>583217299.26573563</v>
      </c>
      <c r="I15" s="7">
        <f ca="1">IF(I2&gt;Measles!B9,Measles!B9,IF(Scenario_data!I2 &lt;Measles!A9,Measles!A9,Scenario_data!I2))</f>
        <v>679601106.7353406</v>
      </c>
      <c r="J15" s="7">
        <f ca="1">IF(J2&gt;Measles!B10,Measles!B10,IF(Scenario_data!J2 &lt;Measles!A10,Measles!A10,Scenario_data!J2))</f>
        <v>627868459.52424717</v>
      </c>
      <c r="K15" s="7">
        <f ca="1">IF(K2&gt;Measles!B11,Measles!B11,IF(Scenario_data!K2 &lt;Measles!A11,Measles!A11,Scenario_data!K2))</f>
        <v>644044073.50778949</v>
      </c>
      <c r="W15" s="4"/>
      <c r="X15" s="4"/>
    </row>
    <row r="16" spans="1:24" x14ac:dyDescent="0.3">
      <c r="A16" s="6" t="s">
        <v>5</v>
      </c>
      <c r="B16" s="7">
        <f ca="1">IF(B3&gt;Mumps!B2,Mumps!B2,IF(Scenario_data!B3 &lt;Mumps!A2,Mumps!A2,Scenario_data!B3))</f>
        <v>28197519.686688609</v>
      </c>
      <c r="C16" s="7">
        <f ca="1">IF(C3&gt;Mumps!B3,Mumps!B3,IF(Scenario_data!C3 &lt;Mumps!A3,Mumps!A3,Scenario_data!C3))</f>
        <v>33104382.486176554</v>
      </c>
      <c r="D16" s="7">
        <f ca="1">IF(D3&gt;Mumps!B4,Mumps!B4,IF(Scenario_data!D3 &lt;Mumps!A4,Mumps!A4,Scenario_data!D3))</f>
        <v>28130901.443310194</v>
      </c>
      <c r="E16" s="7">
        <f ca="1">IF(E3&gt;Mumps!B5,Mumps!B5,IF(Scenario_data!E3 &lt;Mumps!A5,Mumps!A5,Scenario_data!E3))</f>
        <v>31916779.705372646</v>
      </c>
      <c r="F16" s="7">
        <f ca="1">IF(F3&gt;Mumps!B6,Mumps!B6,IF(Scenario_data!F3 &lt;Mumps!A6,Mumps!A6,Scenario_data!F3))</f>
        <v>31991016.805642638</v>
      </c>
      <c r="G16" s="7">
        <f ca="1">IF(G3&gt;Mumps!B7,Mumps!B7,IF(Scenario_data!G3 &lt;Mumps!A7,Mumps!A7,Scenario_data!G3))</f>
        <v>28844296.153791036</v>
      </c>
      <c r="H16" s="7">
        <f ca="1">IF(H3&gt;Mumps!B8,Mumps!B8,IF(Scenario_data!H3 &lt;Mumps!A8,Mumps!A8,Scenario_data!H3))</f>
        <v>34512639.889883049</v>
      </c>
      <c r="I16" s="7">
        <f ca="1">IF(I3&gt;Mumps!B9,Mumps!B9,IF(Scenario_data!I3 &lt;Mumps!A9,Mumps!A9,Scenario_data!I3))</f>
        <v>35489049.755324714</v>
      </c>
      <c r="J16" s="7">
        <f ca="1">IF(J3&gt;Mumps!B10,Mumps!B10,IF(Scenario_data!J3 &lt;Mumps!A10,Mumps!A10,Scenario_data!J3))</f>
        <v>29220978.229427118</v>
      </c>
      <c r="K16" s="7">
        <f ca="1">IF(K3&gt;Mumps!B11,Mumps!B11,IF(Scenario_data!K3 &lt;Mumps!A11,Mumps!A11,Scenario_data!K3))</f>
        <v>38506800.935488775</v>
      </c>
    </row>
    <row r="17" spans="1:13" x14ac:dyDescent="0.3">
      <c r="A17" s="6" t="s">
        <v>6</v>
      </c>
      <c r="B17" s="7">
        <f ca="1">IF(B4&gt;Rubella!B2,Rubella!B2,IF(Scenario_data!B4 &lt;Rubella!A2,Rubella!A2,Scenario_data!B4))</f>
        <v>324064524.66340053</v>
      </c>
      <c r="C17" s="7">
        <f ca="1">IF(C4&gt;Rubella!B3,Rubella!B3,IF(Scenario_data!C4 &lt;Rubella!A3,Rubella!A3,Scenario_data!C4))</f>
        <v>388440003.58979893</v>
      </c>
      <c r="D17" s="7">
        <f ca="1">IF(D4&gt;Rubella!B4,Rubella!B4,IF(Scenario_data!D4 &lt;Rubella!A4,Rubella!A4,Scenario_data!D4))</f>
        <v>395827678.96909899</v>
      </c>
      <c r="E17" s="7">
        <f ca="1">IF(E4&gt;Rubella!B5,Rubella!B5,IF(Scenario_data!E4 &lt;Rubella!A5,Rubella!A5,Scenario_data!E4))</f>
        <v>378884611.99120545</v>
      </c>
      <c r="F17" s="7">
        <f ca="1">IF(F4&gt;Rubella!B6,Rubella!B6,IF(Scenario_data!F4 &lt;Rubella!A6,Rubella!A6,Scenario_data!F4))</f>
        <v>508084210.38290584</v>
      </c>
      <c r="G17" s="7">
        <f ca="1">IF(G4&gt;Rubella!B7,Rubella!B7,IF(Scenario_data!G4 &lt;Rubella!A7,Rubella!A7,Scenario_data!G4))</f>
        <v>525189986.48082769</v>
      </c>
      <c r="H17" s="7">
        <f ca="1">IF(H4&gt;Rubella!B8,Rubella!B8,IF(Scenario_data!H4 &lt;Rubella!A8,Rubella!A8,Scenario_data!H4))</f>
        <v>458780597.28585184</v>
      </c>
      <c r="I17" s="7">
        <f ca="1">IF(I4&gt;Rubella!B9,Rubella!B9,IF(Scenario_data!I4 &lt;Rubella!A9,Rubella!A9,Scenario_data!I4))</f>
        <v>543232180.43985224</v>
      </c>
      <c r="J17" s="7">
        <f ca="1">IF(J4&gt;Rubella!B10,Rubella!B10,IF(Scenario_data!J4 &lt;Rubella!A10,Rubella!A10,Scenario_data!J4))</f>
        <v>527195368.14498329</v>
      </c>
      <c r="K17" s="7">
        <f ca="1">IF(K4&gt;Rubella!B12=1,Rubella!B11,IF(Scenario_data!K4 &lt;Rubella!A11,Rubella!A11,Scenario_data!K4))</f>
        <v>602495101.72033203</v>
      </c>
    </row>
    <row r="18" spans="1:13" x14ac:dyDescent="0.3">
      <c r="A18" s="6" t="s">
        <v>7</v>
      </c>
      <c r="B18" s="7">
        <f ca="1">IF(B5&gt;Diphtheria!B2,Diphtheria!B2,IF(Scenario_data!B5 &lt;Diphtheria!A2,Diphtheria!A2,Scenario_data!B5))</f>
        <v>716519024.4870826</v>
      </c>
      <c r="C18" s="7">
        <f ca="1">IF(C5&gt;Diphtheria!B3,Diphtheria!B3,IF(Scenario_data!C5 &lt;Diphtheria!A3,Diphtheria!A3,Scenario_data!C5))</f>
        <v>548556000.45124471</v>
      </c>
      <c r="D18" s="7">
        <f ca="1">IF(D5&gt;Diphtheria!B4,Diphtheria!B4,IF(Scenario_data!D5 &lt;Diphtheria!A4,Diphtheria!A4,Scenario_data!D5))</f>
        <v>458561763.78702199</v>
      </c>
      <c r="E18" s="7">
        <f ca="1">IF(E5&gt;Diphtheria!B5,Diphtheria!B5,IF(Scenario_data!E5 &lt;Diphtheria!A5,Diphtheria!A5,Scenario_data!E5))</f>
        <v>742146561.51151669</v>
      </c>
      <c r="F18" s="7">
        <f ca="1">IF(F5&gt;Diphtheria!B6,Diphtheria!B6,IF(Scenario_data!F5 &lt;Diphtheria!A6,Diphtheria!A6,Scenario_data!F5))</f>
        <v>882629128.56951523</v>
      </c>
      <c r="G18" s="7">
        <f ca="1">IF(G5&gt;Diphtheria!B7,Diphtheria!B7,IF(Scenario_data!G5 &lt;Diphtheria!A7,Diphtheria!A7,Scenario_data!G5))</f>
        <v>1002065414.24702</v>
      </c>
      <c r="H18" s="7">
        <f ca="1">IF(H5&gt;Diphtheria!B8,Diphtheria!B8,IF(Scenario_data!H5 &lt;Diphtheria!A8,Diphtheria!A8,Scenario_data!H5))</f>
        <v>961477887.53899074</v>
      </c>
      <c r="I18" s="7">
        <f ca="1">IF(I5&gt;Diphtheria!B9,Diphtheria!B9,IF(Scenario_data!I5 &lt;Diphtheria!A9,Diphtheria!A9,Scenario_data!I5))</f>
        <v>882671967.98047364</v>
      </c>
      <c r="J18" s="7">
        <f ca="1">IF(J5&gt;Diphtheria!B10,Diphtheria!B10,IF(Scenario_data!J5 &lt;Diphtheria!A10,Diphtheria!A10,Scenario_data!J5))</f>
        <v>884890194.32102013</v>
      </c>
      <c r="K18" s="7">
        <f ca="1">IF(K5&gt;Diphtheria!B11,Diphtheria!B11,IF(Scenario_data!K5 &lt;Diphtheria!A11,Diphtheria!A11,Scenario_data!K5))</f>
        <v>1033645044.9912246</v>
      </c>
    </row>
    <row r="19" spans="1:13" x14ac:dyDescent="0.3">
      <c r="A19" s="6" t="s">
        <v>8</v>
      </c>
      <c r="B19" s="7">
        <f ca="1">IF(B6&gt;Tetanus!B2,Tetanus!B2,IF(Scenario_data!B6 &lt;Tetanus!A2,Tetanus!A2,Scenario_data!B6))</f>
        <v>618270347.03430653</v>
      </c>
      <c r="C19" s="7">
        <f ca="1">IF(C6&gt;Tetanus!B3,Tetanus!B3,IF(Scenario_data!C6 &lt;Tetanus!A3,Tetanus!A3,Scenario_data!C6))</f>
        <v>580369592.3529923</v>
      </c>
      <c r="D19" s="7">
        <f ca="1">IF(D6&gt;Tetanus!B4,Tetanus!B4,IF(Scenario_data!D6 &lt;Tetanus!A4,Tetanus!A4,Scenario_data!D6))</f>
        <v>720846487.18493354</v>
      </c>
      <c r="E19" s="7">
        <f ca="1">IF(E6&gt;Tetanus!B5,Tetanus!B5,IF(Scenario_data!E6 &lt;Tetanus!A5,Tetanus!A5,Scenario_data!E6))</f>
        <v>676529590.05393624</v>
      </c>
      <c r="F19" s="7">
        <f ca="1">IF(F6&gt;Tetanus!B6,Tetanus!B6,IF(Scenario_data!F6 &lt;Tetanus!A6,Tetanus!A6,Scenario_data!F6))</f>
        <v>876440509.95524597</v>
      </c>
      <c r="G19" s="7">
        <f ca="1">IF(G6&gt;Tetanus!B7,Tetanus!B7,IF(Scenario_data!G6 &lt;Tetanus!A7,Tetanus!A7,Scenario_data!G6))</f>
        <v>644063355.79327989</v>
      </c>
      <c r="H19" s="7">
        <f ca="1">IF(H6&gt;Tetanus!B8,Tetanus!B8,IF(Scenario_data!H6 &lt;Tetanus!A8,Tetanus!A8,Scenario_data!H6))</f>
        <v>759296849.90053654</v>
      </c>
      <c r="I19" s="7">
        <f ca="1">IF(I6&gt;Tetanus!B9,Tetanus!B9,IF(Scenario_data!I6 &lt;Tetanus!A9,Tetanus!A9,Scenario_data!I6))</f>
        <v>732894766.375036</v>
      </c>
      <c r="J19" s="7">
        <f ca="1">IF(J6&gt;Tetanus!B10,Tetanus!B10,IF(Scenario_data!J6 &lt;Tetanus!A10,Tetanus!A10,Scenario_data!J6))</f>
        <v>757934912.01489079</v>
      </c>
      <c r="K19" s="7">
        <f ca="1">IF(K6&gt;Tetanus!B11,Tetanus!B11,IF(Scenario_data!K6 &lt;Tetanus!A11,Tetanus!A11,Scenario_data!K6))</f>
        <v>728167284.01332724</v>
      </c>
    </row>
    <row r="20" spans="1:13" x14ac:dyDescent="0.3">
      <c r="A20" s="6" t="s">
        <v>9</v>
      </c>
      <c r="B20" s="7">
        <f ca="1">IF(B7&gt;Pertussis!B2,Pertussis!B2,IF(Scenario_data!B7 &lt;Pertussis!A2,Pertussis!A2,Scenario_data!B7))</f>
        <v>357962965.07906479</v>
      </c>
      <c r="C20" s="7">
        <f ca="1">IF(C7&gt;Pertussis!B3,Pertussis!B3,IF(Scenario_data!C7 &lt;Pertussis!A3,Pertussis!A3,Scenario_data!C7))</f>
        <v>385984923.65423208</v>
      </c>
      <c r="D20" s="7">
        <f ca="1">IF(D7&gt;Pertussis!B4,Pertussis!B4,IF(Scenario_data!D7 &lt;Pertussis!A4,Pertussis!A4,Scenario_data!D7))</f>
        <v>399300205.69818771</v>
      </c>
      <c r="E20" s="7">
        <f ca="1">IF(E7&gt;Pertussis!B5,Pertussis!B5,IF(Scenario_data!E7 &lt;Pertussis!A5,Pertussis!A5,Scenario_data!E7))</f>
        <v>315721924.93538284</v>
      </c>
      <c r="F20" s="7">
        <f ca="1">IF(F7&gt;Pertussis!B6,Pertussis!B6,IF(Scenario_data!F7 &lt;Pertussis!A6,Pertussis!A6,Scenario_data!F7))</f>
        <v>328108391.16257685</v>
      </c>
      <c r="G20" s="7">
        <f ca="1">IF(G7&gt;Pertussis!B7,Pertussis!B7,IF(Scenario_data!G7 &lt;Pertussis!A7,Pertussis!A7,Scenario_data!G7))</f>
        <v>338154549.02416116</v>
      </c>
      <c r="H20" s="7">
        <f ca="1">IF(H7&gt;Pertussis!B8,Pertussis!B8,IF(Scenario_data!H7 &lt;Pertussis!A8,Pertussis!A8,Scenario_data!H7))</f>
        <v>437844990.14128888</v>
      </c>
      <c r="I20" s="7">
        <f ca="1">IF(I7&gt;Pertussis!B9,Pertussis!B9,IF(Scenario_data!I7 &lt;Pertussis!A9,Pertussis!A9,Scenario_data!I7))</f>
        <v>341627708.46030927</v>
      </c>
      <c r="J20" s="7">
        <f ca="1">IF(J7&gt;Pertussis!B10,Pertussis!B10,IF(Scenario_data!J7 &lt;Pertussis!A10,Pertussis!A10,Scenario_data!J7))</f>
        <v>369807362.54598725</v>
      </c>
      <c r="K20" s="7">
        <f ca="1">IF(K7&gt;Pertussis!B11,Pertussis!B11,IF(Scenario_data!K7 &lt;Pertussis!A11,Pertussis!A11,Scenario_data!K7))</f>
        <v>464537478.96020603</v>
      </c>
    </row>
    <row r="21" spans="1:13" x14ac:dyDescent="0.3">
      <c r="A21" s="6" t="s">
        <v>10</v>
      </c>
      <c r="B21" s="7">
        <f ca="1">IF(B8&gt;Hepatitis_B!B2,Hepatitis_B!B2,IF(Scenario_data!B8 &lt;Hepatitis_B!A2,Hepatitis_B!A2,Scenario_data!B8))</f>
        <v>294789184.59256047</v>
      </c>
      <c r="C21" s="7">
        <f ca="1">IF(C8&gt;Hepatitis_B!B3,Hepatitis_B!B3,IF(Scenario_data!C8 &lt;Hepatitis_B!A3,Hepatitis_B!A3,Scenario_data!C8))</f>
        <v>337903178.34019881</v>
      </c>
      <c r="D21" s="7">
        <f ca="1">IF(D8&gt;Hepatitis_B!B4,Hepatitis_B!B4,IF(Scenario_data!D8 &lt;Hepatitis_B!A4,Hepatitis_B!A4,Scenario_data!D8))</f>
        <v>437358133.36150169</v>
      </c>
      <c r="E21" s="7">
        <f ca="1">IF(E8&gt;Hepatitis_B!B5,Hepatitis_B!B5,IF(Scenario_data!E8 &lt;Hepatitis_B!A5,Hepatitis_B!A5,Scenario_data!E8))</f>
        <v>344007538.62837195</v>
      </c>
      <c r="F21" s="7">
        <f ca="1">IF(F8&gt;Hepatitis_B!B6,Hepatitis_B!B6,IF(Scenario_data!F8 &lt;Hepatitis_B!A6,Hepatitis_B!A6,Scenario_data!F8))</f>
        <v>411339813.82015568</v>
      </c>
      <c r="G21" s="7">
        <f ca="1">IF(G8&gt;Hepatitis_B!B7,Hepatitis_B!B7,IF(Scenario_data!G8 &lt;Hepatitis_B!A7,Hepatitis_B!A7,Scenario_data!G8))</f>
        <v>472659087.86237627</v>
      </c>
      <c r="H21" s="7">
        <f ca="1">IF(H8&gt;Hepatitis_B!B8,Hepatitis_B!B8,IF(Scenario_data!H8 &lt;Hepatitis_B!A8,Hepatitis_B!A8,Scenario_data!H8))</f>
        <v>297017886.09161115</v>
      </c>
      <c r="I21" s="7">
        <f ca="1">IF(I8&gt;Hepatitis_B!B9,Hepatitis_B!B9,IF(Scenario_data!I8 &lt;Hepatitis_B!A9,Hepatitis_B!A9,Scenario_data!I8))</f>
        <v>374286457.92392427</v>
      </c>
      <c r="J21" s="7">
        <f ca="1">IF(J8&gt;Hepatitis_B!B10,Hepatitis_B!B10,IF(Scenario_data!J8 &lt;Hepatitis_B!A10,Hepatitis_B!A10,Scenario_data!J8))</f>
        <v>423842089.59252286</v>
      </c>
      <c r="K21" s="7">
        <f ca="1">IF(K8&gt;Hepatitis_B!B11,Hepatitis_B!B11,IF(Scenario_data!K8 &lt;Hepatitis_B!A11,Hepatitis_B!A11,Scenario_data!K8))</f>
        <v>338479479.93275744</v>
      </c>
    </row>
    <row r="22" spans="1:13" x14ac:dyDescent="0.3">
      <c r="A22" s="6" t="s">
        <v>11</v>
      </c>
      <c r="B22" s="7">
        <f ca="1">IF(B9&gt;Hib!B2,Hib!B2,IF(Scenario_data!B9 &lt;Hib!A2,Hib!A2,Scenario_data!B9))</f>
        <v>386197948.97212666</v>
      </c>
      <c r="C22" s="7">
        <f ca="1">IF(C9&gt;Hib!B3,Hib!B3,IF(Scenario_data!C9 &lt;Hib!A3,Hib!A3,Scenario_data!C9))</f>
        <v>215863571.392382</v>
      </c>
      <c r="D22" s="7">
        <f ca="1">IF(D9&gt;Hib!B4,Hib!B4,IF(Scenario_data!D9 &lt;Hib!A4,Hib!A4,Scenario_data!D9))</f>
        <v>331775643.07944691</v>
      </c>
      <c r="E22" s="7">
        <f ca="1">IF(E9&gt;Hib!B5,Hib!B5,IF(Scenario_data!E9 &lt;Hib!A5,Hib!A5,Scenario_data!E9))</f>
        <v>214548788.52759385</v>
      </c>
      <c r="F22" s="7">
        <f ca="1">IF(F9&gt;Hib!B6,Hib!B6,IF(Scenario_data!F9 &lt;Hib!A6,Hib!A6,Scenario_data!F9))</f>
        <v>283087150.98930007</v>
      </c>
      <c r="G22" s="7">
        <f ca="1">IF(G9&gt;Hib!B7,Hib!B7,IF(Scenario_data!G9 &lt;Hib!A7,Hib!A7,Scenario_data!G9))</f>
        <v>347683369.15839118</v>
      </c>
      <c r="H22" s="7">
        <f ca="1">IF(H9&gt;Hib!B8,Hib!B8,IF(Scenario_data!H9 &lt;Hib!A8,Hib!A8,Scenario_data!H9))</f>
        <v>290663911.7408855</v>
      </c>
      <c r="I22" s="7">
        <f ca="1">IF(I9&gt;Hib!B9,Hib!B9,IF(Scenario_data!I9 &lt;Hib!A9,Hib!A9,Scenario_data!I9))</f>
        <v>429599038.27666599</v>
      </c>
      <c r="J22" s="7">
        <f ca="1">IF(J9&gt;Hib!B10,Hib!B10,IF(Scenario_data!J9 &lt;Hib!A10,Hib!A10,Scenario_data!J9))</f>
        <v>348947545.65683019</v>
      </c>
      <c r="K22" s="7">
        <f ca="1">IF(K9&gt;Hib!B11,Hib!B11,IF(Scenario_data!K9 &lt;Hib!A11,Hib!A11,Scenario_data!K9))</f>
        <v>314958776.12185615</v>
      </c>
    </row>
    <row r="23" spans="1:13" x14ac:dyDescent="0.3">
      <c r="A23" s="6" t="s">
        <v>12</v>
      </c>
      <c r="B23" s="7">
        <f ca="1">IF(B10&gt;Polio!B2,Polio!B2,IF(Scenario_data!B10 &lt;Polio!A2,Polio!A2,Scenario_data!B10))</f>
        <v>698468020.36813533</v>
      </c>
      <c r="C23" s="7">
        <f ca="1">IF(C10&gt;Polio!B3,Polio!B3,IF(Scenario_data!C10 &lt;Polio!A3,Polio!A3,Scenario_data!C10))</f>
        <v>528983371.95985216</v>
      </c>
      <c r="D23" s="7">
        <f ca="1">IF(D10&gt;Polio!B4,Polio!B4,IF(Scenario_data!D10 &lt;Polio!A4,Polio!A4,Scenario_data!D10))</f>
        <v>444392848.59248102</v>
      </c>
      <c r="E23" s="7">
        <f ca="1">IF(E10&gt;Polio!B5,Polio!B5,IF(Scenario_data!E10 &lt;Polio!A5,Polio!A5,Scenario_data!E10))</f>
        <v>696391729.64604211</v>
      </c>
      <c r="F23" s="7">
        <f ca="1">IF(F10&gt;Polio!B6,Polio!B6,IF(Scenario_data!F10 &lt;Polio!A6,Polio!A6,Scenario_data!F10))</f>
        <v>750115507.51990473</v>
      </c>
      <c r="G23" s="7">
        <f ca="1">IF(G10&gt;Polio!B7,Polio!B7,IF(Scenario_data!G10 &lt;Polio!A7,Polio!A7,Scenario_data!G10))</f>
        <v>932331996.55546904</v>
      </c>
      <c r="H23" s="7">
        <f ca="1">IF(H10&gt;Polio!B8,Polio!B8,IF(Scenario_data!H10 &lt;Polio!A8,Polio!A8,Scenario_data!H10))</f>
        <v>839261538.44331825</v>
      </c>
      <c r="I23" s="7">
        <f ca="1">IF(I10&gt;Polio!B9,Polio!B9,IF(Scenario_data!I10 &lt;Polio!A9,Polio!A9,Scenario_data!I10))</f>
        <v>832255072.15663481</v>
      </c>
      <c r="J23" s="7">
        <f ca="1">IF(J10&gt;Polio!B10,Polio!B10,IF(Scenario_data!J10 &lt;Polio!A10,Polio!A10,Scenario_data!J10))</f>
        <v>925351279.70380986</v>
      </c>
      <c r="K23" s="7">
        <f ca="1">IF(K10&gt;Polio!B11,Polio!B11,IF(Scenario_data!K10 &lt;Polio!A11,Polio!A11,Scenario_data!K10))</f>
        <v>877891393.17264688</v>
      </c>
    </row>
    <row r="24" spans="1:13" x14ac:dyDescent="0.3">
      <c r="A24" s="6" t="s">
        <v>13</v>
      </c>
      <c r="B24" s="7">
        <f ca="1">IF(B11&gt;HPV!B2,HPV!B2,IF(Scenario_data!B11 &lt;HPV!A2,HPV!A2,Scenario_data!B11))</f>
        <v>33809335.638964765</v>
      </c>
      <c r="C24" s="7">
        <f ca="1">IF(C11&gt;HPV!B3,HPV!B3,IF(Scenario_data!C11 &lt;HPV!A3,HPV!A3,Scenario_data!C11))</f>
        <v>23639891.260379501</v>
      </c>
      <c r="D24" s="7">
        <f ca="1">IF(D11&gt;HPV!B4,HPV!B4,IF(Scenario_data!D11 &lt;HPV!A4,HPV!A4,Scenario_data!D11))</f>
        <v>41606481.899600953</v>
      </c>
      <c r="E24" s="7">
        <f ca="1">IF(E11&gt;HPV!B5,HPV!B5,IF(Scenario_data!E11 &lt;HPV!A5,HPV!A5,Scenario_data!E11))</f>
        <v>30965158.294107765</v>
      </c>
      <c r="F24" s="7">
        <f ca="1">IF(F11&gt;HPV!B6,HPV!B6,IF(Scenario_data!F11 &lt;HPV!A6,HPV!A6,Scenario_data!F11))</f>
        <v>29864898.376548599</v>
      </c>
      <c r="G24" s="7">
        <f ca="1">IF(G11&gt;HPV!B7,HPV!B7,IF(Scenario_data!G11 &lt;HPV!A7,HPV!A7,Scenario_data!G11))</f>
        <v>42401446.343910649</v>
      </c>
      <c r="H24" s="7">
        <f ca="1">IF(H11&gt;HPV!B8,HPV!B8,IF(Scenario_data!H11 &lt;HPV!A8,HPV!A8,Scenario_data!H11))</f>
        <v>47812455.427732661</v>
      </c>
      <c r="I24" s="7">
        <f ca="1">IF(I11&gt;HPV!B9,HPV!B9,IF(Scenario_data!I11 &lt;HPV!A9,HPV!A9,Scenario_data!I11))</f>
        <v>47833178.701296888</v>
      </c>
      <c r="J24" s="7">
        <f ca="1">IF(J11&gt;HPV!B10,HPV!B10,IF(Scenario_data!J11 &lt;HPV!A10,HPV!A10,Scenario_data!J11))</f>
        <v>55124312.984121449</v>
      </c>
      <c r="K24" s="7">
        <f ca="1">IF(K11&gt;HPV!B11,HPV!B11,IF(Scenario_data!K11 &lt;HPV!A11,HPV!A11,Scenario_data!K11))</f>
        <v>51932134.074550867</v>
      </c>
    </row>
    <row r="25" spans="1:13" x14ac:dyDescent="0.3">
      <c r="A25" s="6" t="s">
        <v>14</v>
      </c>
      <c r="B25" s="7">
        <f ca="1">IF(B12&gt;Rotavirus!B2,Rotavirus!B2,IF(Scenario_data!B12 &lt;Rotavirus!A2,Rotavirus!A2,Scenario_data!B12))</f>
        <v>163070369.25679088</v>
      </c>
      <c r="C25" s="7">
        <f ca="1">IF(C12&gt;Rotavirus!B3,Rotavirus!B3,IF(Scenario_data!C12 &lt;Rotavirus!A3,Rotavirus!A3,Scenario_data!C12))</f>
        <v>216613485.98555088</v>
      </c>
      <c r="D25" s="7">
        <f ca="1">IF(D12&gt;Rotavirus!B4,Rotavirus!B4,IF(Scenario_data!D12 &lt;Rotavirus!A4,Rotavirus!A4,Scenario_data!D12))</f>
        <v>229407803.60394022</v>
      </c>
      <c r="E25" s="7">
        <f ca="1">IF(E12&gt;Rotavirus!B5,Rotavirus!B5,IF(Scenario_data!E12 &lt;Rotavirus!A5,Rotavirus!A5,Scenario_data!E12))</f>
        <v>274049066.44983482</v>
      </c>
      <c r="F25" s="7">
        <f ca="1">IF(F12&gt;Rotavirus!B6,Rotavirus!B6,IF(Scenario_data!F12 &lt;Rotavirus!A6,Rotavirus!A6,Scenario_data!F12))</f>
        <v>288902945.27039438</v>
      </c>
      <c r="G25" s="7">
        <f ca="1">IF(G12&gt;Rotavirus!B7,Rotavirus!B7,IF(Scenario_data!G12 &lt;Rotavirus!A7,Rotavirus!A7,Scenario_data!G12))</f>
        <v>240013482.58909434</v>
      </c>
      <c r="H25" s="7">
        <f ca="1">IF(H12&gt;Rotavirus!B8,Rotavirus!B8,IF(Scenario_data!H12 &lt;Rotavirus!A8,Rotavirus!A8,Scenario_data!H12))</f>
        <v>308672873.18810976</v>
      </c>
      <c r="I25" s="7">
        <f ca="1">IF(I12&gt;Rotavirus!B9,Rotavirus!B9,IF(Scenario_data!I12 &lt;Rotavirus!A9,Rotavirus!A9,Scenario_data!I12))</f>
        <v>277183579.26215231</v>
      </c>
      <c r="J25" s="7">
        <f ca="1">IF(J12&gt;Rotavirus!B10,Rotavirus!B10,IF(Scenario_data!J12 &lt;Rotavirus!A10,Rotavirus!A10,Scenario_data!J12))</f>
        <v>320431284.49357003</v>
      </c>
      <c r="K25" s="7">
        <f ca="1">IF(K12&gt;Rotavirus!B11,Rotavirus!B11,IF(Scenario_data!K12 &lt;Rotavirus!A11,Rotavirus!A11,Scenario_data!K12))</f>
        <v>291884189.87406081</v>
      </c>
      <c r="M25" s="4"/>
    </row>
    <row r="26" spans="1:13" x14ac:dyDescent="0.3">
      <c r="A26" s="6" t="s">
        <v>15</v>
      </c>
      <c r="B26" s="7">
        <f ca="1">IF(B13&gt;PCV!B2,PCV!B2,IF(Scenario_data!B13 &lt;PCV!A2,PCV!A2,Scenario_data!B13))</f>
        <v>210330436.09402835</v>
      </c>
      <c r="C26" s="7">
        <f ca="1">IF(C13&gt;PCV!B3,PCV!B3,IF(Scenario_data!C13 &lt;PCV!A3,PCV!A3,Scenario_data!C13))</f>
        <v>216103294.2738612</v>
      </c>
      <c r="D26" s="7">
        <f ca="1">IF(D13&gt;PCV!B4,PCV!B4,IF(Scenario_data!D13 &lt;PCV!A4,PCV!A4,Scenario_data!D13))</f>
        <v>171054064.30469936</v>
      </c>
      <c r="E26" s="7">
        <f ca="1">IF(E13&gt;PCV!B5,PCV!B5,IF(Scenario_data!E13 &lt;PCV!A5,PCV!A5,Scenario_data!E13))</f>
        <v>267939870.07698801</v>
      </c>
      <c r="F26" s="7">
        <f ca="1">IF(F13&gt;PCV!B6,PCV!B6,IF(Scenario_data!F13 &lt;PCV!A6,PCV!A6,Scenario_data!F13))</f>
        <v>258803511.07610404</v>
      </c>
      <c r="G26" s="7">
        <f ca="1">IF(G13&gt;PCV!B7,PCV!B7,IF(Scenario_data!G13 &lt;PCV!A7,PCV!A7,Scenario_data!G13))</f>
        <v>271377374.51167816</v>
      </c>
      <c r="H26" s="7">
        <f ca="1">IF(H13&gt;PCV!B8,PCV!B8,IF(Scenario_data!H13 &lt;PCV!A8,PCV!A8,Scenario_data!H13))</f>
        <v>314235769.64220506</v>
      </c>
      <c r="I26" s="7">
        <f ca="1">IF(I13&gt;PCV!B9,PCV!B9,IF(Scenario_data!I13 &lt;PCV!A9,PCV!A9,Scenario_data!I13))</f>
        <v>319534848.29913098</v>
      </c>
      <c r="J26" s="7">
        <f ca="1">IF(J13&gt;PCV!B10,PCV!B10,IF(Scenario_data!J13 &lt;PCV!A10,PCV!A10,Scenario_data!J13))</f>
        <v>330300810.88067639</v>
      </c>
      <c r="K26" s="7">
        <f ca="1">IF(K13&gt;PCV!B11,PCV!B11,IF(Scenario_data!K13 &lt;PCV!A11,PCV!A11,Scenario_data!K13))</f>
        <v>384980061.32444608</v>
      </c>
      <c r="M26" s="4"/>
    </row>
    <row r="27" spans="1:13" x14ac:dyDescent="0.3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3" x14ac:dyDescent="0.3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3" x14ac:dyDescent="0.3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3" x14ac:dyDescent="0.3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3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3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2:1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2:1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2:1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2:1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2:1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2:11" x14ac:dyDescent="0.3"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2:11" x14ac:dyDescent="0.3"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2:11" x14ac:dyDescent="0.3">
      <c r="B40" s="8"/>
      <c r="C40" s="8"/>
      <c r="D40" s="8"/>
      <c r="E40" s="8"/>
      <c r="F40" s="8"/>
      <c r="G40" s="8"/>
      <c r="H40" s="8"/>
      <c r="I40" s="8"/>
      <c r="J40" s="8"/>
      <c r="K40" s="8"/>
    </row>
  </sheetData>
  <conditionalFormatting sqref="B2:K1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Diphtheria</vt:lpstr>
      <vt:lpstr>Pertussis</vt:lpstr>
      <vt:lpstr>Polio</vt:lpstr>
      <vt:lpstr>Tetanus</vt:lpstr>
      <vt:lpstr>Rotavirus</vt:lpstr>
      <vt:lpstr>PCV</vt:lpstr>
      <vt:lpstr>Measles</vt:lpstr>
      <vt:lpstr>Mumps</vt:lpstr>
      <vt:lpstr>Rubella</vt:lpstr>
      <vt:lpstr>Hepatitis_B</vt:lpstr>
      <vt:lpstr>Hib</vt:lpstr>
      <vt:lpstr>HPV</vt:lpstr>
      <vt:lpstr>Scenario_data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Asif Khan Sharon</cp:lastModifiedBy>
  <dcterms:created xsi:type="dcterms:W3CDTF">2024-04-08T20:27:48Z</dcterms:created>
  <dcterms:modified xsi:type="dcterms:W3CDTF">2025-03-12T16:46:33Z</dcterms:modified>
</cp:coreProperties>
</file>