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msharon_uark_edu/Documents/UARK/RA/L-shaped/Scenario Generation/"/>
    </mc:Choice>
  </mc:AlternateContent>
  <xr:revisionPtr revIDLastSave="626" documentId="11_4A5645C871AEA98286DE389EAFF8EF0F542BC54D" xr6:coauthVersionLast="47" xr6:coauthVersionMax="47" xr10:uidLastSave="{CF6CD2FC-CD5E-45B0-9A78-C5061FAF242F}"/>
  <bookViews>
    <workbookView xWindow="-108" yWindow="-108" windowWidth="23256" windowHeight="12456" firstSheet="4" activeTab="12" xr2:uid="{00000000-000D-0000-FFFF-FFFF00000000}"/>
  </bookViews>
  <sheets>
    <sheet name="Diphtheria" sheetId="1" r:id="rId1"/>
    <sheet name="Pertussis" sheetId="2" r:id="rId2"/>
    <sheet name="Polio" sheetId="3" r:id="rId3"/>
    <sheet name="Tetanus" sheetId="4" r:id="rId4"/>
    <sheet name="Rotavirus" sheetId="5" r:id="rId5"/>
    <sheet name="PCV" sheetId="6" r:id="rId6"/>
    <sheet name="Measles" sheetId="7" r:id="rId7"/>
    <sheet name="Mumps" sheetId="8" r:id="rId8"/>
    <sheet name="Rubella" sheetId="9" r:id="rId9"/>
    <sheet name="Hepatitis_B" sheetId="10" r:id="rId10"/>
    <sheet name="Hib" sheetId="11" r:id="rId11"/>
    <sheet name="HPV" sheetId="12" r:id="rId12"/>
    <sheet name="Scenario_dat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3" l="1"/>
  <c r="D24" i="13" s="1"/>
  <c r="B12" i="13"/>
  <c r="B25" i="13" s="1"/>
  <c r="F12" i="13"/>
  <c r="F25" i="13" s="1"/>
  <c r="G12" i="13"/>
  <c r="G25" i="13" s="1"/>
  <c r="B2" i="13"/>
  <c r="B15" i="13" s="1"/>
  <c r="K9" i="13"/>
  <c r="K22" i="13" s="1"/>
  <c r="J9" i="13"/>
  <c r="J22" i="13" s="1"/>
  <c r="I9" i="13"/>
  <c r="I22" i="13" s="1"/>
  <c r="G9" i="13"/>
  <c r="G22" i="13" s="1"/>
  <c r="D9" i="13"/>
  <c r="D22" i="13" s="1"/>
  <c r="J3" i="13"/>
  <c r="J16" i="13" s="1"/>
  <c r="G3" i="13"/>
  <c r="G16" i="13" s="1"/>
  <c r="F3" i="13"/>
  <c r="F16" i="13" s="1"/>
  <c r="E3" i="13"/>
  <c r="E16" i="13" s="1"/>
  <c r="D3" i="13"/>
  <c r="D16" i="13" s="1"/>
  <c r="C3" i="13"/>
  <c r="C16" i="13" s="1"/>
  <c r="B3" i="13"/>
  <c r="B16" i="13" s="1"/>
  <c r="I6" i="13"/>
  <c r="I19" i="13" s="1"/>
  <c r="H6" i="13"/>
  <c r="H19" i="13" s="1"/>
  <c r="G6" i="13"/>
  <c r="G19" i="13" s="1"/>
  <c r="F6" i="13"/>
  <c r="F19" i="13" s="1"/>
  <c r="E6" i="13"/>
  <c r="E19" i="13" s="1"/>
  <c r="D6" i="13"/>
  <c r="D19" i="13" s="1"/>
  <c r="C6" i="13"/>
  <c r="C19" i="13" s="1"/>
  <c r="J10" i="13"/>
  <c r="J23" i="13" s="1"/>
  <c r="C10" i="13"/>
  <c r="C23" i="13" s="1"/>
  <c r="J7" i="13"/>
  <c r="J20" i="13" s="1"/>
  <c r="E7" i="13"/>
  <c r="E20" i="13" s="1"/>
  <c r="K5" i="13"/>
  <c r="K18" i="13" s="1"/>
  <c r="J5" i="13"/>
  <c r="J18" i="13" s="1"/>
  <c r="C5" i="13"/>
  <c r="C18" i="13" s="1"/>
  <c r="B5" i="13"/>
  <c r="B18" i="13" s="1"/>
  <c r="K10" i="13"/>
  <c r="K23" i="13" s="1"/>
  <c r="H7" i="13"/>
  <c r="H20" i="13" s="1"/>
  <c r="I2" i="13"/>
  <c r="I15" i="13" s="1"/>
  <c r="K2" i="13"/>
  <c r="K15" i="13" s="1"/>
  <c r="E4" i="13"/>
  <c r="E17" i="13" s="1"/>
  <c r="K7" i="13"/>
  <c r="K20" i="13" s="1"/>
  <c r="G4" i="13"/>
  <c r="G17" i="13" s="1"/>
  <c r="H4" i="13"/>
  <c r="H17" i="13" s="1"/>
  <c r="F10" i="13"/>
  <c r="F23" i="13" s="1"/>
  <c r="D2" i="13"/>
  <c r="D15" i="13" s="1"/>
  <c r="F9" i="13"/>
  <c r="F22" i="13" s="1"/>
  <c r="D7" i="13"/>
  <c r="D20" i="13" s="1"/>
  <c r="H9" i="13"/>
  <c r="H22" i="13" s="1"/>
  <c r="H3" i="13"/>
  <c r="H16" i="13" s="1"/>
  <c r="D5" i="13"/>
  <c r="D18" i="13" s="1"/>
  <c r="J6" i="13"/>
  <c r="J19" i="13" s="1"/>
  <c r="B10" i="13"/>
  <c r="B23" i="13" s="1"/>
  <c r="C2" i="13"/>
  <c r="C15" i="13" s="1"/>
  <c r="I3" i="13"/>
  <c r="I16" i="13" s="1"/>
  <c r="E5" i="13"/>
  <c r="E18" i="13" s="1"/>
  <c r="K6" i="13"/>
  <c r="K19" i="13" s="1"/>
  <c r="F5" i="13"/>
  <c r="F18" i="13" s="1"/>
  <c r="B7" i="13"/>
  <c r="B20" i="13" s="1"/>
  <c r="H8" i="13"/>
  <c r="H21" i="13" s="1"/>
  <c r="D10" i="13"/>
  <c r="D23" i="13" s="1"/>
  <c r="E2" i="13"/>
  <c r="E15" i="13" s="1"/>
  <c r="K3" i="13"/>
  <c r="K16" i="13" s="1"/>
  <c r="G5" i="13"/>
  <c r="G18" i="13" s="1"/>
  <c r="C7" i="13"/>
  <c r="C20" i="13" s="1"/>
  <c r="E10" i="13"/>
  <c r="E23" i="13" s="1"/>
  <c r="I4" i="13"/>
  <c r="I17" i="13" s="1"/>
  <c r="E8" i="13"/>
  <c r="E21" i="13" s="1"/>
  <c r="F2" i="13"/>
  <c r="F15" i="13" s="1"/>
  <c r="H5" i="13"/>
  <c r="H18" i="13" s="1"/>
  <c r="G2" i="13"/>
  <c r="G15" i="13" s="1"/>
  <c r="C4" i="13"/>
  <c r="C17" i="13" s="1"/>
  <c r="I5" i="13"/>
  <c r="I18" i="13" s="1"/>
  <c r="K8" i="13"/>
  <c r="K21" i="13" s="1"/>
  <c r="G10" i="13"/>
  <c r="G23" i="13" s="1"/>
  <c r="H2" i="13"/>
  <c r="H15" i="13" s="1"/>
  <c r="F7" i="13"/>
  <c r="F20" i="13" s="1"/>
  <c r="B9" i="13"/>
  <c r="B22" i="13" s="1"/>
  <c r="H10" i="13"/>
  <c r="H23" i="13" s="1"/>
  <c r="J13" i="13"/>
  <c r="J26" i="13" s="1"/>
  <c r="G7" i="13"/>
  <c r="G20" i="13" s="1"/>
  <c r="C9" i="13"/>
  <c r="C22" i="13" s="1"/>
  <c r="I10" i="13"/>
  <c r="I23" i="13" s="1"/>
  <c r="J2" i="13"/>
  <c r="J15" i="13" s="1"/>
  <c r="B6" i="13"/>
  <c r="B19" i="13" s="1"/>
  <c r="B13" i="13"/>
  <c r="B26" i="13" s="1"/>
  <c r="I7" i="13"/>
  <c r="I20" i="13" s="1"/>
  <c r="E9" i="13"/>
  <c r="E22" i="13" s="1"/>
  <c r="K13" i="13"/>
  <c r="K26" i="13" s="1"/>
  <c r="E13" i="13"/>
  <c r="E26" i="13" s="1"/>
  <c r="D8" i="13"/>
  <c r="D21" i="13" s="1"/>
  <c r="H13" i="13"/>
  <c r="H26" i="13" s="1"/>
  <c r="J8" i="13"/>
  <c r="J21" i="13" s="1"/>
  <c r="C8" i="13"/>
  <c r="C21" i="13" s="1"/>
  <c r="F4" i="13"/>
  <c r="F17" i="13" s="1"/>
  <c r="G13" i="13"/>
  <c r="G26" i="13" s="1"/>
  <c r="G8" i="13"/>
  <c r="G21" i="13" s="1"/>
  <c r="D4" i="13"/>
  <c r="D17" i="13" s="1"/>
  <c r="B8" i="13"/>
  <c r="B21" i="13" s="1"/>
  <c r="F13" i="13"/>
  <c r="F26" i="13" s="1"/>
  <c r="I8" i="13"/>
  <c r="I21" i="13" s="1"/>
  <c r="B4" i="13"/>
  <c r="B17" i="13" s="1"/>
  <c r="K4" i="13"/>
  <c r="K17" i="13" s="1"/>
  <c r="F8" i="13"/>
  <c r="F21" i="13" s="1"/>
  <c r="I13" i="13"/>
  <c r="I26" i="13" s="1"/>
  <c r="D13" i="13"/>
  <c r="D26" i="13" s="1"/>
  <c r="J4" i="13"/>
  <c r="J17" i="13" s="1"/>
  <c r="C13" i="13"/>
  <c r="C26" i="13" s="1"/>
  <c r="E11" i="13" l="1"/>
  <c r="E24" i="13" s="1"/>
  <c r="B11" i="13"/>
  <c r="B24" i="13" s="1"/>
  <c r="K11" i="13"/>
  <c r="K24" i="13" s="1"/>
  <c r="C11" i="13"/>
  <c r="C24" i="13" s="1"/>
  <c r="I11" i="13"/>
  <c r="I24" i="13" s="1"/>
  <c r="F11" i="13"/>
  <c r="F24" i="13" s="1"/>
  <c r="G11" i="13"/>
  <c r="G24" i="13" s="1"/>
  <c r="H11" i="13"/>
  <c r="H24" i="13" s="1"/>
  <c r="J11" i="13"/>
  <c r="J24" i="13" s="1"/>
  <c r="D12" i="13"/>
  <c r="D25" i="13" s="1"/>
  <c r="J12" i="13"/>
  <c r="J25" i="13" s="1"/>
  <c r="C12" i="13"/>
  <c r="C25" i="13" s="1"/>
  <c r="E12" i="13"/>
  <c r="E25" i="13" s="1"/>
  <c r="H12" i="13"/>
  <c r="H25" i="13" s="1"/>
  <c r="I12" i="13"/>
  <c r="I25" i="13" s="1"/>
  <c r="K12" i="13"/>
  <c r="K25" i="13" s="1"/>
</calcChain>
</file>

<file path=xl/sharedStrings.xml><?xml version="1.0" encoding="utf-8"?>
<sst xmlns="http://schemas.openxmlformats.org/spreadsheetml/2006/main" count="73" uniqueCount="17">
  <si>
    <t>Lower</t>
  </si>
  <si>
    <t>Upper</t>
  </si>
  <si>
    <t>sd</t>
  </si>
  <si>
    <t>Antigen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</si>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</sst>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1" fontId="0" fillId="0" borderId="0" xfId="0" applyNumberFormat="1"/>
    <xf numFmtId="0" fontId="0" fillId="0" borderId="4" xfId="0" applyBorder="1"/>
    <xf numFmtId="0" fontId="4" fillId="0" borderId="4" xfId="0" applyFont="1" applyBorder="1"/>
    <xf numFmtId="11" fontId="4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Scenario_data!$A$15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Scenario_data!$B$15:$K$15</c:f>
              <c:numCache>
                <c:formatCode>0.00E+00</c:formatCode>
                <c:ptCount val="10"/>
                <c:pt idx="0">
                  <c:v>433075803.31647074</c:v>
                </c:pt>
                <c:pt idx="1">
                  <c:v>423893743.66404337</c:v>
                </c:pt>
                <c:pt idx="2">
                  <c:v>451436429.77072829</c:v>
                </c:pt>
                <c:pt idx="3">
                  <c:v>451182130.88293314</c:v>
                </c:pt>
                <c:pt idx="4">
                  <c:v>523086847.57689685</c:v>
                </c:pt>
                <c:pt idx="5">
                  <c:v>529781768.32990491</c:v>
                </c:pt>
                <c:pt idx="6">
                  <c:v>541271167.64689434</c:v>
                </c:pt>
                <c:pt idx="7">
                  <c:v>568142787.37216532</c:v>
                </c:pt>
                <c:pt idx="8">
                  <c:v>606827433.83280802</c:v>
                </c:pt>
                <c:pt idx="9">
                  <c:v>617606416.03179765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B-466B-BE2B-F7F1DF82D6E7}"/>
            </c:ext>
          </c:extLst>
        </c:ser>
        <c:ser>
          <c:idx val="1"/>
          <c:order val="1"/>
          <c:tx>
            <c:strRef>
              <c:f>Scenario_data!$A$16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Scenario_data!$B$16:$K$16</c:f>
              <c:numCache>
                <c:formatCode>0.00E+00</c:formatCode>
                <c:ptCount val="10"/>
                <c:pt idx="0">
                  <c:v>25071972.064942837</c:v>
                </c:pt>
                <c:pt idx="1">
                  <c:v>27657579.928261351</c:v>
                </c:pt>
                <c:pt idx="2">
                  <c:v>27535035.308893166</c:v>
                </c:pt>
                <c:pt idx="3">
                  <c:v>29684947.763572156</c:v>
                </c:pt>
                <c:pt idx="4">
                  <c:v>28269434.322980992</c:v>
                </c:pt>
                <c:pt idx="5">
                  <c:v>30976606.008305836</c:v>
                </c:pt>
                <c:pt idx="6">
                  <c:v>33270154.736464918</c:v>
                </c:pt>
                <c:pt idx="7">
                  <c:v>30866007.866326801</c:v>
                </c:pt>
                <c:pt idx="8">
                  <c:v>35289754.941162765</c:v>
                </c:pt>
                <c:pt idx="9">
                  <c:v>33439544.137860153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B-466B-BE2B-F7F1DF82D6E7}"/>
            </c:ext>
          </c:extLst>
        </c:ser>
        <c:ser>
          <c:idx val="2"/>
          <c:order val="2"/>
          <c:tx>
            <c:strRef>
              <c:f>Scenario_data!$A$17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Scenario_data!$B$17:$K$17</c:f>
              <c:numCache>
                <c:formatCode>0.00E+00</c:formatCode>
                <c:ptCount val="10"/>
                <c:pt idx="0">
                  <c:v>301427469.81031966</c:v>
                </c:pt>
                <c:pt idx="1">
                  <c:v>367946597.60608923</c:v>
                </c:pt>
                <c:pt idx="2">
                  <c:v>415363483.49589527</c:v>
                </c:pt>
                <c:pt idx="3">
                  <c:v>404546164.58842552</c:v>
                </c:pt>
                <c:pt idx="4">
                  <c:v>448659552.53403121</c:v>
                </c:pt>
                <c:pt idx="5">
                  <c:v>442720539.83263701</c:v>
                </c:pt>
                <c:pt idx="6">
                  <c:v>506739283.32315695</c:v>
                </c:pt>
                <c:pt idx="7">
                  <c:v>543667473.98921692</c:v>
                </c:pt>
                <c:pt idx="8">
                  <c:v>544585810.72448421</c:v>
                </c:pt>
                <c:pt idx="9">
                  <c:v>586261992.44827592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B-466B-BE2B-F7F1DF82D6E7}"/>
            </c:ext>
          </c:extLst>
        </c:ser>
        <c:ser>
          <c:idx val="3"/>
          <c:order val="3"/>
          <c:tx>
            <c:strRef>
              <c:f>Scenario_data!$A$18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Scenario_data!$B$18:$K$18</c:f>
              <c:numCache>
                <c:formatCode>0.00E+00</c:formatCode>
                <c:ptCount val="10"/>
                <c:pt idx="0">
                  <c:v>686851999.90213764</c:v>
                </c:pt>
                <c:pt idx="1">
                  <c:v>636435733.35324275</c:v>
                </c:pt>
                <c:pt idx="2">
                  <c:v>742984373.46837819</c:v>
                </c:pt>
                <c:pt idx="3">
                  <c:v>779970141.17177916</c:v>
                </c:pt>
                <c:pt idx="4">
                  <c:v>822920827.53257895</c:v>
                </c:pt>
                <c:pt idx="5">
                  <c:v>807544036.66961026</c:v>
                </c:pt>
                <c:pt idx="6">
                  <c:v>796090127.78841448</c:v>
                </c:pt>
                <c:pt idx="7">
                  <c:v>909388790.08841729</c:v>
                </c:pt>
                <c:pt idx="8">
                  <c:v>819001213.93388844</c:v>
                </c:pt>
                <c:pt idx="9">
                  <c:v>940195790.45862937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AB-466B-BE2B-F7F1DF82D6E7}"/>
            </c:ext>
          </c:extLst>
        </c:ser>
        <c:ser>
          <c:idx val="4"/>
          <c:order val="4"/>
          <c:tx>
            <c:strRef>
              <c:f>Scenario_data!$A$19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Scenario_data!$B$19:$K$19</c:f>
              <c:numCache>
                <c:formatCode>0.00E+00</c:formatCode>
                <c:ptCount val="10"/>
                <c:pt idx="0">
                  <c:v>660840099.21465826</c:v>
                </c:pt>
                <c:pt idx="1">
                  <c:v>593731339.763273</c:v>
                </c:pt>
                <c:pt idx="2">
                  <c:v>673439924.77545404</c:v>
                </c:pt>
                <c:pt idx="3">
                  <c:v>746061416.62011003</c:v>
                </c:pt>
                <c:pt idx="4">
                  <c:v>741578600.38965189</c:v>
                </c:pt>
                <c:pt idx="5">
                  <c:v>709441893.16399145</c:v>
                </c:pt>
                <c:pt idx="6">
                  <c:v>727529716.61331129</c:v>
                </c:pt>
                <c:pt idx="7">
                  <c:v>741273921.58709431</c:v>
                </c:pt>
                <c:pt idx="8">
                  <c:v>730435435.27864468</c:v>
                </c:pt>
                <c:pt idx="9">
                  <c:v>710413268.85759449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AB-466B-BE2B-F7F1DF82D6E7}"/>
            </c:ext>
          </c:extLst>
        </c:ser>
        <c:ser>
          <c:idx val="5"/>
          <c:order val="5"/>
          <c:tx>
            <c:strRef>
              <c:f>Scenario_data!$A$20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Scenario_data!$B$20:$K$20</c:f>
              <c:numCache>
                <c:formatCode>0.00E+00</c:formatCode>
                <c:ptCount val="10"/>
                <c:pt idx="0">
                  <c:v>344858737.31340528</c:v>
                </c:pt>
                <c:pt idx="1">
                  <c:v>361108496.96526027</c:v>
                </c:pt>
                <c:pt idx="2">
                  <c:v>326282547.33370751</c:v>
                </c:pt>
                <c:pt idx="3">
                  <c:v>376814262.05800414</c:v>
                </c:pt>
                <c:pt idx="4">
                  <c:v>344054411.3101992</c:v>
                </c:pt>
                <c:pt idx="5">
                  <c:v>362908010.81859469</c:v>
                </c:pt>
                <c:pt idx="6">
                  <c:v>368611274.58883238</c:v>
                </c:pt>
                <c:pt idx="7">
                  <c:v>382169341.21446562</c:v>
                </c:pt>
                <c:pt idx="8">
                  <c:v>350763413.09406424</c:v>
                </c:pt>
                <c:pt idx="9">
                  <c:v>360265582.72187185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AB-466B-BE2B-F7F1DF82D6E7}"/>
            </c:ext>
          </c:extLst>
        </c:ser>
        <c:ser>
          <c:idx val="6"/>
          <c:order val="6"/>
          <c:tx>
            <c:strRef>
              <c:f>Scenario_data!$A$21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Scenario_data!$B$21:$K$21</c:f>
              <c:numCache>
                <c:formatCode>0.00E+00</c:formatCode>
                <c:ptCount val="10"/>
                <c:pt idx="0">
                  <c:v>362175590.14104462</c:v>
                </c:pt>
                <c:pt idx="1">
                  <c:v>353468540.05598295</c:v>
                </c:pt>
                <c:pt idx="2">
                  <c:v>344853601.99460727</c:v>
                </c:pt>
                <c:pt idx="3">
                  <c:v>384249685.42694086</c:v>
                </c:pt>
                <c:pt idx="4">
                  <c:v>384559740.17090356</c:v>
                </c:pt>
                <c:pt idx="5">
                  <c:v>413031675.15803403</c:v>
                </c:pt>
                <c:pt idx="6">
                  <c:v>389526726.86227793</c:v>
                </c:pt>
                <c:pt idx="7">
                  <c:v>393070929.17250729</c:v>
                </c:pt>
                <c:pt idx="8">
                  <c:v>406273686.13958478</c:v>
                </c:pt>
                <c:pt idx="9">
                  <c:v>435119704.47136027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AB-466B-BE2B-F7F1DF82D6E7}"/>
            </c:ext>
          </c:extLst>
        </c:ser>
        <c:ser>
          <c:idx val="7"/>
          <c:order val="7"/>
          <c:tx>
            <c:strRef>
              <c:f>Scenario_data!$A$22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Scenario_data!$B$22:$K$22</c:f>
              <c:numCache>
                <c:formatCode>0.00E+00</c:formatCode>
                <c:ptCount val="10"/>
                <c:pt idx="0">
                  <c:v>290015927.97207224</c:v>
                </c:pt>
                <c:pt idx="1">
                  <c:v>299635964.35824174</c:v>
                </c:pt>
                <c:pt idx="2">
                  <c:v>281793410.70694262</c:v>
                </c:pt>
                <c:pt idx="3">
                  <c:v>300681844.47538519</c:v>
                </c:pt>
                <c:pt idx="4">
                  <c:v>323070447.56286722</c:v>
                </c:pt>
                <c:pt idx="5">
                  <c:v>315111787.82011217</c:v>
                </c:pt>
                <c:pt idx="6">
                  <c:v>325129153.15532857</c:v>
                </c:pt>
                <c:pt idx="7">
                  <c:v>307016970.73773211</c:v>
                </c:pt>
                <c:pt idx="8">
                  <c:v>326256414.23206359</c:v>
                </c:pt>
                <c:pt idx="9">
                  <c:v>295791786.81991631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AB-466B-BE2B-F7F1DF82D6E7}"/>
            </c:ext>
          </c:extLst>
        </c:ser>
        <c:ser>
          <c:idx val="8"/>
          <c:order val="8"/>
          <c:tx>
            <c:strRef>
              <c:f>Scenario_data!$A$23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Scenario_data!$B$23:$K$23</c:f>
              <c:numCache>
                <c:formatCode>0.00E+00</c:formatCode>
                <c:ptCount val="10"/>
                <c:pt idx="0">
                  <c:v>628186477.08757734</c:v>
                </c:pt>
                <c:pt idx="1">
                  <c:v>721401818.892609</c:v>
                </c:pt>
                <c:pt idx="2">
                  <c:v>663580885.19679153</c:v>
                </c:pt>
                <c:pt idx="3">
                  <c:v>663503018.10819948</c:v>
                </c:pt>
                <c:pt idx="4">
                  <c:v>705485827.7074424</c:v>
                </c:pt>
                <c:pt idx="5">
                  <c:v>804578120.18688869</c:v>
                </c:pt>
                <c:pt idx="6">
                  <c:v>741511908.37700486</c:v>
                </c:pt>
                <c:pt idx="7">
                  <c:v>773504598.10701239</c:v>
                </c:pt>
                <c:pt idx="8">
                  <c:v>827327531.89376092</c:v>
                </c:pt>
                <c:pt idx="9">
                  <c:v>774512024.94952309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AB-466B-BE2B-F7F1DF82D6E7}"/>
            </c:ext>
          </c:extLst>
        </c:ser>
        <c:ser>
          <c:idx val="9"/>
          <c:order val="9"/>
          <c:tx>
            <c:strRef>
              <c:f>Scenario_data!$A$24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Scenario_data!$B$24:$K$24</c:f>
              <c:numCache>
                <c:formatCode>0.00E+00</c:formatCode>
                <c:ptCount val="10"/>
                <c:pt idx="0">
                  <c:v>31994869.931946442</c:v>
                </c:pt>
                <c:pt idx="1">
                  <c:v>30100360.743011955</c:v>
                </c:pt>
                <c:pt idx="2">
                  <c:v>35252030.757098988</c:v>
                </c:pt>
                <c:pt idx="3">
                  <c:v>37850355.560875759</c:v>
                </c:pt>
                <c:pt idx="4">
                  <c:v>41985629.024634339</c:v>
                </c:pt>
                <c:pt idx="5">
                  <c:v>41755813.338659748</c:v>
                </c:pt>
                <c:pt idx="6">
                  <c:v>45343734.883182846</c:v>
                </c:pt>
                <c:pt idx="7">
                  <c:v>48111592.842349626</c:v>
                </c:pt>
                <c:pt idx="8">
                  <c:v>50387194.150276445</c:v>
                </c:pt>
                <c:pt idx="9">
                  <c:v>55520849.604192279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EAB-466B-BE2B-F7F1DF82D6E7}"/>
            </c:ext>
          </c:extLst>
        </c:ser>
        <c:ser>
          <c:idx val="10"/>
          <c:order val="10"/>
          <c:tx>
            <c:strRef>
              <c:f>Scenario_data!$A$25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Scenario_data!$B$25:$K$25</c:f>
              <c:numCache>
                <c:formatCode>0.00E+00</c:formatCode>
                <c:ptCount val="10"/>
                <c:pt idx="0">
                  <c:v>184376278.81798136</c:v>
                </c:pt>
                <c:pt idx="1">
                  <c:v>223441328.39706701</c:v>
                </c:pt>
                <c:pt idx="2">
                  <c:v>223437378.36904067</c:v>
                </c:pt>
                <c:pt idx="3">
                  <c:v>222408954.83751902</c:v>
                </c:pt>
                <c:pt idx="4">
                  <c:v>255930994.56812191</c:v>
                </c:pt>
                <c:pt idx="5">
                  <c:v>258888351.99851906</c:v>
                </c:pt>
                <c:pt idx="6">
                  <c:v>273305649.09618634</c:v>
                </c:pt>
                <c:pt idx="7">
                  <c:v>305380432.25248557</c:v>
                </c:pt>
                <c:pt idx="8">
                  <c:v>333903435.75223118</c:v>
                </c:pt>
                <c:pt idx="9">
                  <c:v>315515288.01226234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AB-466B-BE2B-F7F1DF82D6E7}"/>
            </c:ext>
          </c:extLst>
        </c:ser>
        <c:ser>
          <c:idx val="11"/>
          <c:order val="11"/>
          <c:tx>
            <c:strRef>
              <c:f>Scenario_data!$A$26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Scenario_data!$B$26:$K$26</c:f>
              <c:numCache>
                <c:formatCode>0.00E+00</c:formatCode>
                <c:ptCount val="10"/>
                <c:pt idx="0">
                  <c:v>210840192.58745521</c:v>
                </c:pt>
                <c:pt idx="1">
                  <c:v>242599102.66564655</c:v>
                </c:pt>
                <c:pt idx="2">
                  <c:v>255348390.48483574</c:v>
                </c:pt>
                <c:pt idx="3">
                  <c:v>292301089.94578832</c:v>
                </c:pt>
                <c:pt idx="4">
                  <c:v>305291280.52650094</c:v>
                </c:pt>
                <c:pt idx="5">
                  <c:v>322846036.40788716</c:v>
                </c:pt>
                <c:pt idx="6">
                  <c:v>318720708.07221913</c:v>
                </c:pt>
                <c:pt idx="7">
                  <c:v>338199947.65336108</c:v>
                </c:pt>
                <c:pt idx="8">
                  <c:v>361125084.10079998</c:v>
                </c:pt>
                <c:pt idx="9">
                  <c:v>373425420.62509286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EAB-466B-BE2B-F7F1DF82D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306912"/>
        <c:axId val="336304992"/>
      </c:lineChart>
      <c:catAx>
        <c:axId val="3363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4992"/>
        <c:crosses val="autoZero"/>
        <c:auto val="1"/>
        <c:lblAlgn val="ctr"/>
        <c:lblOffset val="100"/>
        <c:noMultiLvlLbl val="0"/>
      </c:catAx>
      <c:valAx>
        <c:axId val="3363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382977</xdr:colOff>
      <xdr:row>1</xdr:row>
      <xdr:rowOff>21206</xdr:rowOff>
    </xdr:from>
    <xdr:to>
      <xdr:col>23</xdr:col>
      <xdr:colOff>530345</xdr:colOff>
      <xdr:row>28</xdr:row>
      <xdr:rowOff>39118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0FB706-E6A6-1FC0-80DD-FCCB3E905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C24" sqref="C24"/>
    </sheetView>
  </sheetViews>
  <sheetFormatPr defaultRowHeight="14.4" x14ac:dyDescent="0.3"/>
  <cols>
    <col min="1" max="3" width="12.44140625" bestFit="1" customWidth="1"/>
    <col min="4" max="4" width="8.88671875" bestFit="1" customWidth="1"/>
  </cols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579651841.76933706</v>
      </c>
      <c r="B2">
        <v>726758030.03066194</v>
      </c>
      <c r="C2">
        <v>653204935.89999998</v>
      </c>
      <c r="D2" s="4">
        <v>37527088.842174798</v>
      </c>
    </row>
    <row r="3" spans="1:4" x14ac:dyDescent="0.3">
      <c r="A3">
        <v>616082927.49576104</v>
      </c>
      <c r="B3">
        <v>743826014.10423803</v>
      </c>
      <c r="C3">
        <v>679954470.79999995</v>
      </c>
      <c r="D3" s="4">
        <v>32587522.0939992</v>
      </c>
    </row>
    <row r="4" spans="1:4" x14ac:dyDescent="0.3">
      <c r="A4">
        <v>623989925.06234002</v>
      </c>
      <c r="B4">
        <v>789418086.29999995</v>
      </c>
      <c r="C4">
        <v>706704005.70000005</v>
      </c>
      <c r="D4" s="4">
        <v>42201061.549826004</v>
      </c>
    </row>
    <row r="5" spans="1:4" x14ac:dyDescent="0.3">
      <c r="A5">
        <v>628733187.38691294</v>
      </c>
      <c r="B5">
        <v>838173893.79999995</v>
      </c>
      <c r="C5">
        <v>733453540.60000002</v>
      </c>
      <c r="D5" s="4">
        <v>53428751.639329597</v>
      </c>
    </row>
    <row r="6" spans="1:4" x14ac:dyDescent="0.3">
      <c r="A6">
        <v>690936495.09973896</v>
      </c>
      <c r="B6">
        <v>829469655.90025997</v>
      </c>
      <c r="C6">
        <v>760203075.5</v>
      </c>
      <c r="D6" s="4">
        <v>35340092.040949203</v>
      </c>
    </row>
    <row r="7" spans="1:4" x14ac:dyDescent="0.3">
      <c r="A7">
        <v>715248342.45098996</v>
      </c>
      <c r="B7">
        <v>858656878.29999995</v>
      </c>
      <c r="C7">
        <v>786952610.39999998</v>
      </c>
      <c r="D7" s="4">
        <v>36583810.178065903</v>
      </c>
    </row>
    <row r="8" spans="1:4" x14ac:dyDescent="0.3">
      <c r="A8">
        <v>697120913.97790003</v>
      </c>
      <c r="B8">
        <v>930283376.62209797</v>
      </c>
      <c r="C8">
        <v>813702145.29999995</v>
      </c>
      <c r="D8" s="4">
        <v>59480220.0622954</v>
      </c>
    </row>
    <row r="9" spans="1:4" x14ac:dyDescent="0.3">
      <c r="A9">
        <v>739124656.39812398</v>
      </c>
      <c r="B9">
        <v>941778704.00187504</v>
      </c>
      <c r="C9">
        <v>840451680.20000005</v>
      </c>
      <c r="D9" s="4">
        <v>51697461.119999997</v>
      </c>
    </row>
    <row r="10" spans="1:4" x14ac:dyDescent="0.3">
      <c r="A10">
        <v>794185081.50366795</v>
      </c>
      <c r="B10">
        <v>940217348.69632995</v>
      </c>
      <c r="C10">
        <v>867201215.10000002</v>
      </c>
      <c r="D10" s="4">
        <v>37253129.385883197</v>
      </c>
    </row>
    <row r="11" spans="1:4" x14ac:dyDescent="0.3">
      <c r="A11">
        <v>792083930.938218</v>
      </c>
      <c r="B11">
        <v>995817569.06177998</v>
      </c>
      <c r="C11">
        <v>893950750</v>
      </c>
      <c r="D11" s="4">
        <v>51972866.868255503</v>
      </c>
    </row>
    <row r="12" spans="1:4" x14ac:dyDescent="0.3">
      <c r="A12">
        <v>843015719.75272298</v>
      </c>
      <c r="B12">
        <v>998384850.04727495</v>
      </c>
      <c r="C12">
        <v>920700284.89999998</v>
      </c>
      <c r="D12">
        <v>39634982.217997901</v>
      </c>
    </row>
    <row r="13" spans="1:4" x14ac:dyDescent="0.3">
      <c r="A13" s="4">
        <v>867572651.24981105</v>
      </c>
      <c r="B13" s="4">
        <v>1027326988.35018</v>
      </c>
      <c r="C13" s="4">
        <v>947449819.79999995</v>
      </c>
      <c r="D13">
        <v>40753657.423565403</v>
      </c>
    </row>
    <row r="14" spans="1:4" x14ac:dyDescent="0.3">
      <c r="A14">
        <v>871797664.96805096</v>
      </c>
      <c r="B14">
        <v>1076601044.4319401</v>
      </c>
      <c r="C14">
        <v>974199354.70000005</v>
      </c>
      <c r="D14">
        <v>52245760.0673206</v>
      </c>
    </row>
    <row r="15" spans="1:4" x14ac:dyDescent="0.3">
      <c r="A15">
        <v>955279536.25788903</v>
      </c>
      <c r="B15">
        <v>1046618242.9421099</v>
      </c>
      <c r="C15">
        <v>1000948890</v>
      </c>
      <c r="D15">
        <v>23300690.4806685</v>
      </c>
    </row>
    <row r="16" spans="1:4" x14ac:dyDescent="0.3">
      <c r="A16">
        <v>979101221.86164796</v>
      </c>
      <c r="B16">
        <v>1076295627.13835</v>
      </c>
      <c r="C16">
        <v>1027698425</v>
      </c>
      <c r="D16">
        <v>24794491.142016001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314884574.35569501</v>
      </c>
      <c r="B2">
        <v>394797146.244304</v>
      </c>
      <c r="C2">
        <v>354840860.30000001</v>
      </c>
      <c r="D2" s="4">
        <v>20385860.1756653</v>
      </c>
    </row>
    <row r="3" spans="1:4" x14ac:dyDescent="0.3">
      <c r="A3">
        <v>323661939.75568497</v>
      </c>
      <c r="B3">
        <v>390772345.444314</v>
      </c>
      <c r="C3">
        <v>357217142.60000002</v>
      </c>
      <c r="D3" s="4">
        <v>17120001.4511806</v>
      </c>
    </row>
    <row r="4" spans="1:4" x14ac:dyDescent="0.3">
      <c r="A4">
        <v>317505875.79308701</v>
      </c>
      <c r="B4">
        <v>401680974.00691199</v>
      </c>
      <c r="C4">
        <v>359593424.89999998</v>
      </c>
      <c r="D4" s="4">
        <v>21473239.3402615</v>
      </c>
    </row>
    <row r="5" spans="1:4" x14ac:dyDescent="0.3">
      <c r="A5">
        <v>310288730.16168201</v>
      </c>
      <c r="B5">
        <v>413650684.23831701</v>
      </c>
      <c r="C5">
        <v>361969707.19999999</v>
      </c>
      <c r="D5" s="4">
        <v>26367845.427712999</v>
      </c>
    </row>
    <row r="6" spans="1:4" x14ac:dyDescent="0.3">
      <c r="A6">
        <v>331148280.11344498</v>
      </c>
      <c r="B6">
        <v>397543698.886554</v>
      </c>
      <c r="C6">
        <v>364345989.5</v>
      </c>
      <c r="D6" s="4">
        <v>16937606.829874899</v>
      </c>
    </row>
    <row r="7" spans="1:4" x14ac:dyDescent="0.3">
      <c r="A7">
        <v>333307868.32448298</v>
      </c>
      <c r="B7">
        <v>400136675.27551597</v>
      </c>
      <c r="C7">
        <v>366722271.80000001</v>
      </c>
      <c r="D7" s="4">
        <v>17048165.0385288</v>
      </c>
    </row>
    <row r="8" spans="1:4" x14ac:dyDescent="0.3">
      <c r="A8">
        <v>316216840.361467</v>
      </c>
      <c r="B8">
        <v>421980267.83853197</v>
      </c>
      <c r="C8">
        <v>369098554.10000002</v>
      </c>
      <c r="D8" s="4">
        <v>26980466.193128798</v>
      </c>
    </row>
    <row r="9" spans="1:4" x14ac:dyDescent="0.3">
      <c r="A9">
        <v>326688871.33328301</v>
      </c>
      <c r="B9">
        <v>416260801.46671599</v>
      </c>
      <c r="C9">
        <v>371474836.39999998</v>
      </c>
      <c r="D9" s="4">
        <v>22849982.1768963</v>
      </c>
    </row>
    <row r="10" spans="1:4" x14ac:dyDescent="0.3">
      <c r="A10">
        <v>342373806.68425298</v>
      </c>
      <c r="B10">
        <v>405328430.71574599</v>
      </c>
      <c r="C10">
        <v>373851118.69999999</v>
      </c>
      <c r="D10" s="4">
        <v>16059853.069258301</v>
      </c>
    </row>
    <row r="11" spans="1:4" x14ac:dyDescent="0.3">
      <c r="A11">
        <v>333355812.62250698</v>
      </c>
      <c r="B11">
        <v>419098989.37749302</v>
      </c>
      <c r="C11">
        <v>376227401</v>
      </c>
      <c r="D11" s="4">
        <v>21873259.3762719</v>
      </c>
    </row>
    <row r="12" spans="1:4" x14ac:dyDescent="0.3">
      <c r="A12">
        <v>346658800.71151203</v>
      </c>
      <c r="B12">
        <v>410548565.88848698</v>
      </c>
      <c r="C12">
        <v>378603683.30000001</v>
      </c>
      <c r="D12">
        <v>16298409.4839222</v>
      </c>
    </row>
    <row r="13" spans="1:4" x14ac:dyDescent="0.3">
      <c r="A13" s="4">
        <v>348860479.91272599</v>
      </c>
      <c r="B13" s="4">
        <v>413099451.28727299</v>
      </c>
      <c r="C13" s="4">
        <v>380979965.60000002</v>
      </c>
      <c r="D13">
        <v>16387492.6975886</v>
      </c>
    </row>
    <row r="14" spans="1:4" x14ac:dyDescent="0.3">
      <c r="A14">
        <v>343060257.79810899</v>
      </c>
      <c r="B14">
        <v>423652238.00189102</v>
      </c>
      <c r="C14">
        <v>383356247.89999998</v>
      </c>
      <c r="D14">
        <v>20559178.623413701</v>
      </c>
    </row>
    <row r="15" spans="1:4" x14ac:dyDescent="0.3">
      <c r="A15">
        <v>368133074.92282802</v>
      </c>
      <c r="B15">
        <v>403331985.47717202</v>
      </c>
      <c r="C15">
        <v>385732530.19999999</v>
      </c>
      <c r="D15">
        <v>8979313.9169244301</v>
      </c>
    </row>
    <row r="16" spans="1:4" x14ac:dyDescent="0.3">
      <c r="A16">
        <v>369756149.73711902</v>
      </c>
      <c r="B16">
        <v>406461475.26288098</v>
      </c>
      <c r="C16">
        <v>388108812.5</v>
      </c>
      <c r="D16">
        <v>9363603.4504493997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562648306.94043505</v>
      </c>
      <c r="B2">
        <v>705439275.24487495</v>
      </c>
      <c r="C2">
        <v>634043791.09265494</v>
      </c>
      <c r="D2" s="4">
        <v>36426267.424602002</v>
      </c>
    </row>
    <row r="3" spans="1:4" x14ac:dyDescent="0.3">
      <c r="A3">
        <v>597509815.54382896</v>
      </c>
      <c r="B3">
        <v>721401818.892609</v>
      </c>
      <c r="C3">
        <v>659455817.21821904</v>
      </c>
      <c r="D3" s="4">
        <v>31605102.895096701</v>
      </c>
    </row>
    <row r="4" spans="1:4" x14ac:dyDescent="0.3">
      <c r="A4">
        <v>604709511.76001596</v>
      </c>
      <c r="B4">
        <v>765026174.92755103</v>
      </c>
      <c r="C4">
        <v>684867843.34378302</v>
      </c>
      <c r="D4" s="4">
        <v>40897107.950901799</v>
      </c>
    </row>
    <row r="5" spans="1:4" x14ac:dyDescent="0.3">
      <c r="A5">
        <v>608868185.30169404</v>
      </c>
      <c r="B5">
        <v>811691553.63700199</v>
      </c>
      <c r="C5">
        <v>710279869.46934795</v>
      </c>
      <c r="D5" s="4">
        <v>51740655.187578499</v>
      </c>
    </row>
    <row r="6" spans="1:4" x14ac:dyDescent="0.3">
      <c r="A6">
        <v>668658673.18584895</v>
      </c>
      <c r="B6">
        <v>802725118.00397503</v>
      </c>
      <c r="C6">
        <v>735691895.59491205</v>
      </c>
      <c r="D6" s="4">
        <v>34200623.678093202</v>
      </c>
    </row>
    <row r="7" spans="1:4" x14ac:dyDescent="0.3">
      <c r="A7">
        <v>691754892.54278898</v>
      </c>
      <c r="B7">
        <v>830452950.89816403</v>
      </c>
      <c r="C7">
        <v>761103921.72047603</v>
      </c>
      <c r="D7" s="4">
        <v>35382157.743717998</v>
      </c>
    </row>
    <row r="8" spans="1:4" x14ac:dyDescent="0.3">
      <c r="A8">
        <v>673829754.02931702</v>
      </c>
      <c r="B8">
        <v>899202141.66276395</v>
      </c>
      <c r="C8">
        <v>786515947.84604096</v>
      </c>
      <c r="D8" s="4">
        <v>57492956.028940402</v>
      </c>
    </row>
    <row r="9" spans="1:4" x14ac:dyDescent="0.3">
      <c r="A9">
        <v>714039841.81336904</v>
      </c>
      <c r="B9">
        <v>909816106.12984204</v>
      </c>
      <c r="C9">
        <v>811927973.97160494</v>
      </c>
      <c r="D9" s="4">
        <v>49942924.570528798</v>
      </c>
    </row>
    <row r="10" spans="1:4" x14ac:dyDescent="0.3">
      <c r="A10">
        <v>766838104.74916005</v>
      </c>
      <c r="B10">
        <v>907841895.44517899</v>
      </c>
      <c r="C10">
        <v>837340000.09716904</v>
      </c>
      <c r="D10" s="4">
        <v>35970354.769392602</v>
      </c>
    </row>
    <row r="11" spans="1:4" x14ac:dyDescent="0.3">
      <c r="A11">
        <v>764440341.21053803</v>
      </c>
      <c r="B11">
        <v>961063711.23493004</v>
      </c>
      <c r="C11">
        <v>862752026.22273397</v>
      </c>
      <c r="D11" s="4">
        <v>50159022.965406001</v>
      </c>
    </row>
    <row r="12" spans="1:4" x14ac:dyDescent="0.3">
      <c r="A12">
        <v>813224748.73592401</v>
      </c>
      <c r="B12">
        <v>963103355.96067202</v>
      </c>
      <c r="C12">
        <v>888164052.34829795</v>
      </c>
      <c r="D12">
        <v>38234338.577741697</v>
      </c>
    </row>
    <row r="13" spans="1:4" x14ac:dyDescent="0.3">
      <c r="A13" s="4">
        <v>836554721.90314603</v>
      </c>
      <c r="B13" s="4">
        <v>990597435.04457903</v>
      </c>
      <c r="C13" s="4">
        <v>913576078.47386205</v>
      </c>
      <c r="D13">
        <v>39296610.495263398</v>
      </c>
    </row>
    <row r="14" spans="1:4" x14ac:dyDescent="0.3">
      <c r="A14">
        <v>840287599.32266903</v>
      </c>
      <c r="B14">
        <v>1037688609.8761801</v>
      </c>
      <c r="C14">
        <v>938988104.59942698</v>
      </c>
      <c r="D14">
        <v>50357400.651406802</v>
      </c>
    </row>
    <row r="15" spans="1:4" x14ac:dyDescent="0.3">
      <c r="A15">
        <v>920398353.22078896</v>
      </c>
      <c r="B15">
        <v>1008401908.22919</v>
      </c>
      <c r="C15">
        <v>964400130.72499096</v>
      </c>
      <c r="D15">
        <v>22449886.481735598</v>
      </c>
    </row>
    <row r="16" spans="1:4" x14ac:dyDescent="0.3">
      <c r="A16">
        <v>943006497.90077806</v>
      </c>
      <c r="B16">
        <v>1036617815.80033</v>
      </c>
      <c r="C16">
        <v>989812156.85055494</v>
      </c>
      <c r="D16">
        <v>23880438.239682101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571733699.66383004</v>
      </c>
      <c r="B2">
        <v>716830392.53616905</v>
      </c>
      <c r="C2">
        <v>644282046.10000002</v>
      </c>
      <c r="D2" s="4">
        <v>37014462.467433497</v>
      </c>
    </row>
    <row r="3" spans="1:4" x14ac:dyDescent="0.3">
      <c r="A3">
        <v>593731339.763273</v>
      </c>
      <c r="B3">
        <v>716839886.63672698</v>
      </c>
      <c r="C3">
        <v>655285613.20000005</v>
      </c>
      <c r="D3" s="4">
        <v>31405241.5493505</v>
      </c>
    </row>
    <row r="4" spans="1:4" x14ac:dyDescent="0.3">
      <c r="A4">
        <v>588305333.39546001</v>
      </c>
      <c r="B4">
        <v>744273027.20454001</v>
      </c>
      <c r="C4">
        <v>666289180.29999995</v>
      </c>
      <c r="D4" s="4">
        <v>39787676.992112197</v>
      </c>
    </row>
    <row r="5" spans="1:4" x14ac:dyDescent="0.3">
      <c r="A5">
        <v>580590868.12572598</v>
      </c>
      <c r="B5">
        <v>773994626.67427301</v>
      </c>
      <c r="C5">
        <v>677292747.39999998</v>
      </c>
      <c r="D5" s="4">
        <v>49337693.507282197</v>
      </c>
    </row>
    <row r="6" spans="1:4" x14ac:dyDescent="0.3">
      <c r="A6">
        <v>625581582.681584</v>
      </c>
      <c r="B6">
        <v>751011046.31841505</v>
      </c>
      <c r="C6">
        <v>688296314.5</v>
      </c>
      <c r="D6" s="4">
        <v>31997312.152252801</v>
      </c>
    </row>
    <row r="7" spans="1:4" x14ac:dyDescent="0.3">
      <c r="A7">
        <v>635582212.42361796</v>
      </c>
      <c r="B7">
        <v>763017550.77638102</v>
      </c>
      <c r="C7">
        <v>699299881.60000002</v>
      </c>
      <c r="D7" s="4">
        <v>32509014.885908801</v>
      </c>
    </row>
    <row r="8" spans="1:4" x14ac:dyDescent="0.3">
      <c r="A8">
        <v>608536418.66316795</v>
      </c>
      <c r="B8">
        <v>812070478.73683095</v>
      </c>
      <c r="C8">
        <v>710303448.70000005</v>
      </c>
      <c r="D8" s="4">
        <v>51921954.100424297</v>
      </c>
    </row>
    <row r="9" spans="1:4" x14ac:dyDescent="0.3">
      <c r="A9">
        <v>634344380.254987</v>
      </c>
      <c r="B9">
        <v>808269651.34501302</v>
      </c>
      <c r="C9">
        <v>721307015.79999995</v>
      </c>
      <c r="D9" s="4">
        <v>44368691.6045985</v>
      </c>
    </row>
    <row r="10" spans="1:4" x14ac:dyDescent="0.3">
      <c r="A10">
        <v>670651896.97568703</v>
      </c>
      <c r="B10">
        <v>793969268.82431304</v>
      </c>
      <c r="C10">
        <v>732310582.89999998</v>
      </c>
      <c r="D10" s="4">
        <v>31458513.2266903</v>
      </c>
    </row>
    <row r="11" spans="1:4" x14ac:dyDescent="0.3">
      <c r="A11">
        <v>658612562.10591102</v>
      </c>
      <c r="B11">
        <v>828015737.89408898</v>
      </c>
      <c r="C11">
        <v>743314150</v>
      </c>
      <c r="D11" s="4">
        <v>43215095.864330903</v>
      </c>
    </row>
    <row r="12" spans="1:4" x14ac:dyDescent="0.3">
      <c r="A12">
        <v>690671767.60171795</v>
      </c>
      <c r="B12">
        <v>817963666.59828198</v>
      </c>
      <c r="C12">
        <v>754317717.10000002</v>
      </c>
      <c r="D12">
        <v>32472423.213409301</v>
      </c>
    </row>
    <row r="13" spans="1:4" x14ac:dyDescent="0.3">
      <c r="A13" s="4">
        <v>700798925.40532005</v>
      </c>
      <c r="B13" s="4">
        <v>829843642.99467897</v>
      </c>
      <c r="C13" s="4">
        <v>765321284.20000005</v>
      </c>
      <c r="D13">
        <v>32919570.813611899</v>
      </c>
    </row>
    <row r="14" spans="1:4" x14ac:dyDescent="0.3">
      <c r="A14">
        <v>694722480.93248498</v>
      </c>
      <c r="B14">
        <v>857927221.66751504</v>
      </c>
      <c r="C14">
        <v>776324851.29999995</v>
      </c>
      <c r="D14">
        <v>41633862.432405598</v>
      </c>
    </row>
    <row r="15" spans="1:4" x14ac:dyDescent="0.3">
      <c r="A15">
        <v>751405725.33366001</v>
      </c>
      <c r="B15">
        <v>823251111.46633995</v>
      </c>
      <c r="C15">
        <v>787328418.39999998</v>
      </c>
      <c r="D15">
        <v>18327904.625683598</v>
      </c>
    </row>
    <row r="16" spans="1:4" x14ac:dyDescent="0.3">
      <c r="A16">
        <v>760580929.01580203</v>
      </c>
      <c r="B16">
        <v>836083041.98419797</v>
      </c>
      <c r="C16">
        <v>798331985.5</v>
      </c>
      <c r="D16">
        <v>19260743.104182702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selection activeCell="H8" sqref="H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167720645.085554</v>
      </c>
      <c r="B2">
        <v>210285410.71444499</v>
      </c>
      <c r="C2">
        <v>189003027.90000001</v>
      </c>
      <c r="D2" s="4">
        <v>10858358.5787986</v>
      </c>
    </row>
    <row r="3" spans="1:4" x14ac:dyDescent="0.3">
      <c r="A3">
        <v>185067993.202932</v>
      </c>
      <c r="B3">
        <v>223441328.39706701</v>
      </c>
      <c r="C3">
        <v>204254660.80000001</v>
      </c>
      <c r="D3" s="4">
        <v>9789116.1209529601</v>
      </c>
    </row>
    <row r="4" spans="1:4" x14ac:dyDescent="0.3">
      <c r="A4">
        <v>193814828.62956801</v>
      </c>
      <c r="B4">
        <v>245197758.77043101</v>
      </c>
      <c r="C4">
        <v>219506293.69999999</v>
      </c>
      <c r="D4" s="4">
        <v>13107890.3420568</v>
      </c>
    </row>
    <row r="5" spans="1:4" x14ac:dyDescent="0.3">
      <c r="A5">
        <v>201239875.854736</v>
      </c>
      <c r="B5">
        <v>268275977.345263</v>
      </c>
      <c r="C5">
        <v>234757926.59999999</v>
      </c>
      <c r="D5" s="4">
        <v>17101046.298603602</v>
      </c>
    </row>
    <row r="6" spans="1:4" x14ac:dyDescent="0.3">
      <c r="A6">
        <v>227229715.781858</v>
      </c>
      <c r="B6">
        <v>272789403.21814102</v>
      </c>
      <c r="C6">
        <v>250009559.5</v>
      </c>
      <c r="D6" s="4">
        <v>11622369.2439497</v>
      </c>
    </row>
    <row r="7" spans="1:4" x14ac:dyDescent="0.3">
      <c r="A7">
        <v>241091554.52732599</v>
      </c>
      <c r="B7">
        <v>289430830.27267301</v>
      </c>
      <c r="C7">
        <v>265261192.40000001</v>
      </c>
      <c r="D7" s="4">
        <v>12331447.8942212</v>
      </c>
    </row>
    <row r="8" spans="1:4" x14ac:dyDescent="0.3">
      <c r="A8">
        <v>240323020.266294</v>
      </c>
      <c r="B8">
        <v>320702630.33370501</v>
      </c>
      <c r="C8">
        <v>280512825.30000001</v>
      </c>
      <c r="D8" s="4">
        <v>20505002.568217002</v>
      </c>
    </row>
    <row r="9" spans="1:4" x14ac:dyDescent="0.3">
      <c r="A9">
        <v>260106331.74036899</v>
      </c>
      <c r="B9">
        <v>331422584.65963</v>
      </c>
      <c r="C9">
        <v>295764458.19999999</v>
      </c>
      <c r="D9" s="4">
        <v>18192921.663076598</v>
      </c>
    </row>
    <row r="10" spans="1:4" x14ac:dyDescent="0.3">
      <c r="A10">
        <v>284829328.37072003</v>
      </c>
      <c r="B10">
        <v>337202853.82927901</v>
      </c>
      <c r="C10">
        <v>311016091.09999901</v>
      </c>
      <c r="D10" s="4">
        <v>13360593.229224</v>
      </c>
    </row>
    <row r="11" spans="1:4" x14ac:dyDescent="0.3">
      <c r="A11">
        <v>289089104.02970803</v>
      </c>
      <c r="B11">
        <v>363446343.97029102</v>
      </c>
      <c r="C11">
        <v>326267723.99999899</v>
      </c>
      <c r="D11" s="4">
        <v>18968683.658312</v>
      </c>
    </row>
    <row r="12" spans="1:4" x14ac:dyDescent="0.3">
      <c r="A12">
        <v>312703483.62910599</v>
      </c>
      <c r="B12">
        <v>370335230.17089301</v>
      </c>
      <c r="C12">
        <v>341519356.89999902</v>
      </c>
      <c r="D12">
        <v>14701976.158619</v>
      </c>
    </row>
    <row r="13" spans="1:4" x14ac:dyDescent="0.3">
      <c r="A13" s="4">
        <v>326692503.43532002</v>
      </c>
      <c r="B13" s="4">
        <v>386849476.16467899</v>
      </c>
      <c r="C13" s="4">
        <v>356770989.799999</v>
      </c>
      <c r="D13">
        <v>15346166.512591399</v>
      </c>
    </row>
    <row r="14" spans="1:4" x14ac:dyDescent="0.3">
      <c r="A14">
        <v>332917951.772843</v>
      </c>
      <c r="B14">
        <v>411127293.62715501</v>
      </c>
      <c r="C14">
        <v>372022622.69999897</v>
      </c>
      <c r="D14">
        <v>19951362.717936601</v>
      </c>
    </row>
    <row r="15" spans="1:4" x14ac:dyDescent="0.3">
      <c r="A15">
        <v>369604457.46838099</v>
      </c>
      <c r="B15">
        <v>404944053.73161697</v>
      </c>
      <c r="C15">
        <v>387274255.59999901</v>
      </c>
      <c r="D15">
        <v>9015203.12837651</v>
      </c>
    </row>
    <row r="16" spans="1:4" x14ac:dyDescent="0.3">
      <c r="A16">
        <v>383491479.47078001</v>
      </c>
      <c r="B16">
        <v>421560297.52921802</v>
      </c>
      <c r="C16">
        <v>402525888.49999899</v>
      </c>
      <c r="D16">
        <v>9711433.1781729497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201660882.422813</v>
      </c>
      <c r="B2">
        <v>252839127.01198599</v>
      </c>
      <c r="C2">
        <v>227250004.717399</v>
      </c>
      <c r="D2" s="4">
        <v>13055674.640094999</v>
      </c>
    </row>
    <row r="3" spans="1:4" x14ac:dyDescent="0.3">
      <c r="A3">
        <v>220904521.93972501</v>
      </c>
      <c r="B3">
        <v>266708461.99217001</v>
      </c>
      <c r="C3">
        <v>243806491.965947</v>
      </c>
      <c r="D3" s="4">
        <v>11684678.584807299</v>
      </c>
    </row>
    <row r="4" spans="1:4" x14ac:dyDescent="0.3">
      <c r="A4">
        <v>229384854.126863</v>
      </c>
      <c r="B4">
        <v>290197878.69424403</v>
      </c>
      <c r="C4">
        <v>259791366.41055399</v>
      </c>
      <c r="D4" s="4">
        <v>15513526.675352201</v>
      </c>
    </row>
    <row r="5" spans="1:4" x14ac:dyDescent="0.3">
      <c r="A5">
        <v>236218416.23657501</v>
      </c>
      <c r="B5">
        <v>314906408.15422499</v>
      </c>
      <c r="C5">
        <v>275562412.1954</v>
      </c>
      <c r="D5" s="4">
        <v>20073467.325931098</v>
      </c>
    </row>
    <row r="6" spans="1:4" x14ac:dyDescent="0.3">
      <c r="A6">
        <v>264715649.77536899</v>
      </c>
      <c r="B6">
        <v>317791288.32801503</v>
      </c>
      <c r="C6">
        <v>291253469.05169201</v>
      </c>
      <c r="D6" s="4">
        <v>13539703.712409601</v>
      </c>
    </row>
    <row r="7" spans="1:4" x14ac:dyDescent="0.3">
      <c r="A7">
        <v>278949658.03418499</v>
      </c>
      <c r="B7">
        <v>334879549.33718598</v>
      </c>
      <c r="C7">
        <v>306914603.68568599</v>
      </c>
      <c r="D7" s="4">
        <v>14267829.4140308</v>
      </c>
    </row>
    <row r="8" spans="1:4" x14ac:dyDescent="0.3">
      <c r="A8">
        <v>276349880.29196399</v>
      </c>
      <c r="B8">
        <v>368779209.76456398</v>
      </c>
      <c r="C8">
        <v>322564545.02826399</v>
      </c>
      <c r="D8" s="4">
        <v>23578910.579744998</v>
      </c>
    </row>
    <row r="9" spans="1:4" x14ac:dyDescent="0.3">
      <c r="A9">
        <v>297434792.58583301</v>
      </c>
      <c r="B9">
        <v>378985805.79304802</v>
      </c>
      <c r="C9">
        <v>338210299.18944001</v>
      </c>
      <c r="D9" s="4">
        <v>20803829.8997996</v>
      </c>
    </row>
    <row r="10" spans="1:4" x14ac:dyDescent="0.3">
      <c r="A10">
        <v>324060840.45374697</v>
      </c>
      <c r="B10">
        <v>383648133.56962901</v>
      </c>
      <c r="C10">
        <v>353854487.01168799</v>
      </c>
      <c r="D10" s="4">
        <v>15200840.0805823</v>
      </c>
    </row>
    <row r="11" spans="1:4" x14ac:dyDescent="0.3">
      <c r="A11">
        <v>327393314.14951301</v>
      </c>
      <c r="B11">
        <v>411602863.64763701</v>
      </c>
      <c r="C11">
        <v>369498088.89857501</v>
      </c>
      <c r="D11" s="4">
        <v>21482027.933194902</v>
      </c>
    </row>
    <row r="12" spans="1:4" x14ac:dyDescent="0.3">
      <c r="A12">
        <v>352644959.72426301</v>
      </c>
      <c r="B12">
        <v>417637983.47379303</v>
      </c>
      <c r="C12">
        <v>385141471.59902799</v>
      </c>
      <c r="D12">
        <v>16579852.997329099</v>
      </c>
    </row>
    <row r="13" spans="1:4" x14ac:dyDescent="0.3">
      <c r="A13" s="4">
        <v>366995591.98158199</v>
      </c>
      <c r="B13" s="4">
        <v>434573952.63105297</v>
      </c>
      <c r="C13" s="4">
        <v>400784772.30631697</v>
      </c>
      <c r="D13">
        <v>17239377.716701899</v>
      </c>
    </row>
    <row r="14" spans="1:4" x14ac:dyDescent="0.3">
      <c r="A14">
        <v>372655753.86513901</v>
      </c>
      <c r="B14">
        <v>460200330.81814498</v>
      </c>
      <c r="C14">
        <v>416428042.34164202</v>
      </c>
      <c r="D14">
        <v>22332800.243113801</v>
      </c>
    </row>
    <row r="15" spans="1:4" x14ac:dyDescent="0.3">
      <c r="A15">
        <v>412357590.12840903</v>
      </c>
      <c r="B15">
        <v>451785011.67801398</v>
      </c>
      <c r="C15">
        <v>432071300.903211</v>
      </c>
      <c r="D15">
        <v>10058015.701429799</v>
      </c>
    </row>
    <row r="16" spans="1:4" x14ac:dyDescent="0.3">
      <c r="A16">
        <v>426543290.876495</v>
      </c>
      <c r="B16">
        <v>468885819.46887201</v>
      </c>
      <c r="C16">
        <v>447714555.17268401</v>
      </c>
      <c r="D16">
        <v>10801665.457239101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activeCell="A2" sqref="A2:D16"/>
    </sheetView>
  </sheetViews>
  <sheetFormatPr defaultRowHeight="14.4" x14ac:dyDescent="0.3"/>
  <cols>
    <col min="1" max="1" width="12" bestFit="1" customWidth="1"/>
    <col min="2" max="2" width="11" bestFit="1" customWidth="1"/>
    <col min="3" max="4" width="12" bestFit="1" customWidth="1"/>
  </cols>
  <sheetData>
    <row r="1" spans="1:4" x14ac:dyDescent="0.3">
      <c r="A1" s="2" t="s">
        <v>0</v>
      </c>
      <c r="B1" s="2" t="s">
        <v>1</v>
      </c>
      <c r="C1" t="s">
        <v>16</v>
      </c>
      <c r="D1" t="s">
        <v>2</v>
      </c>
    </row>
    <row r="2" spans="1:4" x14ac:dyDescent="0.3">
      <c r="A2">
        <v>369028073.87600702</v>
      </c>
      <c r="B2">
        <v>462681383.32399201</v>
      </c>
      <c r="C2">
        <v>415854728.60000002</v>
      </c>
      <c r="D2" s="4">
        <v>23891150.369383901</v>
      </c>
    </row>
    <row r="3" spans="1:4" x14ac:dyDescent="0.3">
      <c r="A3">
        <v>395839692.87596899</v>
      </c>
      <c r="B3">
        <v>477915955.52403003</v>
      </c>
      <c r="C3">
        <v>436877824.19999999</v>
      </c>
      <c r="D3" s="4">
        <v>20937822.104096901</v>
      </c>
    </row>
    <row r="4" spans="1:4" x14ac:dyDescent="0.3">
      <c r="A4">
        <v>404307260.64579701</v>
      </c>
      <c r="B4">
        <v>511494578.954202</v>
      </c>
      <c r="C4">
        <v>457900919.80000001</v>
      </c>
      <c r="D4" s="4">
        <v>27343703.650103301</v>
      </c>
    </row>
    <row r="5" spans="1:4" x14ac:dyDescent="0.3">
      <c r="A5">
        <v>410544644.00329202</v>
      </c>
      <c r="B5">
        <v>547303386.79670703</v>
      </c>
      <c r="C5">
        <v>478924015.39999998</v>
      </c>
      <c r="D5" s="4">
        <v>34887434.386075199</v>
      </c>
    </row>
    <row r="6" spans="1:4" x14ac:dyDescent="0.3">
      <c r="A6">
        <v>454393984.63678002</v>
      </c>
      <c r="B6">
        <v>545500237.36321902</v>
      </c>
      <c r="C6">
        <v>499947111</v>
      </c>
      <c r="D6" s="4">
        <v>23241391.001642499</v>
      </c>
    </row>
    <row r="7" spans="1:4" x14ac:dyDescent="0.3">
      <c r="A7">
        <v>473501290.690934</v>
      </c>
      <c r="B7">
        <v>568439122.50906503</v>
      </c>
      <c r="C7">
        <v>520970206.60000002</v>
      </c>
      <c r="D7" s="4">
        <v>24218834.647482298</v>
      </c>
    </row>
    <row r="8" spans="1:4" x14ac:dyDescent="0.3">
      <c r="A8">
        <v>464340506.39040899</v>
      </c>
      <c r="B8">
        <v>619646098.00959003</v>
      </c>
      <c r="C8">
        <v>541993302.20000005</v>
      </c>
      <c r="D8" s="4">
        <v>39618773.372239999</v>
      </c>
    </row>
    <row r="9" spans="1:4" x14ac:dyDescent="0.3">
      <c r="A9">
        <v>495137687.71502399</v>
      </c>
      <c r="B9">
        <v>630895107.88497603</v>
      </c>
      <c r="C9">
        <v>563016397.79999995</v>
      </c>
      <c r="D9" s="4">
        <v>34631994.941314302</v>
      </c>
    </row>
    <row r="10" spans="1:4" x14ac:dyDescent="0.3">
      <c r="A10">
        <v>534864855.57305598</v>
      </c>
      <c r="B10">
        <v>633214131.22694397</v>
      </c>
      <c r="C10">
        <v>584039493.39999998</v>
      </c>
      <c r="D10" s="4">
        <v>25089100.932114098</v>
      </c>
    </row>
    <row r="11" spans="1:4" x14ac:dyDescent="0.3">
      <c r="A11">
        <v>536114941.40899301</v>
      </c>
      <c r="B11">
        <v>674010236.59100604</v>
      </c>
      <c r="C11">
        <v>605062589</v>
      </c>
      <c r="D11" s="4">
        <v>35177371.2199011</v>
      </c>
    </row>
    <row r="12" spans="1:4" x14ac:dyDescent="0.3">
      <c r="A12">
        <v>573259379.502931</v>
      </c>
      <c r="B12">
        <v>678911989.69706905</v>
      </c>
      <c r="C12">
        <v>626085684.60000002</v>
      </c>
      <c r="D12">
        <v>26952196.478096299</v>
      </c>
    </row>
    <row r="13" spans="1:4" x14ac:dyDescent="0.3">
      <c r="A13" s="4">
        <v>592552627.434829</v>
      </c>
      <c r="B13" s="4">
        <v>701664932.96517003</v>
      </c>
      <c r="C13" s="4">
        <v>647108780.20000005</v>
      </c>
      <c r="D13">
        <v>27834771.8189645</v>
      </c>
    </row>
    <row r="14" spans="1:4" x14ac:dyDescent="0.3">
      <c r="A14">
        <v>597902068.40419698</v>
      </c>
      <c r="B14">
        <v>738361683.19580305</v>
      </c>
      <c r="C14">
        <v>668131875.79999995</v>
      </c>
      <c r="D14">
        <v>35831534.385613598</v>
      </c>
    </row>
    <row r="15" spans="1:4" x14ac:dyDescent="0.3">
      <c r="A15">
        <v>657711545.84316099</v>
      </c>
      <c r="B15">
        <v>720598396.95683897</v>
      </c>
      <c r="C15">
        <v>689154971.39999998</v>
      </c>
      <c r="D15">
        <v>16042564.0596119</v>
      </c>
    </row>
    <row r="16" spans="1:4" x14ac:dyDescent="0.3">
      <c r="A16">
        <v>676595581.50762105</v>
      </c>
      <c r="B16">
        <v>743760552.49237895</v>
      </c>
      <c r="C16">
        <v>710178067</v>
      </c>
      <c r="D16">
        <v>17133921.169580899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23842587.882780701</v>
      </c>
      <c r="B2">
        <v>29893448.0180915</v>
      </c>
      <c r="C2">
        <v>26868017.9504361</v>
      </c>
      <c r="D2" s="4">
        <v>1543586.76921193</v>
      </c>
    </row>
    <row r="3" spans="1:4" x14ac:dyDescent="0.3">
      <c r="A3">
        <v>24935250.888546798</v>
      </c>
      <c r="B3">
        <v>30105506.014439099</v>
      </c>
      <c r="C3">
        <v>27520378.451492898</v>
      </c>
      <c r="D3" s="4">
        <v>1318942.6341562101</v>
      </c>
    </row>
    <row r="4" spans="1:4" x14ac:dyDescent="0.3">
      <c r="A4">
        <v>24960308.828968398</v>
      </c>
      <c r="B4">
        <v>31577623.994798701</v>
      </c>
      <c r="C4">
        <v>28268966.4118836</v>
      </c>
      <c r="D4" s="4">
        <v>1688090.6035281301</v>
      </c>
    </row>
    <row r="5" spans="1:4" x14ac:dyDescent="0.3">
      <c r="A5">
        <v>24856063.082652401</v>
      </c>
      <c r="B5">
        <v>33136000.447881099</v>
      </c>
      <c r="C5">
        <v>28996031.765266702</v>
      </c>
      <c r="D5" s="4">
        <v>2112228.9197011902</v>
      </c>
    </row>
    <row r="6" spans="1:4" x14ac:dyDescent="0.3">
      <c r="A6">
        <v>27019225.861270402</v>
      </c>
      <c r="B6">
        <v>32436596.0356519</v>
      </c>
      <c r="C6">
        <v>29727910.9484611</v>
      </c>
      <c r="D6" s="4">
        <v>1381982.1873422</v>
      </c>
    </row>
    <row r="7" spans="1:4" x14ac:dyDescent="0.3">
      <c r="A7">
        <v>27683425.9416392</v>
      </c>
      <c r="B7">
        <v>33234000.9619563</v>
      </c>
      <c r="C7">
        <v>30458713.451797798</v>
      </c>
      <c r="D7" s="4">
        <v>1415963.0153870201</v>
      </c>
    </row>
    <row r="8" spans="1:4" x14ac:dyDescent="0.3">
      <c r="A8">
        <v>26721118.865806598</v>
      </c>
      <c r="B8">
        <v>35658394.673253298</v>
      </c>
      <c r="C8">
        <v>31189756.769529901</v>
      </c>
      <c r="D8" s="4">
        <v>2279917.2978180302</v>
      </c>
    </row>
    <row r="9" spans="1:4" x14ac:dyDescent="0.3">
      <c r="A9">
        <v>28072298.6721696</v>
      </c>
      <c r="B9">
        <v>35769193.779389903</v>
      </c>
      <c r="C9">
        <v>31920746.225779802</v>
      </c>
      <c r="D9" s="4">
        <v>1963493.6498010899</v>
      </c>
    </row>
    <row r="10" spans="1:4" x14ac:dyDescent="0.3">
      <c r="A10">
        <v>29902553.732378799</v>
      </c>
      <c r="B10">
        <v>35400941.725416802</v>
      </c>
      <c r="C10">
        <v>32651747.728897799</v>
      </c>
      <c r="D10" s="4">
        <v>1402649.99822398</v>
      </c>
    </row>
    <row r="11" spans="1:4" x14ac:dyDescent="0.3">
      <c r="A11">
        <v>29578740.331041601</v>
      </c>
      <c r="B11">
        <v>37186752.744091399</v>
      </c>
      <c r="C11">
        <v>33382746.537566502</v>
      </c>
      <c r="D11" s="4">
        <v>1940819.49312494</v>
      </c>
    </row>
    <row r="12" spans="1:4" x14ac:dyDescent="0.3">
      <c r="A12">
        <v>31235380.9010556</v>
      </c>
      <c r="B12">
        <v>36992110.996716902</v>
      </c>
      <c r="C12">
        <v>34113745.948886298</v>
      </c>
      <c r="D12">
        <v>1468553.59583196</v>
      </c>
    </row>
    <row r="13" spans="1:4" x14ac:dyDescent="0.3">
      <c r="A13" s="4">
        <v>31907070.290771399</v>
      </c>
      <c r="B13" s="4">
        <v>37782420.160058104</v>
      </c>
      <c r="C13" s="4">
        <v>34844745.225414701</v>
      </c>
      <c r="D13">
        <v>1498813.7421649699</v>
      </c>
    </row>
    <row r="14" spans="1:4" x14ac:dyDescent="0.3">
      <c r="A14">
        <v>31836246.721932799</v>
      </c>
      <c r="B14">
        <v>39315242.342249401</v>
      </c>
      <c r="C14">
        <v>35575744.532091103</v>
      </c>
      <c r="D14">
        <v>1907907.04599912</v>
      </c>
    </row>
    <row r="15" spans="1:4" x14ac:dyDescent="0.3">
      <c r="A15">
        <v>34650210.186806299</v>
      </c>
      <c r="B15">
        <v>37963277.477242701</v>
      </c>
      <c r="C15">
        <v>36306743.8320245</v>
      </c>
      <c r="D15">
        <v>845170.22715215199</v>
      </c>
    </row>
    <row r="16" spans="1:4" x14ac:dyDescent="0.3">
      <c r="A16">
        <v>35286323.976430804</v>
      </c>
      <c r="B16">
        <v>38789162.290501297</v>
      </c>
      <c r="C16">
        <v>37037743.133466102</v>
      </c>
      <c r="D16">
        <v>893581.202569013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294051766.11827701</v>
      </c>
      <c r="B2">
        <v>368677310.88172197</v>
      </c>
      <c r="C2">
        <v>331364538.5</v>
      </c>
      <c r="D2" s="4">
        <v>19037128.766184699</v>
      </c>
    </row>
    <row r="3" spans="1:4" x14ac:dyDescent="0.3">
      <c r="A3">
        <v>324468807.28347099</v>
      </c>
      <c r="B3">
        <v>391746514.716528</v>
      </c>
      <c r="C3">
        <v>358107661</v>
      </c>
      <c r="D3" s="4">
        <v>17162680.4676168</v>
      </c>
    </row>
    <row r="4" spans="1:4" x14ac:dyDescent="0.3">
      <c r="A4">
        <v>339807061.54124999</v>
      </c>
      <c r="B4">
        <v>429894505.458749</v>
      </c>
      <c r="C4">
        <v>384850783.5</v>
      </c>
      <c r="D4" s="4">
        <v>22981490.7952803</v>
      </c>
    </row>
    <row r="5" spans="1:4" x14ac:dyDescent="0.3">
      <c r="A5">
        <v>352827730.86992401</v>
      </c>
      <c r="B5">
        <v>470360081.13007498</v>
      </c>
      <c r="C5">
        <v>411593906</v>
      </c>
      <c r="D5" s="4">
        <v>29982742.413303901</v>
      </c>
    </row>
    <row r="6" spans="1:4" x14ac:dyDescent="0.3">
      <c r="A6">
        <v>398397559.68498999</v>
      </c>
      <c r="B6">
        <v>478276497.315009</v>
      </c>
      <c r="C6">
        <v>438337028.5</v>
      </c>
      <c r="D6" s="4">
        <v>20377280.0076578</v>
      </c>
    </row>
    <row r="7" spans="1:4" x14ac:dyDescent="0.3">
      <c r="A7">
        <v>422703734.27000201</v>
      </c>
      <c r="B7">
        <v>507456567.72999698</v>
      </c>
      <c r="C7">
        <v>465080151</v>
      </c>
      <c r="D7" s="4">
        <v>21620620.7806109</v>
      </c>
    </row>
    <row r="8" spans="1:4" x14ac:dyDescent="0.3">
      <c r="A8">
        <v>421358468.72016698</v>
      </c>
      <c r="B8">
        <v>562288078.27983201</v>
      </c>
      <c r="C8">
        <v>491823273.5</v>
      </c>
      <c r="D8" s="4">
        <v>35951431.010118604</v>
      </c>
    </row>
    <row r="9" spans="1:4" x14ac:dyDescent="0.3">
      <c r="A9">
        <v>456046692.85913497</v>
      </c>
      <c r="B9">
        <v>581086099.14086401</v>
      </c>
      <c r="C9">
        <v>518566396</v>
      </c>
      <c r="D9" s="4">
        <v>31897807.724930901</v>
      </c>
    </row>
    <row r="10" spans="1:4" x14ac:dyDescent="0.3">
      <c r="A10">
        <v>499395845.916462</v>
      </c>
      <c r="B10">
        <v>591223191.08353698</v>
      </c>
      <c r="C10">
        <v>545309518.5</v>
      </c>
      <c r="D10" s="4">
        <v>23425343.154865898</v>
      </c>
    </row>
    <row r="11" spans="1:4" x14ac:dyDescent="0.3">
      <c r="A11">
        <v>506866518.750467</v>
      </c>
      <c r="B11">
        <v>637238763.24953198</v>
      </c>
      <c r="C11">
        <v>572052641</v>
      </c>
      <c r="D11" s="4">
        <v>33258225.637516301</v>
      </c>
    </row>
    <row r="12" spans="1:4" x14ac:dyDescent="0.3">
      <c r="A12">
        <v>548272059.68189895</v>
      </c>
      <c r="B12">
        <v>649319467.31809998</v>
      </c>
      <c r="C12">
        <v>598795763.5</v>
      </c>
      <c r="D12">
        <v>25777399.907194301</v>
      </c>
    </row>
    <row r="13" spans="1:4" x14ac:dyDescent="0.3">
      <c r="A13" s="4">
        <v>572801238.06602597</v>
      </c>
      <c r="B13" s="4">
        <v>678276533.93397295</v>
      </c>
      <c r="C13" s="4">
        <v>625538886</v>
      </c>
      <c r="D13">
        <v>26906963.231619101</v>
      </c>
    </row>
    <row r="14" spans="1:4" x14ac:dyDescent="0.3">
      <c r="A14">
        <v>583718239.15453696</v>
      </c>
      <c r="B14">
        <v>720845777.84546196</v>
      </c>
      <c r="C14">
        <v>652282008.5</v>
      </c>
      <c r="D14">
        <v>34981514.972174697</v>
      </c>
    </row>
    <row r="15" spans="1:4" x14ac:dyDescent="0.3">
      <c r="A15">
        <v>648043890.14143395</v>
      </c>
      <c r="B15">
        <v>710006371.85856605</v>
      </c>
      <c r="C15">
        <v>679025131</v>
      </c>
      <c r="D15">
        <v>15806755.5400846</v>
      </c>
    </row>
    <row r="16" spans="1:4" x14ac:dyDescent="0.3">
      <c r="A16">
        <v>672394296.69186103</v>
      </c>
      <c r="B16">
        <v>739142210.30813801</v>
      </c>
      <c r="C16">
        <v>705768253.5</v>
      </c>
      <c r="D16">
        <v>17027528.983743999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workbookViewId="0">
      <selection activeCell="K16" sqref="K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316080220.14981598</v>
      </c>
      <c r="B2">
        <v>396296227.45018297</v>
      </c>
      <c r="C2">
        <v>356188223.79999948</v>
      </c>
      <c r="D2" s="4">
        <v>20463267.168460801</v>
      </c>
    </row>
    <row r="3" spans="1:4" x14ac:dyDescent="0.3">
      <c r="A3">
        <v>326780185.00312901</v>
      </c>
      <c r="B3">
        <v>394537150.19687003</v>
      </c>
      <c r="C3">
        <v>360658667.59999955</v>
      </c>
      <c r="D3" s="4">
        <v>17284940.100444298</v>
      </c>
    </row>
    <row r="4" spans="1:4" x14ac:dyDescent="0.3">
      <c r="A4">
        <v>322393654.23560798</v>
      </c>
      <c r="B4">
        <v>407864568.56439102</v>
      </c>
      <c r="C4">
        <v>365129111.3999995</v>
      </c>
      <c r="D4" s="4">
        <v>21803804.67571</v>
      </c>
    </row>
    <row r="5" spans="1:4" x14ac:dyDescent="0.3">
      <c r="A5">
        <v>316829210.76034898</v>
      </c>
      <c r="B5">
        <v>422369899.639651</v>
      </c>
      <c r="C5">
        <v>369599555.19999999</v>
      </c>
      <c r="D5" s="4">
        <v>26923645.1222708</v>
      </c>
    </row>
    <row r="6" spans="1:4" x14ac:dyDescent="0.3">
      <c r="A6">
        <v>339986277.82586902</v>
      </c>
      <c r="B6">
        <v>408153720.17413098</v>
      </c>
      <c r="C6">
        <v>374069999</v>
      </c>
      <c r="D6" s="4">
        <v>17389653.6602709</v>
      </c>
    </row>
    <row r="7" spans="1:4" x14ac:dyDescent="0.3">
      <c r="A7">
        <v>344049210.441966</v>
      </c>
      <c r="B7">
        <v>413031675.15803403</v>
      </c>
      <c r="C7">
        <v>378540442.80000001</v>
      </c>
      <c r="D7" s="4">
        <v>17597567.529609099</v>
      </c>
    </row>
    <row r="8" spans="1:4" x14ac:dyDescent="0.3">
      <c r="A8">
        <v>328135916.65244699</v>
      </c>
      <c r="B8">
        <v>437885856.547553</v>
      </c>
      <c r="C8">
        <v>383010886.60000002</v>
      </c>
      <c r="D8" s="4">
        <v>27997433.646710601</v>
      </c>
    </row>
    <row r="9" spans="1:4" x14ac:dyDescent="0.3">
      <c r="A9">
        <v>340765581.10328799</v>
      </c>
      <c r="B9">
        <v>434197079.696711</v>
      </c>
      <c r="C9">
        <v>387481330.3999995</v>
      </c>
      <c r="D9" s="4">
        <v>23834565.967709899</v>
      </c>
    </row>
    <row r="10" spans="1:4" x14ac:dyDescent="0.3">
      <c r="A10">
        <v>358950433.09255397</v>
      </c>
      <c r="B10">
        <v>424953115.30744499</v>
      </c>
      <c r="C10">
        <v>391951774.19999945</v>
      </c>
      <c r="D10" s="4">
        <v>16837418.9323701</v>
      </c>
    </row>
    <row r="11" spans="1:4" x14ac:dyDescent="0.3">
      <c r="A11">
        <v>351249404.67322999</v>
      </c>
      <c r="B11">
        <v>441595031.32676899</v>
      </c>
      <c r="C11">
        <v>396422217.99999952</v>
      </c>
      <c r="D11" s="4">
        <v>23047353.738147799</v>
      </c>
    </row>
    <row r="12" spans="1:4" x14ac:dyDescent="0.3">
      <c r="A12">
        <v>367067135.06406599</v>
      </c>
      <c r="B12">
        <v>434718188.53593397</v>
      </c>
      <c r="C12">
        <v>400892661.79999995</v>
      </c>
      <c r="D12">
        <v>17257921.804047901</v>
      </c>
    </row>
    <row r="13" spans="1:4" x14ac:dyDescent="0.3">
      <c r="A13" s="4">
        <v>371187937.23395997</v>
      </c>
      <c r="B13" s="4">
        <v>439538273.966039</v>
      </c>
      <c r="C13" s="4">
        <v>405363105.59999949</v>
      </c>
      <c r="D13">
        <v>17436310.3908365</v>
      </c>
    </row>
    <row r="14" spans="1:4" x14ac:dyDescent="0.3">
      <c r="A14">
        <v>366754432.41544199</v>
      </c>
      <c r="B14">
        <v>452912666.38455701</v>
      </c>
      <c r="C14">
        <v>409833549.3999995</v>
      </c>
      <c r="D14">
        <v>21979141.3186519</v>
      </c>
    </row>
    <row r="15" spans="1:4" x14ac:dyDescent="0.3">
      <c r="A15">
        <v>395400934.659159</v>
      </c>
      <c r="B15">
        <v>433207051.74084002</v>
      </c>
      <c r="C15">
        <v>414303993.19999951</v>
      </c>
      <c r="D15">
        <v>9644417.6228778102</v>
      </c>
    </row>
    <row r="16" spans="1:4" x14ac:dyDescent="0.3">
      <c r="A16">
        <v>398971676.10294801</v>
      </c>
      <c r="B16">
        <v>438577197.89705199</v>
      </c>
      <c r="C16">
        <v>418774437</v>
      </c>
      <c r="D16">
        <v>10103449.437271399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t="s">
        <v>16</v>
      </c>
      <c r="D1" t="s">
        <v>2</v>
      </c>
    </row>
    <row r="2" spans="1:4" x14ac:dyDescent="0.3">
      <c r="A2">
        <v>266719517.40235001</v>
      </c>
      <c r="B2">
        <v>334408582.99764901</v>
      </c>
      <c r="C2">
        <v>300564050.19999999</v>
      </c>
      <c r="D2" s="4">
        <v>17267618.774310701</v>
      </c>
    </row>
    <row r="3" spans="1:4" x14ac:dyDescent="0.3">
      <c r="A3">
        <v>272330557.26412702</v>
      </c>
      <c r="B3">
        <v>328797543.13587201</v>
      </c>
      <c r="C3">
        <v>300564050.19999999</v>
      </c>
      <c r="D3" s="4">
        <v>14404843.334628699</v>
      </c>
    </row>
    <row r="4" spans="1:4" x14ac:dyDescent="0.3">
      <c r="A4">
        <v>267401952.30737001</v>
      </c>
      <c r="B4">
        <v>338293823.33753002</v>
      </c>
      <c r="C4">
        <v>302847887.82244998</v>
      </c>
      <c r="D4" s="4">
        <v>18084660.9770815</v>
      </c>
    </row>
    <row r="5" spans="1:4" x14ac:dyDescent="0.3">
      <c r="A5">
        <v>262173970.030503</v>
      </c>
      <c r="B5">
        <v>349508156.60009402</v>
      </c>
      <c r="C5">
        <v>305841063.31529802</v>
      </c>
      <c r="D5" s="4">
        <v>22279129.226936501</v>
      </c>
    </row>
    <row r="6" spans="1:4" x14ac:dyDescent="0.3">
      <c r="A6">
        <v>280487877.38370502</v>
      </c>
      <c r="B6">
        <v>336725856.55512601</v>
      </c>
      <c r="C6">
        <v>308606866.96941602</v>
      </c>
      <c r="D6" s="4">
        <v>14346423.2580155</v>
      </c>
    </row>
    <row r="7" spans="1:4" x14ac:dyDescent="0.3">
      <c r="A7">
        <v>282697127.69015801</v>
      </c>
      <c r="B7">
        <v>339378393.17299098</v>
      </c>
      <c r="C7">
        <v>311037760.43157399</v>
      </c>
      <c r="D7" s="4">
        <v>14459506.5007226</v>
      </c>
    </row>
    <row r="8" spans="1:4" x14ac:dyDescent="0.3">
      <c r="A8">
        <v>268435965.34575301</v>
      </c>
      <c r="B8">
        <v>358218368.20775199</v>
      </c>
      <c r="C8">
        <v>313327166.77675301</v>
      </c>
      <c r="D8" s="4">
        <v>22903674.1994894</v>
      </c>
    </row>
    <row r="9" spans="1:4" x14ac:dyDescent="0.3">
      <c r="A9">
        <v>277453822.52449298</v>
      </c>
      <c r="B9">
        <v>353526430.40057898</v>
      </c>
      <c r="C9">
        <v>315490126.46253598</v>
      </c>
      <c r="D9" s="4">
        <v>19406277.519409701</v>
      </c>
    </row>
    <row r="10" spans="1:4" x14ac:dyDescent="0.3">
      <c r="A10">
        <v>290844359.93397802</v>
      </c>
      <c r="B10">
        <v>344323910.57089198</v>
      </c>
      <c r="C10">
        <v>317584135.25243503</v>
      </c>
      <c r="D10" s="4">
        <v>13642742.509416901</v>
      </c>
    </row>
    <row r="11" spans="1:4" x14ac:dyDescent="0.3">
      <c r="A11">
        <v>283204908.78309602</v>
      </c>
      <c r="B11">
        <v>356048662.01072198</v>
      </c>
      <c r="C11">
        <v>319626785.396909</v>
      </c>
      <c r="D11" s="4">
        <v>18582590.109088302</v>
      </c>
    </row>
    <row r="12" spans="1:4" x14ac:dyDescent="0.3">
      <c r="A12">
        <v>294499832.03810501</v>
      </c>
      <c r="B12">
        <v>348776616.80443603</v>
      </c>
      <c r="C12">
        <v>321638224.42127001</v>
      </c>
      <c r="D12">
        <v>13846118.562839501</v>
      </c>
    </row>
    <row r="13" spans="1:4" x14ac:dyDescent="0.3">
      <c r="A13" s="4">
        <v>296343769.45065898</v>
      </c>
      <c r="B13" s="4">
        <v>350912343.476381</v>
      </c>
      <c r="C13" s="4">
        <v>323628056.46351999</v>
      </c>
      <c r="D13">
        <v>13920554.5983983</v>
      </c>
    </row>
    <row r="14" spans="1:4" x14ac:dyDescent="0.3">
      <c r="A14">
        <v>291378689.63043499</v>
      </c>
      <c r="B14">
        <v>359829596.00245702</v>
      </c>
      <c r="C14">
        <v>325604142.81644601</v>
      </c>
      <c r="D14">
        <v>17461965.911230002</v>
      </c>
    </row>
    <row r="15" spans="1:4" x14ac:dyDescent="0.3">
      <c r="A15">
        <v>312625222.03604603</v>
      </c>
      <c r="B15">
        <v>342516769.35160702</v>
      </c>
      <c r="C15">
        <v>327570995.69382602</v>
      </c>
      <c r="D15">
        <v>7625394.7233573804</v>
      </c>
    </row>
    <row r="16" spans="1:4" x14ac:dyDescent="0.3">
      <c r="A16">
        <v>313949150.54328698</v>
      </c>
      <c r="B16">
        <v>345114570.71931499</v>
      </c>
      <c r="C16">
        <v>329531860.63130099</v>
      </c>
      <c r="D16">
        <v>7950362.2898030896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6"/>
  <sheetViews>
    <sheetView workbookViewId="0">
      <selection activeCell="F4" sqref="F4:G4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t="s">
        <v>16</v>
      </c>
      <c r="D1" t="s">
        <v>2</v>
      </c>
    </row>
    <row r="2" spans="1:4" x14ac:dyDescent="0.3">
      <c r="A2">
        <v>26788587.2275589</v>
      </c>
      <c r="B2">
        <v>33587093.972441003</v>
      </c>
      <c r="C2">
        <v>30187840.600000001</v>
      </c>
      <c r="D2" s="4">
        <v>1734312.9451230001</v>
      </c>
    </row>
    <row r="3" spans="1:4" x14ac:dyDescent="0.3">
      <c r="A3">
        <v>29823766.553459801</v>
      </c>
      <c r="B3">
        <v>36007641.846540101</v>
      </c>
      <c r="C3">
        <v>32915704.199999999</v>
      </c>
      <c r="D3" s="4">
        <v>1577519.2074184399</v>
      </c>
    </row>
    <row r="4" spans="1:4" x14ac:dyDescent="0.3">
      <c r="A4">
        <v>31471771.804160401</v>
      </c>
      <c r="B4">
        <v>39815363.7958396</v>
      </c>
      <c r="C4">
        <v>35643567.799999997</v>
      </c>
      <c r="D4" s="4">
        <v>2128467.3448161199</v>
      </c>
    </row>
    <row r="5" spans="1:4" x14ac:dyDescent="0.3">
      <c r="A5">
        <v>32892870.554533798</v>
      </c>
      <c r="B5">
        <v>43849992.245466098</v>
      </c>
      <c r="C5">
        <v>38371431.399999999</v>
      </c>
      <c r="D5" s="4">
        <v>2795184.1048296802</v>
      </c>
    </row>
    <row r="6" spans="1:4" x14ac:dyDescent="0.3">
      <c r="A6">
        <v>37354496.125516199</v>
      </c>
      <c r="B6">
        <v>44844093.874483801</v>
      </c>
      <c r="C6">
        <v>41099295</v>
      </c>
      <c r="D6" s="4">
        <v>1910611.670655</v>
      </c>
    </row>
    <row r="7" spans="1:4" x14ac:dyDescent="0.3">
      <c r="A7">
        <v>39833786.849062197</v>
      </c>
      <c r="B7">
        <v>47820530.350937799</v>
      </c>
      <c r="C7">
        <v>43827158.600000001</v>
      </c>
      <c r="D7" s="4">
        <v>2037434.566805</v>
      </c>
    </row>
    <row r="8" spans="1:4" x14ac:dyDescent="0.3">
      <c r="A8">
        <v>39884962.592005901</v>
      </c>
      <c r="B8">
        <v>53225081.807994001</v>
      </c>
      <c r="C8">
        <v>46555022.200000003</v>
      </c>
      <c r="D8" s="4">
        <v>3403091.6367316698</v>
      </c>
    </row>
    <row r="9" spans="1:4" x14ac:dyDescent="0.3">
      <c r="A9">
        <v>43341213.886995502</v>
      </c>
      <c r="B9">
        <v>55224557.713004403</v>
      </c>
      <c r="C9">
        <v>49282885.799999997</v>
      </c>
      <c r="D9" s="4">
        <v>3031465.2617369499</v>
      </c>
    </row>
    <row r="10" spans="1:4" x14ac:dyDescent="0.3">
      <c r="A10">
        <v>47631576.7691155</v>
      </c>
      <c r="B10">
        <v>56389922.030884497</v>
      </c>
      <c r="C10">
        <v>52010749.399999999</v>
      </c>
      <c r="D10" s="4">
        <v>2234271.75045127</v>
      </c>
    </row>
    <row r="11" spans="1:4" x14ac:dyDescent="0.3">
      <c r="A11">
        <v>48501078.788899601</v>
      </c>
      <c r="B11">
        <v>60976147.211100399</v>
      </c>
      <c r="C11">
        <v>54738613</v>
      </c>
      <c r="D11" s="4">
        <v>3182415.4138267199</v>
      </c>
    </row>
    <row r="12" spans="1:4" x14ac:dyDescent="0.3">
      <c r="A12">
        <v>52617712.764000997</v>
      </c>
      <c r="B12">
        <v>62315240.435998999</v>
      </c>
      <c r="C12">
        <v>57466476.600000001</v>
      </c>
      <c r="D12" s="4">
        <v>2473859.0999995</v>
      </c>
    </row>
    <row r="13" spans="1:4" x14ac:dyDescent="0.3">
      <c r="A13">
        <v>55119503.140093498</v>
      </c>
      <c r="B13">
        <v>65269177.259906501</v>
      </c>
      <c r="C13">
        <v>60194340.200000003</v>
      </c>
      <c r="D13" s="4">
        <v>2589202.5815849402</v>
      </c>
    </row>
    <row r="14" spans="1:4" x14ac:dyDescent="0.3">
      <c r="A14">
        <v>56308218.726316303</v>
      </c>
      <c r="B14">
        <v>69536188.873683602</v>
      </c>
      <c r="C14">
        <v>62922203.799999997</v>
      </c>
      <c r="D14" s="4">
        <v>3374482.1804508301</v>
      </c>
    </row>
    <row r="15" spans="1:4" x14ac:dyDescent="0.3">
      <c r="A15">
        <v>62654713.535106704</v>
      </c>
      <c r="B15">
        <v>68645421.264893204</v>
      </c>
      <c r="C15">
        <v>65650067.399999999</v>
      </c>
      <c r="D15" s="4">
        <v>1528241.7678026699</v>
      </c>
    </row>
    <row r="16" spans="1:4" x14ac:dyDescent="0.3">
      <c r="A16">
        <v>65144515.350447997</v>
      </c>
      <c r="B16">
        <v>71611346.649551898</v>
      </c>
      <c r="C16">
        <v>68377931</v>
      </c>
      <c r="D16" s="4">
        <v>1649701.86201631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0"/>
  <sheetViews>
    <sheetView tabSelected="1" zoomScale="77" zoomScaleNormal="77" workbookViewId="0">
      <selection activeCell="B2" sqref="B2"/>
    </sheetView>
  </sheetViews>
  <sheetFormatPr defaultRowHeight="14.4" x14ac:dyDescent="0.3"/>
  <cols>
    <col min="2" max="11" width="12" bestFit="1" customWidth="1"/>
    <col min="13" max="13" width="12.88671875" bestFit="1" customWidth="1"/>
  </cols>
  <sheetData>
    <row r="1" spans="1:24" x14ac:dyDescent="0.3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4" x14ac:dyDescent="0.3">
      <c r="A2" s="5" t="s">
        <v>4</v>
      </c>
      <c r="B2" s="4">
        <f ca="1">_xlfn.NORM.INV(RAND(),Measles!$C2,Measles!$D$2)</f>
        <v>433075803.31647074</v>
      </c>
      <c r="C2" s="4">
        <f ca="1">_xlfn.NORM.INV(RAND(),Measles!$C3,Measles!$D$2)</f>
        <v>423893743.66404337</v>
      </c>
      <c r="D2" s="4">
        <f ca="1">_xlfn.NORM.INV(RAND(),Measles!$C4,Measles!$D$2)</f>
        <v>451436429.77072829</v>
      </c>
      <c r="E2" s="4">
        <f ca="1">_xlfn.NORM.INV(RAND(),Measles!$C5,Measles!$D$2)</f>
        <v>451182130.88293314</v>
      </c>
      <c r="F2" s="4">
        <f ca="1">_xlfn.NORM.INV(RAND(),Measles!$C6,Measles!$D$2)</f>
        <v>523086847.57689685</v>
      </c>
      <c r="G2" s="4">
        <f ca="1">_xlfn.NORM.INV(RAND(),Measles!$C7,Measles!$D$2)</f>
        <v>529781768.32990491</v>
      </c>
      <c r="H2" s="4">
        <f ca="1">_xlfn.NORM.INV(RAND(),Measles!$C8,Measles!$D$2)</f>
        <v>541271167.64689434</v>
      </c>
      <c r="I2" s="4">
        <f ca="1">_xlfn.NORM.INV(RAND(),Measles!$C9,Measles!$D$2)</f>
        <v>568142787.37216532</v>
      </c>
      <c r="J2" s="4">
        <f ca="1">_xlfn.NORM.INV(RAND(),Measles!$C10,Measles!$D$2)</f>
        <v>606827433.83280802</v>
      </c>
      <c r="K2" s="4">
        <f ca="1">_xlfn.NORM.INV(RAND(),Measles!$C11,Measles!$D$2)</f>
        <v>617606416.03179765</v>
      </c>
    </row>
    <row r="3" spans="1:24" x14ac:dyDescent="0.3">
      <c r="A3" s="5" t="s">
        <v>5</v>
      </c>
      <c r="B3" s="4">
        <f ca="1">_xlfn.NORM.INV(RAND(),Mumps!$C2,Mumps!$D$2)</f>
        <v>25071972.064942837</v>
      </c>
      <c r="C3" s="4">
        <f ca="1">_xlfn.NORM.INV(RAND(),Mumps!$C3,Mumps!$D$2)</f>
        <v>27657579.928261351</v>
      </c>
      <c r="D3" s="4">
        <f ca="1">_xlfn.NORM.INV(RAND(),Mumps!$C4,Mumps!$D$2)</f>
        <v>27535035.308893166</v>
      </c>
      <c r="E3" s="4">
        <f ca="1">_xlfn.NORM.INV(RAND(),Mumps!$C5,Mumps!$D$2)</f>
        <v>29684947.763572156</v>
      </c>
      <c r="F3" s="4">
        <f ca="1">_xlfn.NORM.INV(RAND(),Mumps!$C6,Mumps!$D$2)</f>
        <v>28269434.322980992</v>
      </c>
      <c r="G3" s="4">
        <f ca="1">_xlfn.NORM.INV(RAND(),Mumps!$C7,Mumps!$D$2)</f>
        <v>30976606.008305836</v>
      </c>
      <c r="H3" s="4">
        <f ca="1">_xlfn.NORM.INV(RAND(),Mumps!$C8,Mumps!$D$2)</f>
        <v>33270154.736464918</v>
      </c>
      <c r="I3" s="4">
        <f ca="1">_xlfn.NORM.INV(RAND(),Mumps!$C9,Mumps!$D$2)</f>
        <v>30866007.866326801</v>
      </c>
      <c r="J3" s="4">
        <f ca="1">_xlfn.NORM.INV(RAND(),Mumps!$C10,Mumps!$D$2)</f>
        <v>35289754.941162765</v>
      </c>
      <c r="K3" s="4">
        <f ca="1">_xlfn.NORM.INV(RAND(),Mumps!$C11,Mumps!$D$2)</f>
        <v>33439544.137860153</v>
      </c>
    </row>
    <row r="4" spans="1:24" x14ac:dyDescent="0.3">
      <c r="A4" s="5" t="s">
        <v>6</v>
      </c>
      <c r="B4" s="4">
        <f ca="1">_xlfn.NORM.INV(RAND(),Rubella!$C2,Rubella!$D$2)</f>
        <v>301427469.81031966</v>
      </c>
      <c r="C4" s="4">
        <f ca="1">_xlfn.NORM.INV(RAND(),Rubella!$C3,Rubella!$D$2)</f>
        <v>367946597.60608923</v>
      </c>
      <c r="D4" s="4">
        <f ca="1">_xlfn.NORM.INV(RAND(),Rubella!$C4,Rubella!$D$2)</f>
        <v>415363483.49589527</v>
      </c>
      <c r="E4" s="4">
        <f ca="1">_xlfn.NORM.INV(RAND(),Rubella!$C5,Rubella!$D$2)</f>
        <v>404546164.58842552</v>
      </c>
      <c r="F4" s="4">
        <f ca="1">_xlfn.NORM.INV(RAND(),Rubella!$C6,Rubella!$D$2)</f>
        <v>448659552.53403121</v>
      </c>
      <c r="G4" s="4">
        <f ca="1">_xlfn.NORM.INV(RAND(),Rubella!$C7,Rubella!$D$2)</f>
        <v>442720539.83263701</v>
      </c>
      <c r="H4" s="4">
        <f ca="1">_xlfn.NORM.INV(RAND(),Rubella!$C8,Rubella!$D$2)</f>
        <v>506739283.32315695</v>
      </c>
      <c r="I4" s="4">
        <f ca="1">_xlfn.NORM.INV(RAND(),Rubella!$C9,Rubella!$D$2)</f>
        <v>543667473.98921692</v>
      </c>
      <c r="J4" s="4">
        <f ca="1">_xlfn.NORM.INV(RAND(),Rubella!$C10,Rubella!$D$2)</f>
        <v>544585810.72448421</v>
      </c>
      <c r="K4" s="4">
        <f ca="1">_xlfn.NORM.INV(RAND(),Rubella!$C11,Rubella!$D$2)</f>
        <v>586261992.44827592</v>
      </c>
    </row>
    <row r="5" spans="1:24" x14ac:dyDescent="0.3">
      <c r="A5" s="5" t="s">
        <v>7</v>
      </c>
      <c r="B5" s="4">
        <f ca="1">_xlfn.NORM.INV(RAND(),Diphtheria!$C2,Diphtheria!$D$2)</f>
        <v>686851999.90213764</v>
      </c>
      <c r="C5" s="4">
        <f ca="1">_xlfn.NORM.INV(RAND(),Diphtheria!$C3,Diphtheria!$D$2)</f>
        <v>636435733.35324275</v>
      </c>
      <c r="D5" s="4">
        <f ca="1">_xlfn.NORM.INV(RAND(),Diphtheria!$C4,Diphtheria!$D$2)</f>
        <v>742984373.46837819</v>
      </c>
      <c r="E5" s="4">
        <f ca="1">_xlfn.NORM.INV(RAND(),Diphtheria!$C5,Diphtheria!$D$2)</f>
        <v>779970141.17177916</v>
      </c>
      <c r="F5" s="4">
        <f ca="1">_xlfn.NORM.INV(RAND(),Diphtheria!$C6,Diphtheria!$D$2)</f>
        <v>822920827.53257895</v>
      </c>
      <c r="G5" s="4">
        <f ca="1">_xlfn.NORM.INV(RAND(),Diphtheria!$C8,Diphtheria!$D$2)</f>
        <v>807544036.66961026</v>
      </c>
      <c r="H5" s="4">
        <f ca="1">_xlfn.NORM.INV(RAND(),Diphtheria!$C9,Diphtheria!$D$2)</f>
        <v>796090127.78841448</v>
      </c>
      <c r="I5" s="4">
        <f ca="1">_xlfn.NORM.INV(RAND(),Diphtheria!$C10,Diphtheria!$D$2)</f>
        <v>909388790.08841729</v>
      </c>
      <c r="J5" s="4">
        <f ca="1">_xlfn.NORM.INV(RAND(),Diphtheria!$C10,Diphtheria!$D$2)</f>
        <v>819001213.93388844</v>
      </c>
      <c r="K5" s="4">
        <f ca="1">_xlfn.NORM.INV(RAND(),Diphtheria!$C11,Diphtheria!$D$2)</f>
        <v>940195790.45862937</v>
      </c>
    </row>
    <row r="6" spans="1:24" x14ac:dyDescent="0.3">
      <c r="A6" s="5" t="s">
        <v>8</v>
      </c>
      <c r="B6" s="4">
        <f ca="1">_xlfn.NORM.INV(RAND(),Tetanus!$C2,Tetanus!$D$2)</f>
        <v>660840099.21465826</v>
      </c>
      <c r="C6" s="4">
        <f ca="1">_xlfn.NORM.INV(RAND(),Tetanus!$C3,Tetanus!$D$2)</f>
        <v>591521706.27664566</v>
      </c>
      <c r="D6" s="4">
        <f ca="1">_xlfn.NORM.INV(RAND(),Tetanus!$C4,Tetanus!$D$2)</f>
        <v>673439924.77545404</v>
      </c>
      <c r="E6" s="4">
        <f ca="1">_xlfn.NORM.INV(RAND(),Tetanus!$C5,Tetanus!$D$2)</f>
        <v>746061416.62011003</v>
      </c>
      <c r="F6" s="4">
        <f ca="1">_xlfn.NORM.INV(RAND(),Tetanus!$C6,Tetanus!$D$2)</f>
        <v>741578600.38965189</v>
      </c>
      <c r="G6" s="4">
        <f ca="1">_xlfn.NORM.INV(RAND(),Tetanus!$C7,Tetanus!$D$2)</f>
        <v>709441893.16399145</v>
      </c>
      <c r="H6" s="4">
        <f ca="1">_xlfn.NORM.INV(RAND(),Tetanus!$C8,Tetanus!$D$2)</f>
        <v>727529716.61331129</v>
      </c>
      <c r="I6" s="4">
        <f ca="1">_xlfn.NORM.INV(RAND(),Tetanus!$C9,Tetanus!$D$2)</f>
        <v>741273921.58709431</v>
      </c>
      <c r="J6" s="4">
        <f ca="1">_xlfn.NORM.INV(RAND(),Tetanus!$C10,Tetanus!$D$2)</f>
        <v>730435435.27864468</v>
      </c>
      <c r="K6" s="4">
        <f ca="1">_xlfn.NORM.INV(RAND(),Tetanus!$C11,Tetanus!$D$2)</f>
        <v>710413268.85759449</v>
      </c>
    </row>
    <row r="7" spans="1:24" x14ac:dyDescent="0.3">
      <c r="A7" s="5" t="s">
        <v>9</v>
      </c>
      <c r="B7" s="4">
        <f ca="1">_xlfn.NORM.INV(RAND(),Pertussis!$C2,Pertussis!$D$2)</f>
        <v>344858737.31340528</v>
      </c>
      <c r="C7" s="4">
        <f ca="1">_xlfn.NORM.INV(RAND(),Pertussis!$C2,Pertussis!$D$2)</f>
        <v>361108496.96526027</v>
      </c>
      <c r="D7" s="4">
        <f ca="1">_xlfn.NORM.INV(RAND(),Pertussis!$C4,Pertussis!$D$2)</f>
        <v>326282547.33370751</v>
      </c>
      <c r="E7" s="4">
        <f ca="1">_xlfn.NORM.INV(RAND(),Pertussis!$C5,Pertussis!$D$2)</f>
        <v>376814262.05800414</v>
      </c>
      <c r="F7" s="4">
        <f ca="1">_xlfn.NORM.INV(RAND(),Pertussis!$C6,Pertussis!$D$2)</f>
        <v>344054411.3101992</v>
      </c>
      <c r="G7" s="4">
        <f ca="1">_xlfn.NORM.INV(RAND(),Pertussis!$C7,Pertussis!$D$2)</f>
        <v>362908010.81859469</v>
      </c>
      <c r="H7" s="4">
        <f ca="1">_xlfn.NORM.INV(RAND(),Pertussis!$C8,Pertussis!$D$2)</f>
        <v>368611274.58883238</v>
      </c>
      <c r="I7" s="4">
        <f ca="1">_xlfn.NORM.INV(RAND(),Pertussis!$C9,Pertussis!$D$2)</f>
        <v>382169341.21446562</v>
      </c>
      <c r="J7" s="4">
        <f ca="1">_xlfn.NORM.INV(RAND(),Pertussis!$C10,Pertussis!$D$2)</f>
        <v>350763413.09406424</v>
      </c>
      <c r="K7" s="4">
        <f ca="1">_xlfn.NORM.INV(RAND(),Pertussis!$C11,Pertussis!$D$2)</f>
        <v>360265582.72187185</v>
      </c>
    </row>
    <row r="8" spans="1:24" x14ac:dyDescent="0.3">
      <c r="A8" s="5" t="s">
        <v>10</v>
      </c>
      <c r="B8" s="4">
        <f ca="1">_xlfn.NORM.INV(RAND(),Hepatitis_B!$C2,Hepatitis_B!$D$2)</f>
        <v>362175590.14104462</v>
      </c>
      <c r="C8" s="4">
        <f ca="1">_xlfn.NORM.INV(RAND(),Hepatitis_B!$C3,Hepatitis_B!$D$2)</f>
        <v>353468540.05598295</v>
      </c>
      <c r="D8" s="4">
        <f ca="1">_xlfn.NORM.INV(RAND(),Hepatitis_B!$C4,Hepatitis_B!$D$2)</f>
        <v>344853601.99460727</v>
      </c>
      <c r="E8" s="4">
        <f ca="1">_xlfn.NORM.INV(RAND(),Hepatitis_B!$C5,Hepatitis_B!$D$2)</f>
        <v>384249685.42694086</v>
      </c>
      <c r="F8" s="4">
        <f ca="1">_xlfn.NORM.INV(RAND(),Hepatitis_B!$C6,Hepatitis_B!$D$2)</f>
        <v>384559740.17090356</v>
      </c>
      <c r="G8" s="4">
        <f ca="1">_xlfn.NORM.INV(RAND(),Hepatitis_B!$C7,Hepatitis_B!$D$2)</f>
        <v>427014167.54686219</v>
      </c>
      <c r="H8" s="4">
        <f ca="1">_xlfn.NORM.INV(RAND(),Hepatitis_B!$C8,Hepatitis_B!$D$2)</f>
        <v>389526726.86227793</v>
      </c>
      <c r="I8" s="4">
        <f ca="1">_xlfn.NORM.INV(RAND(),Hepatitis_B!$C9,Hepatitis_B!$D$2)</f>
        <v>393070929.17250729</v>
      </c>
      <c r="J8" s="4">
        <f ca="1">_xlfn.NORM.INV(RAND(),Hepatitis_B!$C10,Hepatitis_B!$D$2)</f>
        <v>406273686.13958478</v>
      </c>
      <c r="K8" s="4">
        <f ca="1">_xlfn.NORM.INV(RAND(),Hepatitis_B!$C11,Hepatitis_B!$D$2)</f>
        <v>435119704.47136027</v>
      </c>
    </row>
    <row r="9" spans="1:24" x14ac:dyDescent="0.3">
      <c r="A9" s="5" t="s">
        <v>11</v>
      </c>
      <c r="B9" s="4">
        <f ca="1">_xlfn.NORM.INV(RAND(),Hib!$C2,Hib!$D$2)</f>
        <v>290015927.97207224</v>
      </c>
      <c r="C9" s="4">
        <f ca="1">_xlfn.NORM.INV(RAND(),Hib!$C3,Hib!$D$2)</f>
        <v>299635964.35824174</v>
      </c>
      <c r="D9" s="4">
        <f ca="1">_xlfn.NORM.INV(RAND(),Hib!$C4,Hib!$D$2)</f>
        <v>281793410.70694262</v>
      </c>
      <c r="E9" s="4">
        <f ca="1">_xlfn.NORM.INV(RAND(),Hib!$C5,Hib!$D$2)</f>
        <v>300681844.47538519</v>
      </c>
      <c r="F9" s="4">
        <f ca="1">_xlfn.NORM.INV(RAND(),Hib!$C6,Hib!$D$2)</f>
        <v>323070447.56286722</v>
      </c>
      <c r="G9" s="4">
        <f ca="1">_xlfn.NORM.INV(RAND(),Hib!$C7,Hib!$D$2)</f>
        <v>315111787.82011217</v>
      </c>
      <c r="H9" s="4">
        <f ca="1">_xlfn.NORM.INV(RAND(),Hib!$C8,Hib!$D$2)</f>
        <v>325129153.15532857</v>
      </c>
      <c r="I9" s="4">
        <f ca="1">_xlfn.NORM.INV(RAND(),Hib!$C9,Hib!$D$2)</f>
        <v>307016970.73773211</v>
      </c>
      <c r="J9" s="4">
        <f ca="1">_xlfn.NORM.INV(RAND(),Hib!$C10,Hib!$D$2)</f>
        <v>326256414.23206359</v>
      </c>
      <c r="K9" s="4">
        <f ca="1">_xlfn.NORM.INV(RAND(),Hib!$C11,Hib!$D$2)</f>
        <v>295791786.81991631</v>
      </c>
    </row>
    <row r="10" spans="1:24" x14ac:dyDescent="0.3">
      <c r="A10" s="5" t="s">
        <v>12</v>
      </c>
      <c r="B10" s="4">
        <f ca="1">_xlfn.NORM.INV(RAND(),Polio!$C2,Polio!$D$2)</f>
        <v>628186477.08757734</v>
      </c>
      <c r="C10" s="4">
        <f ca="1">_xlfn.NORM.INV(RAND(),Polio!$C3,Polio!$D$2)</f>
        <v>731689754.17586827</v>
      </c>
      <c r="D10" s="4">
        <f ca="1">_xlfn.NORM.INV(RAND(),Polio!$C4,Polio!$D$2)</f>
        <v>663580885.19679153</v>
      </c>
      <c r="E10" s="4">
        <f ca="1">_xlfn.NORM.INV(RAND(),Polio!$C5,Polio!$D$2)</f>
        <v>663503018.10819948</v>
      </c>
      <c r="F10" s="4">
        <f ca="1">_xlfn.NORM.INV(RAND(),Polio!$C6,Polio!$D$2)</f>
        <v>705485827.7074424</v>
      </c>
      <c r="G10" s="4">
        <f ca="1">_xlfn.NORM.INV(RAND(),Polio!$C7,Polio!$D$2)</f>
        <v>804578120.18688869</v>
      </c>
      <c r="H10" s="4">
        <f ca="1">_xlfn.NORM.INV(RAND(),Polio!$C8,Polio!$D$2)</f>
        <v>741511908.37700486</v>
      </c>
      <c r="I10" s="4">
        <f ca="1">_xlfn.NORM.INV(RAND(),Polio!$C9,Polio!$D$2)</f>
        <v>773504598.10701239</v>
      </c>
      <c r="J10" s="4">
        <f ca="1">_xlfn.NORM.INV(RAND(),Polio!$C10,Polio!$D$2)</f>
        <v>827327531.89376092</v>
      </c>
      <c r="K10" s="4">
        <f ca="1">_xlfn.NORM.INV(RAND(),Polio!$C11,Polio!$D$2)</f>
        <v>774512024.94952309</v>
      </c>
    </row>
    <row r="11" spans="1:24" x14ac:dyDescent="0.3">
      <c r="A11" s="5" t="s">
        <v>13</v>
      </c>
      <c r="B11" s="4">
        <f ca="1">_xlfn.NORM.INV(RAND(),HPV!$C2,HPV!$D$2)</f>
        <v>31994869.931946442</v>
      </c>
      <c r="C11" s="4">
        <f ca="1">_xlfn.NORM.INV(RAND(),HPV!$C3,HPV!$D$2)</f>
        <v>30100360.743011955</v>
      </c>
      <c r="D11" s="4">
        <f ca="1">_xlfn.NORM.INV(RAND(),HPV!$C4,HPV!$D$2)</f>
        <v>35252030.757098988</v>
      </c>
      <c r="E11" s="4">
        <f ca="1">_xlfn.NORM.INV(RAND(),HPV!$C5,HPV!$D$2)</f>
        <v>37850355.560875759</v>
      </c>
      <c r="F11" s="4">
        <f ca="1">_xlfn.NORM.INV(RAND(),HPV!$C6,HPV!$D$2)</f>
        <v>41985629.024634339</v>
      </c>
      <c r="G11" s="4">
        <f ca="1">_xlfn.NORM.INV(RAND(),HPV!$C7,HPV!$D$2)</f>
        <v>41755813.338659748</v>
      </c>
      <c r="H11" s="4">
        <f ca="1">_xlfn.NORM.INV(RAND(),HPV!$C8,HPV!$D$2)</f>
        <v>45343734.883182846</v>
      </c>
      <c r="I11" s="4">
        <f ca="1">_xlfn.NORM.INV(RAND(),HPV!$C9,HPV!$D$2)</f>
        <v>48111592.842349626</v>
      </c>
      <c r="J11" s="4">
        <f ca="1">_xlfn.NORM.INV(RAND(),HPV!$C10,HPV!$D$2)</f>
        <v>50387194.150276445</v>
      </c>
      <c r="K11" s="4">
        <f ca="1">_xlfn.NORM.INV(RAND(),HPV!$C11,HPV!$D$2)</f>
        <v>55520849.604192279</v>
      </c>
    </row>
    <row r="12" spans="1:24" x14ac:dyDescent="0.3">
      <c r="A12" s="5" t="s">
        <v>14</v>
      </c>
      <c r="B12" s="4">
        <f ca="1">_xlfn.NORM.INV(RAND(),Rotavirus!$C2,Rotavirus!$D$2)</f>
        <v>184376278.81798136</v>
      </c>
      <c r="C12" s="4">
        <f ca="1">_xlfn.NORM.INV(RAND(),Rotavirus!$C3,Rotavirus!$D$2)</f>
        <v>240269393.22309053</v>
      </c>
      <c r="D12" s="4">
        <f ca="1">_xlfn.NORM.INV(RAND(),Rotavirus!$C4,Rotavirus!$D$2)</f>
        <v>223437378.36904067</v>
      </c>
      <c r="E12" s="4">
        <f ca="1">_xlfn.NORM.INV(RAND(),Rotavirus!$C5,Rotavirus!$D$2)</f>
        <v>222408954.83751902</v>
      </c>
      <c r="F12" s="4">
        <f ca="1">_xlfn.NORM.INV(RAND(),Rotavirus!$C6,Rotavirus!$D$2)</f>
        <v>255930994.56812191</v>
      </c>
      <c r="G12" s="4">
        <f ca="1">_xlfn.NORM.INV(RAND(),Rotavirus!$C7,Rotavirus!$D$2)</f>
        <v>258888351.99851906</v>
      </c>
      <c r="H12" s="4">
        <f ca="1">_xlfn.NORM.INV(RAND(),Rotavirus!$C8,Rotavirus!$D$2)</f>
        <v>273305649.09618634</v>
      </c>
      <c r="I12" s="4">
        <f ca="1">_xlfn.NORM.INV(RAND(),Rotavirus!$C9,Rotavirus!$D$2)</f>
        <v>305380432.25248557</v>
      </c>
      <c r="J12" s="4">
        <f ca="1">_xlfn.NORM.INV(RAND(),Rotavirus!$C10,Rotavirus!$D$2)</f>
        <v>333903435.75223118</v>
      </c>
      <c r="K12" s="4">
        <f ca="1">_xlfn.NORM.INV(RAND(),Rotavirus!$C11,Rotavirus!$D$2)</f>
        <v>315515288.01226234</v>
      </c>
    </row>
    <row r="13" spans="1:24" x14ac:dyDescent="0.3">
      <c r="A13" s="5" t="s">
        <v>15</v>
      </c>
      <c r="B13" s="4">
        <f ca="1">_xlfn.NORM.INV(RAND(),PCV!$C2,PCV!$D$2)</f>
        <v>210840192.58745521</v>
      </c>
      <c r="C13" s="4">
        <f ca="1">_xlfn.NORM.INV(RAND(),PCV!$C3,PCV!$D$2)</f>
        <v>242599102.66564655</v>
      </c>
      <c r="D13" s="4">
        <f ca="1">_xlfn.NORM.INV(RAND(),PCV!$C4,PCV!$D$2)</f>
        <v>255348390.48483574</v>
      </c>
      <c r="E13" s="4">
        <f ca="1">_xlfn.NORM.INV(RAND(),PCV!$C5,PCV!$D$2)</f>
        <v>292301089.94578832</v>
      </c>
      <c r="F13" s="4">
        <f ca="1">_xlfn.NORM.INV(RAND(),PCV!$C6,PCV!$D$2)</f>
        <v>305291280.52650094</v>
      </c>
      <c r="G13" s="4">
        <f ca="1">_xlfn.NORM.INV(RAND(),PCV!$C7,PCV!$D$2)</f>
        <v>322846036.40788716</v>
      </c>
      <c r="H13" s="4">
        <f ca="1">_xlfn.NORM.INV(RAND(),PCV!$C8,PCV!$D$2)</f>
        <v>318720708.07221913</v>
      </c>
      <c r="I13" s="4">
        <f ca="1">_xlfn.NORM.INV(RAND(),PCV!$C9,PCV!$D$2)</f>
        <v>338199947.65336108</v>
      </c>
      <c r="J13" s="4">
        <f ca="1">_xlfn.NORM.INV(RAND(),PCV!$C10,PCV!$D$2)</f>
        <v>361125084.10079998</v>
      </c>
      <c r="K13" s="4">
        <f ca="1">_xlfn.NORM.INV(RAND(),Hepatitis_B!$C11,PCV!$D$2)</f>
        <v>373425420.62509286</v>
      </c>
    </row>
    <row r="15" spans="1:24" x14ac:dyDescent="0.3">
      <c r="A15" s="6" t="s">
        <v>4</v>
      </c>
      <c r="B15" s="7">
        <f ca="1">IF(B2&gt;Measles!B2,Measles!B2,IF(Scenario_data!B2 &lt;Measles!A2,Measles!A2,Scenario_data!B2))</f>
        <v>433075803.31647074</v>
      </c>
      <c r="C15" s="7">
        <f ca="1">IF(C2&gt;Measles!B3,Measles!B3,IF(Scenario_data!C2 &lt;Measles!A3,Measles!A3,Scenario_data!C2))</f>
        <v>423893743.66404337</v>
      </c>
      <c r="D15" s="7">
        <f ca="1">IF(D2&gt;Measles!B4,Measles!B4,IF(Scenario_data!D2 &lt;Measles!A4,Measles!A4,Scenario_data!D2))</f>
        <v>451436429.77072829</v>
      </c>
      <c r="E15" s="7">
        <f ca="1">IF(E2&gt;Measles!B5,Measles!B5,IF(Scenario_data!E2 &lt;Measles!A5,Measles!A5,Scenario_data!E2))</f>
        <v>451182130.88293314</v>
      </c>
      <c r="F15" s="7">
        <f ca="1">IF(F2&gt;Measles!B6,Measles!B6,IF(Scenario_data!F2 &lt;Measles!A6,Measles!A6,Scenario_data!F2))</f>
        <v>523086847.57689685</v>
      </c>
      <c r="G15" s="7">
        <f ca="1">IF(G2&gt;Measles!B7,Measles!B7,IF(Scenario_data!G2 &lt;Measles!A7,Measles!A7,Scenario_data!G2))</f>
        <v>529781768.32990491</v>
      </c>
      <c r="H15" s="7">
        <f ca="1">IF(H2&gt;Measles!B8,Measles!B8,IF(Scenario_data!H2 &lt;Measles!A8,Measles!A8,Scenario_data!H2))</f>
        <v>541271167.64689434</v>
      </c>
      <c r="I15" s="7">
        <f ca="1">IF(I2&gt;Measles!B9,Measles!B9,IF(Scenario_data!I2 &lt;Measles!A9,Measles!A9,Scenario_data!I2))</f>
        <v>568142787.37216532</v>
      </c>
      <c r="J15" s="7">
        <f ca="1">IF(J2&gt;Measles!B10,Measles!B10,IF(Scenario_data!J2 &lt;Measles!A10,Measles!A10,Scenario_data!J2))</f>
        <v>606827433.83280802</v>
      </c>
      <c r="K15" s="7">
        <f ca="1">IF(K2&gt;Measles!B11,Measles!B11,IF(Scenario_data!K2 &lt;Measles!A11,Measles!A11,Scenario_data!K2))</f>
        <v>617606416.03179765</v>
      </c>
      <c r="W15" s="4"/>
      <c r="X15" s="4"/>
    </row>
    <row r="16" spans="1:24" x14ac:dyDescent="0.3">
      <c r="A16" s="6" t="s">
        <v>5</v>
      </c>
      <c r="B16" s="7">
        <f ca="1">IF(B3&gt;Mumps!B2,Mumps!B2,IF(Scenario_data!B3 &lt;Mumps!A2,Mumps!A2,Scenario_data!B3))</f>
        <v>25071972.064942837</v>
      </c>
      <c r="C16" s="7">
        <f ca="1">IF(C3&gt;Mumps!B3,Mumps!B3,IF(Scenario_data!C3 &lt;Mumps!A3,Mumps!A3,Scenario_data!C3))</f>
        <v>27657579.928261351</v>
      </c>
      <c r="D16" s="7">
        <f ca="1">IF(D3&gt;Mumps!B4,Mumps!B4,IF(Scenario_data!D3 &lt;Mumps!A4,Mumps!A4,Scenario_data!D3))</f>
        <v>27535035.308893166</v>
      </c>
      <c r="E16" s="7">
        <f ca="1">IF(E3&gt;Mumps!B5,Mumps!B5,IF(Scenario_data!E3 &lt;Mumps!A5,Mumps!A5,Scenario_data!E3))</f>
        <v>29684947.763572156</v>
      </c>
      <c r="F16" s="7">
        <f ca="1">IF(F3&gt;Mumps!B6,Mumps!B6,IF(Scenario_data!F3 &lt;Mumps!A6,Mumps!A6,Scenario_data!F3))</f>
        <v>28269434.322980992</v>
      </c>
      <c r="G16" s="7">
        <f ca="1">IF(G3&gt;Mumps!B7,Mumps!B7,IF(Scenario_data!G3 &lt;Mumps!A7,Mumps!A7,Scenario_data!G3))</f>
        <v>30976606.008305836</v>
      </c>
      <c r="H16" s="7">
        <f ca="1">IF(H3&gt;Mumps!B8,Mumps!B8,IF(Scenario_data!H3 &lt;Mumps!A8,Mumps!A8,Scenario_data!H3))</f>
        <v>33270154.736464918</v>
      </c>
      <c r="I16" s="7">
        <f ca="1">IF(I3&gt;Mumps!B9,Mumps!B9,IF(Scenario_data!I3 &lt;Mumps!A9,Mumps!A9,Scenario_data!I3))</f>
        <v>30866007.866326801</v>
      </c>
      <c r="J16" s="7">
        <f ca="1">IF(J3&gt;Mumps!B10,Mumps!B10,IF(Scenario_data!J3 &lt;Mumps!A10,Mumps!A10,Scenario_data!J3))</f>
        <v>35289754.941162765</v>
      </c>
      <c r="K16" s="7">
        <f ca="1">IF(K3&gt;Mumps!B11,Mumps!B11,IF(Scenario_data!K3 &lt;Mumps!A11,Mumps!A11,Scenario_data!K3))</f>
        <v>33439544.137860153</v>
      </c>
    </row>
    <row r="17" spans="1:13" x14ac:dyDescent="0.3">
      <c r="A17" s="6" t="s">
        <v>6</v>
      </c>
      <c r="B17" s="7">
        <f ca="1">IF(B4&gt;Rubella!B2,Rubella!B2,IF(Scenario_data!B4 &lt;Rubella!A2,Rubella!A2,Scenario_data!B4))</f>
        <v>301427469.81031966</v>
      </c>
      <c r="C17" s="7">
        <f ca="1">IF(C4&gt;Rubella!B3,Rubella!B3,IF(Scenario_data!C4 &lt;Rubella!A3,Rubella!A3,Scenario_data!C4))</f>
        <v>367946597.60608923</v>
      </c>
      <c r="D17" s="7">
        <f ca="1">IF(D4&gt;Rubella!B4,Rubella!B4,IF(Scenario_data!D4 &lt;Rubella!A4,Rubella!A4,Scenario_data!D4))</f>
        <v>415363483.49589527</v>
      </c>
      <c r="E17" s="7">
        <f ca="1">IF(E4&gt;Rubella!B5,Rubella!B5,IF(Scenario_data!E4 &lt;Rubella!A5,Rubella!A5,Scenario_data!E4))</f>
        <v>404546164.58842552</v>
      </c>
      <c r="F17" s="7">
        <f ca="1">IF(F4&gt;Rubella!B6,Rubella!B6,IF(Scenario_data!F4 &lt;Rubella!A6,Rubella!A6,Scenario_data!F4))</f>
        <v>448659552.53403121</v>
      </c>
      <c r="G17" s="7">
        <f ca="1">IF(G4&gt;Rubella!B7,Rubella!B7,IF(Scenario_data!G4 &lt;Rubella!A7,Rubella!A7,Scenario_data!G4))</f>
        <v>442720539.83263701</v>
      </c>
      <c r="H17" s="7">
        <f ca="1">IF(H4&gt;Rubella!B8,Rubella!B8,IF(Scenario_data!H4 &lt;Rubella!A8,Rubella!A8,Scenario_data!H4))</f>
        <v>506739283.32315695</v>
      </c>
      <c r="I17" s="7">
        <f ca="1">IF(I4&gt;Rubella!B9,Rubella!B9,IF(Scenario_data!I4 &lt;Rubella!A9,Rubella!A9,Scenario_data!I4))</f>
        <v>543667473.98921692</v>
      </c>
      <c r="J17" s="7">
        <f ca="1">IF(J4&gt;Rubella!B10,Rubella!B10,IF(Scenario_data!J4 &lt;Rubella!A10,Rubella!A10,Scenario_data!J4))</f>
        <v>544585810.72448421</v>
      </c>
      <c r="K17" s="7">
        <f ca="1">IF(K4&gt;Rubella!B12=1,Rubella!B11,IF(Scenario_data!K4 &lt;Rubella!A11,Rubella!A11,Scenario_data!K4))</f>
        <v>586261992.44827592</v>
      </c>
    </row>
    <row r="18" spans="1:13" x14ac:dyDescent="0.3">
      <c r="A18" s="6" t="s">
        <v>7</v>
      </c>
      <c r="B18" s="7">
        <f ca="1">IF(B5&gt;Diphtheria!B2,Diphtheria!B2,IF(Scenario_data!B5 &lt;Diphtheria!A2,Diphtheria!A2,Scenario_data!B5))</f>
        <v>686851999.90213764</v>
      </c>
      <c r="C18" s="7">
        <f ca="1">IF(C5&gt;Diphtheria!B3,Diphtheria!B3,IF(Scenario_data!C5 &lt;Diphtheria!A3,Diphtheria!A3,Scenario_data!C5))</f>
        <v>636435733.35324275</v>
      </c>
      <c r="D18" s="7">
        <f ca="1">IF(D5&gt;Diphtheria!B4,Diphtheria!B4,IF(Scenario_data!D5 &lt;Diphtheria!A4,Diphtheria!A4,Scenario_data!D5))</f>
        <v>742984373.46837819</v>
      </c>
      <c r="E18" s="7">
        <f ca="1">IF(E5&gt;Diphtheria!B5,Diphtheria!B5,IF(Scenario_data!E5 &lt;Diphtheria!A5,Diphtheria!A5,Scenario_data!E5))</f>
        <v>779970141.17177916</v>
      </c>
      <c r="F18" s="7">
        <f ca="1">IF(F5&gt;Diphtheria!B6,Diphtheria!B6,IF(Scenario_data!F5 &lt;Diphtheria!A6,Diphtheria!A6,Scenario_data!F5))</f>
        <v>822920827.53257895</v>
      </c>
      <c r="G18" s="7">
        <f ca="1">IF(G5&gt;Diphtheria!B7,Diphtheria!B7,IF(Scenario_data!G5 &lt;Diphtheria!A7,Diphtheria!A7,Scenario_data!G5))</f>
        <v>807544036.66961026</v>
      </c>
      <c r="H18" s="7">
        <f ca="1">IF(H5&gt;Diphtheria!B8,Diphtheria!B8,IF(Scenario_data!H5 &lt;Diphtheria!A8,Diphtheria!A8,Scenario_data!H5))</f>
        <v>796090127.78841448</v>
      </c>
      <c r="I18" s="7">
        <f ca="1">IF(I5&gt;Diphtheria!B9,Diphtheria!B9,IF(Scenario_data!I5 &lt;Diphtheria!A9,Diphtheria!A9,Scenario_data!I5))</f>
        <v>909388790.08841729</v>
      </c>
      <c r="J18" s="7">
        <f ca="1">IF(J5&gt;Diphtheria!B10,Diphtheria!B10,IF(Scenario_data!J5 &lt;Diphtheria!A10,Diphtheria!A10,Scenario_data!J5))</f>
        <v>819001213.93388844</v>
      </c>
      <c r="K18" s="7">
        <f ca="1">IF(K5&gt;Diphtheria!B11,Diphtheria!B11,IF(Scenario_data!K5 &lt;Diphtheria!A11,Diphtheria!A11,Scenario_data!K5))</f>
        <v>940195790.45862937</v>
      </c>
    </row>
    <row r="19" spans="1:13" x14ac:dyDescent="0.3">
      <c r="A19" s="6" t="s">
        <v>8</v>
      </c>
      <c r="B19" s="7">
        <f ca="1">IF(B6&gt;Tetanus!B2,Tetanus!B2,IF(Scenario_data!B6 &lt;Tetanus!A2,Tetanus!A2,Scenario_data!B6))</f>
        <v>660840099.21465826</v>
      </c>
      <c r="C19" s="7">
        <f ca="1">IF(C6&gt;Tetanus!B3,Tetanus!B3,IF(Scenario_data!C6 &lt;Tetanus!A3,Tetanus!A3,Scenario_data!C6))</f>
        <v>593731339.763273</v>
      </c>
      <c r="D19" s="7">
        <f ca="1">IF(D6&gt;Tetanus!B4,Tetanus!B4,IF(Scenario_data!D6 &lt;Tetanus!A4,Tetanus!A4,Scenario_data!D6))</f>
        <v>673439924.77545404</v>
      </c>
      <c r="E19" s="7">
        <f ca="1">IF(E6&gt;Tetanus!B5,Tetanus!B5,IF(Scenario_data!E6 &lt;Tetanus!A5,Tetanus!A5,Scenario_data!E6))</f>
        <v>746061416.62011003</v>
      </c>
      <c r="F19" s="7">
        <f ca="1">IF(F6&gt;Tetanus!B6,Tetanus!B6,IF(Scenario_data!F6 &lt;Tetanus!A6,Tetanus!A6,Scenario_data!F6))</f>
        <v>741578600.38965189</v>
      </c>
      <c r="G19" s="7">
        <f ca="1">IF(G6&gt;Tetanus!B7,Tetanus!B7,IF(Scenario_data!G6 &lt;Tetanus!A7,Tetanus!A7,Scenario_data!G6))</f>
        <v>709441893.16399145</v>
      </c>
      <c r="H19" s="7">
        <f ca="1">IF(H6&gt;Tetanus!B8,Tetanus!B8,IF(Scenario_data!H6 &lt;Tetanus!A8,Tetanus!A8,Scenario_data!H6))</f>
        <v>727529716.61331129</v>
      </c>
      <c r="I19" s="7">
        <f ca="1">IF(I6&gt;Tetanus!B9,Tetanus!B9,IF(Scenario_data!I6 &lt;Tetanus!A9,Tetanus!A9,Scenario_data!I6))</f>
        <v>741273921.58709431</v>
      </c>
      <c r="J19" s="7">
        <f ca="1">IF(J6&gt;Tetanus!B10,Tetanus!B10,IF(Scenario_data!J6 &lt;Tetanus!A10,Tetanus!A10,Scenario_data!J6))</f>
        <v>730435435.27864468</v>
      </c>
      <c r="K19" s="7">
        <f ca="1">IF(K6&gt;Tetanus!B11,Tetanus!B11,IF(Scenario_data!K6 &lt;Tetanus!A11,Tetanus!A11,Scenario_data!K6))</f>
        <v>710413268.85759449</v>
      </c>
    </row>
    <row r="20" spans="1:13" x14ac:dyDescent="0.3">
      <c r="A20" s="6" t="s">
        <v>9</v>
      </c>
      <c r="B20" s="7">
        <f ca="1">IF(B7&gt;Pertussis!B2,Pertussis!B2,IF(Scenario_data!B7 &lt;Pertussis!A2,Pertussis!A2,Scenario_data!B7))</f>
        <v>344858737.31340528</v>
      </c>
      <c r="C20" s="7">
        <f ca="1">IF(C7&gt;Pertussis!B3,Pertussis!B3,IF(Scenario_data!C7 &lt;Pertussis!A3,Pertussis!A3,Scenario_data!C7))</f>
        <v>361108496.96526027</v>
      </c>
      <c r="D20" s="7">
        <f ca="1">IF(D7&gt;Pertussis!B4,Pertussis!B4,IF(Scenario_data!D7 &lt;Pertussis!A4,Pertussis!A4,Scenario_data!D7))</f>
        <v>326282547.33370751</v>
      </c>
      <c r="E20" s="7">
        <f ca="1">IF(E7&gt;Pertussis!B5,Pertussis!B5,IF(Scenario_data!E7 &lt;Pertussis!A5,Pertussis!A5,Scenario_data!E7))</f>
        <v>376814262.05800414</v>
      </c>
      <c r="F20" s="7">
        <f ca="1">IF(F7&gt;Pertussis!B6,Pertussis!B6,IF(Scenario_data!F7 &lt;Pertussis!A6,Pertussis!A6,Scenario_data!F7))</f>
        <v>344054411.3101992</v>
      </c>
      <c r="G20" s="7">
        <f ca="1">IF(G7&gt;Pertussis!B7,Pertussis!B7,IF(Scenario_data!G7 &lt;Pertussis!A7,Pertussis!A7,Scenario_data!G7))</f>
        <v>362908010.81859469</v>
      </c>
      <c r="H20" s="7">
        <f ca="1">IF(H7&gt;Pertussis!B8,Pertussis!B8,IF(Scenario_data!H7 &lt;Pertussis!A8,Pertussis!A8,Scenario_data!H7))</f>
        <v>368611274.58883238</v>
      </c>
      <c r="I20" s="7">
        <f ca="1">IF(I7&gt;Pertussis!B9,Pertussis!B9,IF(Scenario_data!I7 &lt;Pertussis!A9,Pertussis!A9,Scenario_data!I7))</f>
        <v>382169341.21446562</v>
      </c>
      <c r="J20" s="7">
        <f ca="1">IF(J7&gt;Pertussis!B10,Pertussis!B10,IF(Scenario_data!J7 &lt;Pertussis!A10,Pertussis!A10,Scenario_data!J7))</f>
        <v>350763413.09406424</v>
      </c>
      <c r="K20" s="7">
        <f ca="1">IF(K7&gt;Pertussis!B11,Pertussis!B11,IF(Scenario_data!K7 &lt;Pertussis!A11,Pertussis!A11,Scenario_data!K7))</f>
        <v>360265582.72187185</v>
      </c>
    </row>
    <row r="21" spans="1:13" x14ac:dyDescent="0.3">
      <c r="A21" s="6" t="s">
        <v>10</v>
      </c>
      <c r="B21" s="7">
        <f ca="1">IF(B8&gt;Hepatitis_B!B2,Hepatitis_B!B2,IF(Scenario_data!B8 &lt;Hepatitis_B!A2,Hepatitis_B!A2,Scenario_data!B8))</f>
        <v>362175590.14104462</v>
      </c>
      <c r="C21" s="7">
        <f ca="1">IF(C8&gt;Hepatitis_B!B3,Hepatitis_B!B3,IF(Scenario_data!C8 &lt;Hepatitis_B!A3,Hepatitis_B!A3,Scenario_data!C8))</f>
        <v>353468540.05598295</v>
      </c>
      <c r="D21" s="7">
        <f ca="1">IF(D8&gt;Hepatitis_B!B4,Hepatitis_B!B4,IF(Scenario_data!D8 &lt;Hepatitis_B!A4,Hepatitis_B!A4,Scenario_data!D8))</f>
        <v>344853601.99460727</v>
      </c>
      <c r="E21" s="7">
        <f ca="1">IF(E8&gt;Hepatitis_B!B5,Hepatitis_B!B5,IF(Scenario_data!E8 &lt;Hepatitis_B!A5,Hepatitis_B!A5,Scenario_data!E8))</f>
        <v>384249685.42694086</v>
      </c>
      <c r="F21" s="7">
        <f ca="1">IF(F8&gt;Hepatitis_B!B6,Hepatitis_B!B6,IF(Scenario_data!F8 &lt;Hepatitis_B!A6,Hepatitis_B!A6,Scenario_data!F8))</f>
        <v>384559740.17090356</v>
      </c>
      <c r="G21" s="7">
        <f ca="1">IF(G8&gt;Hepatitis_B!B7,Hepatitis_B!B7,IF(Scenario_data!G8 &lt;Hepatitis_B!A7,Hepatitis_B!A7,Scenario_data!G8))</f>
        <v>413031675.15803403</v>
      </c>
      <c r="H21" s="7">
        <f ca="1">IF(H8&gt;Hepatitis_B!B8,Hepatitis_B!B8,IF(Scenario_data!H8 &lt;Hepatitis_B!A8,Hepatitis_B!A8,Scenario_data!H8))</f>
        <v>389526726.86227793</v>
      </c>
      <c r="I21" s="7">
        <f ca="1">IF(I8&gt;Hepatitis_B!B9,Hepatitis_B!B9,IF(Scenario_data!I8 &lt;Hepatitis_B!A9,Hepatitis_B!A9,Scenario_data!I8))</f>
        <v>393070929.17250729</v>
      </c>
      <c r="J21" s="7">
        <f ca="1">IF(J8&gt;Hepatitis_B!B10,Hepatitis_B!B10,IF(Scenario_data!J8 &lt;Hepatitis_B!A10,Hepatitis_B!A10,Scenario_data!J8))</f>
        <v>406273686.13958478</v>
      </c>
      <c r="K21" s="7">
        <f ca="1">IF(K8&gt;Hepatitis_B!B11,Hepatitis_B!B11,IF(Scenario_data!K8 &lt;Hepatitis_B!A11,Hepatitis_B!A11,Scenario_data!K8))</f>
        <v>435119704.47136027</v>
      </c>
    </row>
    <row r="22" spans="1:13" x14ac:dyDescent="0.3">
      <c r="A22" s="6" t="s">
        <v>11</v>
      </c>
      <c r="B22" s="7">
        <f ca="1">IF(B9&gt;Hib!B2,Hib!B2,IF(Scenario_data!B9 &lt;Hib!A2,Hib!A2,Scenario_data!B9))</f>
        <v>290015927.97207224</v>
      </c>
      <c r="C22" s="7">
        <f ca="1">IF(C9&gt;Hib!B3,Hib!B3,IF(Scenario_data!C9 &lt;Hib!A3,Hib!A3,Scenario_data!C9))</f>
        <v>299635964.35824174</v>
      </c>
      <c r="D22" s="7">
        <f ca="1">IF(D9&gt;Hib!B4,Hib!B4,IF(Scenario_data!D9 &lt;Hib!A4,Hib!A4,Scenario_data!D9))</f>
        <v>281793410.70694262</v>
      </c>
      <c r="E22" s="7">
        <f ca="1">IF(E9&gt;Hib!B5,Hib!B5,IF(Scenario_data!E9 &lt;Hib!A5,Hib!A5,Scenario_data!E9))</f>
        <v>300681844.47538519</v>
      </c>
      <c r="F22" s="7">
        <f ca="1">IF(F9&gt;Hib!B6,Hib!B6,IF(Scenario_data!F9 &lt;Hib!A6,Hib!A6,Scenario_data!F9))</f>
        <v>323070447.56286722</v>
      </c>
      <c r="G22" s="7">
        <f ca="1">IF(G9&gt;Hib!B7,Hib!B7,IF(Scenario_data!G9 &lt;Hib!A7,Hib!A7,Scenario_data!G9))</f>
        <v>315111787.82011217</v>
      </c>
      <c r="H22" s="7">
        <f ca="1">IF(H9&gt;Hib!B8,Hib!B8,IF(Scenario_data!H9 &lt;Hib!A8,Hib!A8,Scenario_data!H9))</f>
        <v>325129153.15532857</v>
      </c>
      <c r="I22" s="7">
        <f ca="1">IF(I9&gt;Hib!B9,Hib!B9,IF(Scenario_data!I9 &lt;Hib!A9,Hib!A9,Scenario_data!I9))</f>
        <v>307016970.73773211</v>
      </c>
      <c r="J22" s="7">
        <f ca="1">IF(J9&gt;Hib!B10,Hib!B10,IF(Scenario_data!J9 &lt;Hib!A10,Hib!A10,Scenario_data!J9))</f>
        <v>326256414.23206359</v>
      </c>
      <c r="K22" s="7">
        <f ca="1">IF(K9&gt;Hib!B11,Hib!B11,IF(Scenario_data!K9 &lt;Hib!A11,Hib!A11,Scenario_data!K9))</f>
        <v>295791786.81991631</v>
      </c>
    </row>
    <row r="23" spans="1:13" x14ac:dyDescent="0.3">
      <c r="A23" s="6" t="s">
        <v>12</v>
      </c>
      <c r="B23" s="7">
        <f ca="1">IF(B10&gt;Polio!B2,Polio!B2,IF(Scenario_data!B10 &lt;Polio!A2,Polio!A2,Scenario_data!B10))</f>
        <v>628186477.08757734</v>
      </c>
      <c r="C23" s="7">
        <f ca="1">IF(C10&gt;Polio!B3,Polio!B3,IF(Scenario_data!C10 &lt;Polio!A3,Polio!A3,Scenario_data!C10))</f>
        <v>721401818.892609</v>
      </c>
      <c r="D23" s="7">
        <f ca="1">IF(D10&gt;Polio!B4,Polio!B4,IF(Scenario_data!D10 &lt;Polio!A4,Polio!A4,Scenario_data!D10))</f>
        <v>663580885.19679153</v>
      </c>
      <c r="E23" s="7">
        <f ca="1">IF(E10&gt;Polio!B5,Polio!B5,IF(Scenario_data!E10 &lt;Polio!A5,Polio!A5,Scenario_data!E10))</f>
        <v>663503018.10819948</v>
      </c>
      <c r="F23" s="7">
        <f ca="1">IF(F10&gt;Polio!B6,Polio!B6,IF(Scenario_data!F10 &lt;Polio!A6,Polio!A6,Scenario_data!F10))</f>
        <v>705485827.7074424</v>
      </c>
      <c r="G23" s="7">
        <f ca="1">IF(G10&gt;Polio!B7,Polio!B7,IF(Scenario_data!G10 &lt;Polio!A7,Polio!A7,Scenario_data!G10))</f>
        <v>804578120.18688869</v>
      </c>
      <c r="H23" s="7">
        <f ca="1">IF(H10&gt;Polio!B8,Polio!B8,IF(Scenario_data!H10 &lt;Polio!A8,Polio!A8,Scenario_data!H10))</f>
        <v>741511908.37700486</v>
      </c>
      <c r="I23" s="7">
        <f ca="1">IF(I10&gt;Polio!B9,Polio!B9,IF(Scenario_data!I10 &lt;Polio!A9,Polio!A9,Scenario_data!I10))</f>
        <v>773504598.10701239</v>
      </c>
      <c r="J23" s="7">
        <f ca="1">IF(J10&gt;Polio!B10,Polio!B10,IF(Scenario_data!J10 &lt;Polio!A10,Polio!A10,Scenario_data!J10))</f>
        <v>827327531.89376092</v>
      </c>
      <c r="K23" s="7">
        <f ca="1">IF(K10&gt;Polio!B11,Polio!B11,IF(Scenario_data!K10 &lt;Polio!A11,Polio!A11,Scenario_data!K10))</f>
        <v>774512024.94952309</v>
      </c>
    </row>
    <row r="24" spans="1:13" x14ac:dyDescent="0.3">
      <c r="A24" s="6" t="s">
        <v>13</v>
      </c>
      <c r="B24" s="7">
        <f ca="1">IF(B11&gt;HPV!B2,HPV!B2,IF(Scenario_data!B11 &lt;HPV!A2,HPV!A2,Scenario_data!B11))</f>
        <v>31994869.931946442</v>
      </c>
      <c r="C24" s="7">
        <f ca="1">IF(C11&gt;HPV!B3,HPV!B3,IF(Scenario_data!C11 &lt;HPV!A3,HPV!A3,Scenario_data!C11))</f>
        <v>30100360.743011955</v>
      </c>
      <c r="D24" s="7">
        <f ca="1">IF(D11&gt;HPV!B4,HPV!B4,IF(Scenario_data!D11 &lt;HPV!A4,HPV!A4,Scenario_data!D11))</f>
        <v>35252030.757098988</v>
      </c>
      <c r="E24" s="7">
        <f ca="1">IF(E11&gt;HPV!B5,HPV!B5,IF(Scenario_data!E11 &lt;HPV!A5,HPV!A5,Scenario_data!E11))</f>
        <v>37850355.560875759</v>
      </c>
      <c r="F24" s="7">
        <f ca="1">IF(F11&gt;HPV!B6,HPV!B6,IF(Scenario_data!F11 &lt;HPV!A6,HPV!A6,Scenario_data!F11))</f>
        <v>41985629.024634339</v>
      </c>
      <c r="G24" s="7">
        <f ca="1">IF(G11&gt;HPV!B7,HPV!B7,IF(Scenario_data!G11 &lt;HPV!A7,HPV!A7,Scenario_data!G11))</f>
        <v>41755813.338659748</v>
      </c>
      <c r="H24" s="7">
        <f ca="1">IF(H11&gt;HPV!B8,HPV!B8,IF(Scenario_data!H11 &lt;HPV!A8,HPV!A8,Scenario_data!H11))</f>
        <v>45343734.883182846</v>
      </c>
      <c r="I24" s="7">
        <f ca="1">IF(I11&gt;HPV!B9,HPV!B9,IF(Scenario_data!I11 &lt;HPV!A9,HPV!A9,Scenario_data!I11))</f>
        <v>48111592.842349626</v>
      </c>
      <c r="J24" s="7">
        <f ca="1">IF(J11&gt;HPV!B10,HPV!B10,IF(Scenario_data!J11 &lt;HPV!A10,HPV!A10,Scenario_data!J11))</f>
        <v>50387194.150276445</v>
      </c>
      <c r="K24" s="7">
        <f ca="1">IF(K11&gt;HPV!B11,HPV!B11,IF(Scenario_data!K11 &lt;HPV!A11,HPV!A11,Scenario_data!K11))</f>
        <v>55520849.604192279</v>
      </c>
    </row>
    <row r="25" spans="1:13" x14ac:dyDescent="0.3">
      <c r="A25" s="6" t="s">
        <v>14</v>
      </c>
      <c r="B25" s="7">
        <f ca="1">IF(B12&gt;Rotavirus!B2,Rotavirus!B2,IF(Scenario_data!B12 &lt;Rotavirus!A2,Rotavirus!A2,Scenario_data!B12))</f>
        <v>184376278.81798136</v>
      </c>
      <c r="C25" s="7">
        <f ca="1">IF(C12&gt;Rotavirus!B3,Rotavirus!B3,IF(Scenario_data!C12 &lt;Rotavirus!A3,Rotavirus!A3,Scenario_data!C12))</f>
        <v>223441328.39706701</v>
      </c>
      <c r="D25" s="7">
        <f ca="1">IF(D12&gt;Rotavirus!B4,Rotavirus!B4,IF(Scenario_data!D12 &lt;Rotavirus!A4,Rotavirus!A4,Scenario_data!D12))</f>
        <v>223437378.36904067</v>
      </c>
      <c r="E25" s="7">
        <f ca="1">IF(E12&gt;Rotavirus!B5,Rotavirus!B5,IF(Scenario_data!E12 &lt;Rotavirus!A5,Rotavirus!A5,Scenario_data!E12))</f>
        <v>222408954.83751902</v>
      </c>
      <c r="F25" s="7">
        <f ca="1">IF(F12&gt;Rotavirus!B6,Rotavirus!B6,IF(Scenario_data!F12 &lt;Rotavirus!A6,Rotavirus!A6,Scenario_data!F12))</f>
        <v>255930994.56812191</v>
      </c>
      <c r="G25" s="7">
        <f ca="1">IF(G12&gt;Rotavirus!B7,Rotavirus!B7,IF(Scenario_data!G12 &lt;Rotavirus!A7,Rotavirus!A7,Scenario_data!G12))</f>
        <v>258888351.99851906</v>
      </c>
      <c r="H25" s="7">
        <f ca="1">IF(H12&gt;Rotavirus!B8,Rotavirus!B8,IF(Scenario_data!H12 &lt;Rotavirus!A8,Rotavirus!A8,Scenario_data!H12))</f>
        <v>273305649.09618634</v>
      </c>
      <c r="I25" s="7">
        <f ca="1">IF(I12&gt;Rotavirus!B9,Rotavirus!B9,IF(Scenario_data!I12 &lt;Rotavirus!A9,Rotavirus!A9,Scenario_data!I12))</f>
        <v>305380432.25248557</v>
      </c>
      <c r="J25" s="7">
        <f ca="1">IF(J12&gt;Rotavirus!B10,Rotavirus!B10,IF(Scenario_data!J12 &lt;Rotavirus!A10,Rotavirus!A10,Scenario_data!J12))</f>
        <v>333903435.75223118</v>
      </c>
      <c r="K25" s="7">
        <f ca="1">IF(K12&gt;Rotavirus!B11,Rotavirus!B11,IF(Scenario_data!K12 &lt;Rotavirus!A11,Rotavirus!A11,Scenario_data!K12))</f>
        <v>315515288.01226234</v>
      </c>
      <c r="M25" s="4"/>
    </row>
    <row r="26" spans="1:13" x14ac:dyDescent="0.3">
      <c r="A26" s="6" t="s">
        <v>15</v>
      </c>
      <c r="B26" s="7">
        <f ca="1">IF(B13&gt;PCV!B2,PCV!B2,IF(Scenario_data!B13 &lt;PCV!A2,PCV!A2,Scenario_data!B13))</f>
        <v>210840192.58745521</v>
      </c>
      <c r="C26" s="7">
        <f ca="1">IF(C13&gt;PCV!B3,PCV!B3,IF(Scenario_data!C13 &lt;PCV!A3,PCV!A3,Scenario_data!C13))</f>
        <v>242599102.66564655</v>
      </c>
      <c r="D26" s="7">
        <f ca="1">IF(D13&gt;PCV!B4,PCV!B4,IF(Scenario_data!D13 &lt;PCV!A4,PCV!A4,Scenario_data!D13))</f>
        <v>255348390.48483574</v>
      </c>
      <c r="E26" s="7">
        <f ca="1">IF(E13&gt;PCV!B5,PCV!B5,IF(Scenario_data!E13 &lt;PCV!A5,PCV!A5,Scenario_data!E13))</f>
        <v>292301089.94578832</v>
      </c>
      <c r="F26" s="7">
        <f ca="1">IF(F13&gt;PCV!B6,PCV!B6,IF(Scenario_data!F13 &lt;PCV!A6,PCV!A6,Scenario_data!F13))</f>
        <v>305291280.52650094</v>
      </c>
      <c r="G26" s="7">
        <f ca="1">IF(G13&gt;PCV!B7,PCV!B7,IF(Scenario_data!G13 &lt;PCV!A7,PCV!A7,Scenario_data!G13))</f>
        <v>322846036.40788716</v>
      </c>
      <c r="H26" s="7">
        <f ca="1">IF(H13&gt;PCV!B8,PCV!B8,IF(Scenario_data!H13 &lt;PCV!A8,PCV!A8,Scenario_data!H13))</f>
        <v>318720708.07221913</v>
      </c>
      <c r="I26" s="7">
        <f ca="1">IF(I13&gt;PCV!B9,PCV!B9,IF(Scenario_data!I13 &lt;PCV!A9,PCV!A9,Scenario_data!I13))</f>
        <v>338199947.65336108</v>
      </c>
      <c r="J26" s="7">
        <f ca="1">IF(J13&gt;PCV!B10,PCV!B10,IF(Scenario_data!J13 &lt;PCV!A10,PCV!A10,Scenario_data!J13))</f>
        <v>361125084.10079998</v>
      </c>
      <c r="K26" s="7">
        <f ca="1">IF(K13&gt;PCV!B11,PCV!B11,IF(Scenario_data!K13 &lt;PCV!A11,PCV!A11,Scenario_data!K13))</f>
        <v>373425420.62509286</v>
      </c>
      <c r="M26" s="4"/>
    </row>
    <row r="27" spans="1:13" x14ac:dyDescent="0.3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3" x14ac:dyDescent="0.3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3" x14ac:dyDescent="0.3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3" x14ac:dyDescent="0.3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3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3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2:1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2:1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2:1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2:1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2:1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2:11" x14ac:dyDescent="0.3"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2:11" x14ac:dyDescent="0.3"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2:11" x14ac:dyDescent="0.3">
      <c r="B40" s="8"/>
      <c r="C40" s="8"/>
      <c r="D40" s="8"/>
      <c r="E40" s="8"/>
      <c r="F40" s="8"/>
      <c r="G40" s="8"/>
      <c r="H40" s="8"/>
      <c r="I40" s="8"/>
      <c r="J40" s="8"/>
      <c r="K40" s="8"/>
    </row>
  </sheetData>
  <conditionalFormatting sqref="B2:K1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Diphtheria</vt:lpstr>
      <vt:lpstr>Pertussis</vt:lpstr>
      <vt:lpstr>Polio</vt:lpstr>
      <vt:lpstr>Tetanus</vt:lpstr>
      <vt:lpstr>Rotavirus</vt:lpstr>
      <vt:lpstr>PCV</vt:lpstr>
      <vt:lpstr>Measles</vt:lpstr>
      <vt:lpstr>Mumps</vt:lpstr>
      <vt:lpstr>Rubella</vt:lpstr>
      <vt:lpstr>Hepatitis_B</vt:lpstr>
      <vt:lpstr>Hib</vt:lpstr>
      <vt:lpstr>HPV</vt:lpstr>
      <vt:lpstr>Scenario_data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Asif Khan Sharon</cp:lastModifiedBy>
  <dcterms:created xsi:type="dcterms:W3CDTF">2024-04-08T20:27:48Z</dcterms:created>
  <dcterms:modified xsi:type="dcterms:W3CDTF">2025-03-12T16:32:34Z</dcterms:modified>
</cp:coreProperties>
</file>