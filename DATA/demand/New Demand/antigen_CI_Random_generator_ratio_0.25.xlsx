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uark-my.sharepoint.com/personal/msharon_uark_edu/Documents/UARK/RA/L-shaped/Scenario Generation/"/>
    </mc:Choice>
  </mc:AlternateContent>
  <xr:revisionPtr revIDLastSave="658" documentId="11_4A5645C871AEA98286DE389EAFF8EF0F542BC54D" xr6:coauthVersionLast="47" xr6:coauthVersionMax="47" xr10:uidLastSave="{C4D0A253-D124-4AD5-A466-3AF79657E2D3}"/>
  <bookViews>
    <workbookView xWindow="-108" yWindow="-108" windowWidth="23256" windowHeight="12456" firstSheet="2" activeTab="11" xr2:uid="{00000000-000D-0000-FFFF-FFFF00000000}"/>
  </bookViews>
  <sheets>
    <sheet name="Diphtheria" sheetId="1" r:id="rId1"/>
    <sheet name="Pertussis" sheetId="2" r:id="rId2"/>
    <sheet name="Polio" sheetId="3" r:id="rId3"/>
    <sheet name="Tetanus" sheetId="4" r:id="rId4"/>
    <sheet name="Rotavirus" sheetId="5" r:id="rId5"/>
    <sheet name="PCV" sheetId="6" r:id="rId6"/>
    <sheet name="Measles" sheetId="7" r:id="rId7"/>
    <sheet name="Mumps" sheetId="8" r:id="rId8"/>
    <sheet name="Rubella" sheetId="9" r:id="rId9"/>
    <sheet name="Hepatitis_B" sheetId="10" r:id="rId10"/>
    <sheet name="Hib" sheetId="11" r:id="rId11"/>
    <sheet name="HPV" sheetId="12" r:id="rId12"/>
    <sheet name="Scenario_data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3" l="1"/>
  <c r="D24" i="13" s="1"/>
  <c r="B12" i="13"/>
  <c r="B25" i="13" s="1"/>
  <c r="F12" i="13"/>
  <c r="F25" i="13" s="1"/>
  <c r="G12" i="13"/>
  <c r="G25" i="13" s="1"/>
  <c r="B2" i="13"/>
  <c r="B15" i="13" s="1"/>
  <c r="K9" i="13"/>
  <c r="K22" i="13" s="1"/>
  <c r="J9" i="13"/>
  <c r="J22" i="13" s="1"/>
  <c r="I9" i="13"/>
  <c r="I22" i="13" s="1"/>
  <c r="G9" i="13"/>
  <c r="G22" i="13" s="1"/>
  <c r="D9" i="13"/>
  <c r="D22" i="13" s="1"/>
  <c r="J3" i="13"/>
  <c r="J16" i="13" s="1"/>
  <c r="G3" i="13"/>
  <c r="G16" i="13" s="1"/>
  <c r="F3" i="13"/>
  <c r="F16" i="13" s="1"/>
  <c r="E3" i="13"/>
  <c r="E16" i="13" s="1"/>
  <c r="D3" i="13"/>
  <c r="D16" i="13" s="1"/>
  <c r="C3" i="13"/>
  <c r="C16" i="13" s="1"/>
  <c r="B3" i="13"/>
  <c r="B16" i="13" s="1"/>
  <c r="I6" i="13"/>
  <c r="I19" i="13" s="1"/>
  <c r="H6" i="13"/>
  <c r="H19" i="13" s="1"/>
  <c r="G6" i="13"/>
  <c r="G19" i="13" s="1"/>
  <c r="F6" i="13"/>
  <c r="F19" i="13" s="1"/>
  <c r="E6" i="13"/>
  <c r="E19" i="13" s="1"/>
  <c r="D6" i="13"/>
  <c r="D19" i="13" s="1"/>
  <c r="C6" i="13"/>
  <c r="C19" i="13" s="1"/>
  <c r="J10" i="13"/>
  <c r="J23" i="13" s="1"/>
  <c r="C10" i="13"/>
  <c r="C23" i="13" s="1"/>
  <c r="J7" i="13"/>
  <c r="J20" i="13" s="1"/>
  <c r="E7" i="13"/>
  <c r="E20" i="13" s="1"/>
  <c r="K5" i="13"/>
  <c r="K18" i="13" s="1"/>
  <c r="J5" i="13"/>
  <c r="J18" i="13" s="1"/>
  <c r="C5" i="13"/>
  <c r="C18" i="13" s="1"/>
  <c r="B5" i="13"/>
  <c r="B18" i="13" s="1"/>
  <c r="K10" i="13"/>
  <c r="K23" i="13" s="1"/>
  <c r="H7" i="13"/>
  <c r="H20" i="13" s="1"/>
  <c r="I2" i="13"/>
  <c r="I15" i="13" s="1"/>
  <c r="K2" i="13"/>
  <c r="K15" i="13" s="1"/>
  <c r="E4" i="13"/>
  <c r="E17" i="13" s="1"/>
  <c r="K7" i="13"/>
  <c r="K20" i="13" s="1"/>
  <c r="G4" i="13"/>
  <c r="G17" i="13" s="1"/>
  <c r="H4" i="13"/>
  <c r="H17" i="13" s="1"/>
  <c r="F10" i="13"/>
  <c r="F23" i="13" s="1"/>
  <c r="D2" i="13"/>
  <c r="D15" i="13" s="1"/>
  <c r="F9" i="13"/>
  <c r="F22" i="13" s="1"/>
  <c r="D7" i="13"/>
  <c r="D20" i="13" s="1"/>
  <c r="H9" i="13"/>
  <c r="H22" i="13" s="1"/>
  <c r="H3" i="13"/>
  <c r="H16" i="13" s="1"/>
  <c r="D5" i="13"/>
  <c r="D18" i="13" s="1"/>
  <c r="J6" i="13"/>
  <c r="J19" i="13" s="1"/>
  <c r="B10" i="13"/>
  <c r="B23" i="13" s="1"/>
  <c r="C2" i="13"/>
  <c r="C15" i="13" s="1"/>
  <c r="I3" i="13"/>
  <c r="I16" i="13" s="1"/>
  <c r="E5" i="13"/>
  <c r="E18" i="13" s="1"/>
  <c r="K6" i="13"/>
  <c r="K19" i="13" s="1"/>
  <c r="F5" i="13"/>
  <c r="F18" i="13" s="1"/>
  <c r="B7" i="13"/>
  <c r="B20" i="13" s="1"/>
  <c r="H8" i="13"/>
  <c r="H21" i="13" s="1"/>
  <c r="D10" i="13"/>
  <c r="D23" i="13" s="1"/>
  <c r="E2" i="13"/>
  <c r="E15" i="13" s="1"/>
  <c r="K3" i="13"/>
  <c r="K16" i="13" s="1"/>
  <c r="G5" i="13"/>
  <c r="G18" i="13" s="1"/>
  <c r="C7" i="13"/>
  <c r="C20" i="13" s="1"/>
  <c r="E10" i="13"/>
  <c r="E23" i="13" s="1"/>
  <c r="I4" i="13"/>
  <c r="I17" i="13" s="1"/>
  <c r="E8" i="13"/>
  <c r="E21" i="13" s="1"/>
  <c r="F2" i="13"/>
  <c r="F15" i="13" s="1"/>
  <c r="H5" i="13"/>
  <c r="H18" i="13" s="1"/>
  <c r="G2" i="13"/>
  <c r="G15" i="13" s="1"/>
  <c r="C4" i="13"/>
  <c r="C17" i="13" s="1"/>
  <c r="I5" i="13"/>
  <c r="I18" i="13" s="1"/>
  <c r="K8" i="13"/>
  <c r="K21" i="13" s="1"/>
  <c r="G10" i="13"/>
  <c r="G23" i="13" s="1"/>
  <c r="H2" i="13"/>
  <c r="H15" i="13" s="1"/>
  <c r="F7" i="13"/>
  <c r="F20" i="13" s="1"/>
  <c r="B9" i="13"/>
  <c r="B22" i="13" s="1"/>
  <c r="H10" i="13"/>
  <c r="H23" i="13" s="1"/>
  <c r="J13" i="13"/>
  <c r="J26" i="13" s="1"/>
  <c r="G7" i="13"/>
  <c r="G20" i="13" s="1"/>
  <c r="C9" i="13"/>
  <c r="C22" i="13" s="1"/>
  <c r="I10" i="13"/>
  <c r="I23" i="13" s="1"/>
  <c r="J2" i="13"/>
  <c r="J15" i="13" s="1"/>
  <c r="B6" i="13"/>
  <c r="B19" i="13" s="1"/>
  <c r="B13" i="13"/>
  <c r="B26" i="13" s="1"/>
  <c r="I7" i="13"/>
  <c r="I20" i="13" s="1"/>
  <c r="E9" i="13"/>
  <c r="E22" i="13" s="1"/>
  <c r="K13" i="13"/>
  <c r="K26" i="13" s="1"/>
  <c r="E13" i="13"/>
  <c r="E26" i="13" s="1"/>
  <c r="D8" i="13"/>
  <c r="D21" i="13" s="1"/>
  <c r="H13" i="13"/>
  <c r="H26" i="13" s="1"/>
  <c r="J8" i="13"/>
  <c r="J21" i="13" s="1"/>
  <c r="C8" i="13"/>
  <c r="C21" i="13" s="1"/>
  <c r="F4" i="13"/>
  <c r="F17" i="13" s="1"/>
  <c r="G13" i="13"/>
  <c r="G26" i="13" s="1"/>
  <c r="G8" i="13"/>
  <c r="G21" i="13" s="1"/>
  <c r="D4" i="13"/>
  <c r="D17" i="13" s="1"/>
  <c r="B8" i="13"/>
  <c r="B21" i="13" s="1"/>
  <c r="F13" i="13"/>
  <c r="F26" i="13" s="1"/>
  <c r="I8" i="13"/>
  <c r="I21" i="13" s="1"/>
  <c r="B4" i="13"/>
  <c r="B17" i="13" s="1"/>
  <c r="K4" i="13"/>
  <c r="K17" i="13" s="1"/>
  <c r="F8" i="13"/>
  <c r="F21" i="13" s="1"/>
  <c r="I13" i="13"/>
  <c r="I26" i="13" s="1"/>
  <c r="D13" i="13"/>
  <c r="D26" i="13" s="1"/>
  <c r="J4" i="13"/>
  <c r="J17" i="13" s="1"/>
  <c r="C13" i="13"/>
  <c r="C26" i="13" s="1"/>
  <c r="E11" i="13" l="1"/>
  <c r="E24" i="13" s="1"/>
  <c r="B11" i="13"/>
  <c r="B24" i="13" s="1"/>
  <c r="K11" i="13"/>
  <c r="K24" i="13" s="1"/>
  <c r="C11" i="13"/>
  <c r="C24" i="13" s="1"/>
  <c r="I11" i="13"/>
  <c r="I24" i="13" s="1"/>
  <c r="F11" i="13"/>
  <c r="F24" i="13" s="1"/>
  <c r="G11" i="13"/>
  <c r="G24" i="13" s="1"/>
  <c r="H11" i="13"/>
  <c r="H24" i="13" s="1"/>
  <c r="J11" i="13"/>
  <c r="J24" i="13" s="1"/>
  <c r="D12" i="13"/>
  <c r="D25" i="13" s="1"/>
  <c r="J12" i="13"/>
  <c r="J25" i="13" s="1"/>
  <c r="C12" i="13"/>
  <c r="C25" i="13" s="1"/>
  <c r="E12" i="13"/>
  <c r="E25" i="13" s="1"/>
  <c r="H12" i="13"/>
  <c r="H25" i="13" s="1"/>
  <c r="I12" i="13"/>
  <c r="I25" i="13" s="1"/>
  <c r="K12" i="13"/>
  <c r="K25" i="13" s="1"/>
</calcChain>
</file>

<file path=xl/sharedStrings.xml><?xml version="1.0" encoding="utf-8"?>
<sst xmlns="http://schemas.openxmlformats.org/spreadsheetml/2006/main" count="73" uniqueCount="17">
  <si>
    <t>Lower</t>
  </si>
  <si>
    <t>Upper</t>
  </si>
  <si>
    <t>sd</t>
  </si>
  <si>
    <t>Antigen</t>
  </si>
  <si>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</si>
  <si>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</si>
  <si>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</si>
  <si>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</si>
  <si>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</si>
  <si>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</si>
  <si>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</si>
  <si>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</si>
  <si>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</si>
  <si>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</si>
  <si>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</si>
  <si>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PCV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</si>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</sst>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  <xf numFmtId="11" fontId="0" fillId="0" borderId="0" xfId="0" applyNumberFormat="1"/>
    <xf numFmtId="0" fontId="0" fillId="0" borderId="4" xfId="0" applyBorder="1"/>
    <xf numFmtId="0" fontId="4" fillId="0" borderId="4" xfId="0" applyFont="1" applyBorder="1"/>
    <xf numFmtId="11" fontId="4" fillId="0" borderId="0" xfId="0" applyNumberFormat="1" applyFont="1"/>
    <xf numFmtId="3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Scenario_data!$A$15</c:f>
              <c:strCache>
                <c:ptCount val="1"/>
                <c:pt idx="0">
                  <c:v>Measles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Scenario_data!$B$15:$K$15</c:f>
              <c:numCache>
                <c:formatCode>0.00E+00</c:formatCode>
                <c:ptCount val="10"/>
                <c:pt idx="0">
                  <c:v>383575769.77843791</c:v>
                </c:pt>
                <c:pt idx="1">
                  <c:v>442183648.34734857</c:v>
                </c:pt>
                <c:pt idx="2">
                  <c:v>492195488.34282565</c:v>
                </c:pt>
                <c:pt idx="3">
                  <c:v>632809507.35100579</c:v>
                </c:pt>
                <c:pt idx="4">
                  <c:v>272181479.18390298</c:v>
                </c:pt>
                <c:pt idx="5">
                  <c:v>714029366.38005078</c:v>
                </c:pt>
                <c:pt idx="6">
                  <c:v>642020846.11816645</c:v>
                </c:pt>
                <c:pt idx="7">
                  <c:v>481753779.91615725</c:v>
                </c:pt>
                <c:pt idx="8">
                  <c:v>631428050.18327451</c:v>
                </c:pt>
                <c:pt idx="9">
                  <c:v>762535884.60298395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AB-466B-BE2B-F7F1DF82D6E7}"/>
            </c:ext>
          </c:extLst>
        </c:ser>
        <c:ser>
          <c:idx val="1"/>
          <c:order val="1"/>
          <c:tx>
            <c:strRef>
              <c:f>Scenario_data!$A$16</c:f>
              <c:strCache>
                <c:ptCount val="1"/>
                <c:pt idx="0">
                  <c:v>Mumps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Scenario_data!$B$16:$K$16</c:f>
              <c:numCache>
                <c:formatCode>0.00E+00</c:formatCode>
                <c:ptCount val="10"/>
                <c:pt idx="0">
                  <c:v>17762478.746796407</c:v>
                </c:pt>
                <c:pt idx="1">
                  <c:v>38970982.418563113</c:v>
                </c:pt>
                <c:pt idx="2">
                  <c:v>14828239.312750252</c:v>
                </c:pt>
                <c:pt idx="3">
                  <c:v>32279941.152685564</c:v>
                </c:pt>
                <c:pt idx="4">
                  <c:v>25335861.932998881</c:v>
                </c:pt>
                <c:pt idx="5">
                  <c:v>39900025.096243896</c:v>
                </c:pt>
                <c:pt idx="6">
                  <c:v>38529521.45352795</c:v>
                </c:pt>
                <c:pt idx="7">
                  <c:v>33072563.065932114</c:v>
                </c:pt>
                <c:pt idx="8">
                  <c:v>39602980.006972104</c:v>
                </c:pt>
                <c:pt idx="9">
                  <c:v>33305107.333665363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AB-466B-BE2B-F7F1DF82D6E7}"/>
            </c:ext>
          </c:extLst>
        </c:ser>
        <c:ser>
          <c:idx val="2"/>
          <c:order val="2"/>
          <c:tx>
            <c:strRef>
              <c:f>Scenario_data!$A$17</c:f>
              <c:strCache>
                <c:ptCount val="1"/>
                <c:pt idx="0">
                  <c:v>Rubella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Scenario_data!$B$17:$K$17</c:f>
              <c:numCache>
                <c:formatCode>0.00E+00</c:formatCode>
                <c:ptCount val="10"/>
                <c:pt idx="0">
                  <c:v>438359724.28372574</c:v>
                </c:pt>
                <c:pt idx="1">
                  <c:v>214292433.85098177</c:v>
                </c:pt>
                <c:pt idx="2">
                  <c:v>338784064.13404632</c:v>
                </c:pt>
                <c:pt idx="3">
                  <c:v>646374945.84366035</c:v>
                </c:pt>
                <c:pt idx="4">
                  <c:v>437449766.97498739</c:v>
                </c:pt>
                <c:pt idx="5">
                  <c:v>497341060.55732691</c:v>
                </c:pt>
                <c:pt idx="6">
                  <c:v>456320261.39948094</c:v>
                </c:pt>
                <c:pt idx="7">
                  <c:v>656021329.33989334</c:v>
                </c:pt>
                <c:pt idx="8">
                  <c:v>758657791.84697437</c:v>
                </c:pt>
                <c:pt idx="9">
                  <c:v>757006611.39667511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EAB-466B-BE2B-F7F1DF82D6E7}"/>
            </c:ext>
          </c:extLst>
        </c:ser>
        <c:ser>
          <c:idx val="3"/>
          <c:order val="3"/>
          <c:tx>
            <c:strRef>
              <c:f>Scenario_data!$A$18</c:f>
              <c:strCache>
                <c:ptCount val="1"/>
                <c:pt idx="0">
                  <c:v>Diphtheria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Scenario_data!$B$18:$K$18</c:f>
              <c:numCache>
                <c:formatCode>0.00E+00</c:formatCode>
                <c:ptCount val="10"/>
                <c:pt idx="0">
                  <c:v>490514250.65801072</c:v>
                </c:pt>
                <c:pt idx="1">
                  <c:v>360596754.27880698</c:v>
                </c:pt>
                <c:pt idx="2">
                  <c:v>836727520.76380932</c:v>
                </c:pt>
                <c:pt idx="3">
                  <c:v>613088091.6223135</c:v>
                </c:pt>
                <c:pt idx="4">
                  <c:v>573720438.96262574</c:v>
                </c:pt>
                <c:pt idx="5">
                  <c:v>862403020.70412028</c:v>
                </c:pt>
                <c:pt idx="6">
                  <c:v>745861905.97528899</c:v>
                </c:pt>
                <c:pt idx="7">
                  <c:v>779356064.73729062</c:v>
                </c:pt>
                <c:pt idx="8">
                  <c:v>763427526.04944456</c:v>
                </c:pt>
                <c:pt idx="9">
                  <c:v>1138685708.7658269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EAB-466B-BE2B-F7F1DF82D6E7}"/>
            </c:ext>
          </c:extLst>
        </c:ser>
        <c:ser>
          <c:idx val="4"/>
          <c:order val="4"/>
          <c:tx>
            <c:strRef>
              <c:f>Scenario_data!$A$19</c:f>
              <c:strCache>
                <c:ptCount val="1"/>
                <c:pt idx="0">
                  <c:v>Tetanus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Scenario_data!$B$19:$K$19</c:f>
              <c:numCache>
                <c:formatCode>0.00E+00</c:formatCode>
                <c:ptCount val="10"/>
                <c:pt idx="0">
                  <c:v>637795461.77946258</c:v>
                </c:pt>
                <c:pt idx="1">
                  <c:v>744164423.39898944</c:v>
                </c:pt>
                <c:pt idx="2">
                  <c:v>276369945.7773</c:v>
                </c:pt>
                <c:pt idx="3">
                  <c:v>730698155.25691032</c:v>
                </c:pt>
                <c:pt idx="4">
                  <c:v>535599207.47552347</c:v>
                </c:pt>
                <c:pt idx="5">
                  <c:v>530041453.68269837</c:v>
                </c:pt>
                <c:pt idx="6">
                  <c:v>765488993.55500424</c:v>
                </c:pt>
                <c:pt idx="7">
                  <c:v>657634925.23687291</c:v>
                </c:pt>
                <c:pt idx="8">
                  <c:v>749690908.54014182</c:v>
                </c:pt>
                <c:pt idx="9">
                  <c:v>651715873.91378331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EAB-466B-BE2B-F7F1DF82D6E7}"/>
            </c:ext>
          </c:extLst>
        </c:ser>
        <c:ser>
          <c:idx val="5"/>
          <c:order val="5"/>
          <c:tx>
            <c:strRef>
              <c:f>Scenario_data!$A$20</c:f>
              <c:strCache>
                <c:ptCount val="1"/>
                <c:pt idx="0">
                  <c:v>Pertussis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Scenario_data!$B$20:$K$20</c:f>
              <c:numCache>
                <c:formatCode>0.00E+00</c:formatCode>
                <c:ptCount val="10"/>
                <c:pt idx="0">
                  <c:v>335861198.0401625</c:v>
                </c:pt>
                <c:pt idx="1">
                  <c:v>337638469.0878163</c:v>
                </c:pt>
                <c:pt idx="2">
                  <c:v>271897597.3405565</c:v>
                </c:pt>
                <c:pt idx="3">
                  <c:v>387774874.12888026</c:v>
                </c:pt>
                <c:pt idx="4">
                  <c:v>490085014.41194171</c:v>
                </c:pt>
                <c:pt idx="5">
                  <c:v>450971812.74452412</c:v>
                </c:pt>
                <c:pt idx="6">
                  <c:v>429022676.89507473</c:v>
                </c:pt>
                <c:pt idx="7">
                  <c:v>285577223.1507529</c:v>
                </c:pt>
                <c:pt idx="8">
                  <c:v>376903278.41485053</c:v>
                </c:pt>
                <c:pt idx="9">
                  <c:v>287227286.10756868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EAB-466B-BE2B-F7F1DF82D6E7}"/>
            </c:ext>
          </c:extLst>
        </c:ser>
        <c:ser>
          <c:idx val="6"/>
          <c:order val="6"/>
          <c:tx>
            <c:strRef>
              <c:f>Scenario_data!$A$21</c:f>
              <c:strCache>
                <c:ptCount val="1"/>
                <c:pt idx="0">
                  <c:v>Hepatitis_B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Scenario_data!$B$21:$K$21</c:f>
              <c:numCache>
                <c:formatCode>0.00E+00</c:formatCode>
                <c:ptCount val="10"/>
                <c:pt idx="0">
                  <c:v>343176421.30706322</c:v>
                </c:pt>
                <c:pt idx="1">
                  <c:v>311974234.57193214</c:v>
                </c:pt>
                <c:pt idx="2">
                  <c:v>304905484.32074475</c:v>
                </c:pt>
                <c:pt idx="3">
                  <c:v>434799292.72036862</c:v>
                </c:pt>
                <c:pt idx="4">
                  <c:v>534787854.06171626</c:v>
                </c:pt>
                <c:pt idx="5">
                  <c:v>357048648.47445762</c:v>
                </c:pt>
                <c:pt idx="6">
                  <c:v>446912464.08346504</c:v>
                </c:pt>
                <c:pt idx="7">
                  <c:v>239872168.15276799</c:v>
                </c:pt>
                <c:pt idx="8">
                  <c:v>412693068.3115024</c:v>
                </c:pt>
                <c:pt idx="9">
                  <c:v>471162645.13630271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EAB-466B-BE2B-F7F1DF82D6E7}"/>
            </c:ext>
          </c:extLst>
        </c:ser>
        <c:ser>
          <c:idx val="7"/>
          <c:order val="7"/>
          <c:tx>
            <c:strRef>
              <c:f>Scenario_data!$A$22</c:f>
              <c:strCache>
                <c:ptCount val="1"/>
                <c:pt idx="0">
                  <c:v>Hib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Scenario_data!$B$22:$K$22</c:f>
              <c:numCache>
                <c:formatCode>0.00E+00</c:formatCode>
                <c:ptCount val="10"/>
                <c:pt idx="0">
                  <c:v>154632133.61733648</c:v>
                </c:pt>
                <c:pt idx="1">
                  <c:v>399414898.61069101</c:v>
                </c:pt>
                <c:pt idx="2">
                  <c:v>473402175.33601993</c:v>
                </c:pt>
                <c:pt idx="3">
                  <c:v>383032952.2048744</c:v>
                </c:pt>
                <c:pt idx="4">
                  <c:v>331823915.88181043</c:v>
                </c:pt>
                <c:pt idx="5">
                  <c:v>280039842.74601126</c:v>
                </c:pt>
                <c:pt idx="6">
                  <c:v>307089639.89697301</c:v>
                </c:pt>
                <c:pt idx="7">
                  <c:v>161242739.2997371</c:v>
                </c:pt>
                <c:pt idx="8">
                  <c:v>396327433.64881396</c:v>
                </c:pt>
                <c:pt idx="9">
                  <c:v>410482654.73097879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EAB-466B-BE2B-F7F1DF82D6E7}"/>
            </c:ext>
          </c:extLst>
        </c:ser>
        <c:ser>
          <c:idx val="8"/>
          <c:order val="8"/>
          <c:tx>
            <c:strRef>
              <c:f>Scenario_data!$A$23</c:f>
              <c:strCache>
                <c:ptCount val="1"/>
                <c:pt idx="0">
                  <c:v>Polio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Scenario_data!$B$23:$K$23</c:f>
              <c:numCache>
                <c:formatCode>0.00E+00</c:formatCode>
                <c:ptCount val="10"/>
                <c:pt idx="0">
                  <c:v>527316220.09266412</c:v>
                </c:pt>
                <c:pt idx="1">
                  <c:v>797538190.37265313</c:v>
                </c:pt>
                <c:pt idx="2">
                  <c:v>678701445.93366277</c:v>
                </c:pt>
                <c:pt idx="3">
                  <c:v>678889212.26104057</c:v>
                </c:pt>
                <c:pt idx="4">
                  <c:v>776781657.70593953</c:v>
                </c:pt>
                <c:pt idx="5">
                  <c:v>529458402.91647565</c:v>
                </c:pt>
                <c:pt idx="6">
                  <c:v>715636514.61505783</c:v>
                </c:pt>
                <c:pt idx="7">
                  <c:v>714319315.40931928</c:v>
                </c:pt>
                <c:pt idx="8">
                  <c:v>585066877.33189774</c:v>
                </c:pt>
                <c:pt idx="9">
                  <c:v>947661937.86569142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EAB-466B-BE2B-F7F1DF82D6E7}"/>
            </c:ext>
          </c:extLst>
        </c:ser>
        <c:ser>
          <c:idx val="9"/>
          <c:order val="9"/>
          <c:tx>
            <c:strRef>
              <c:f>Scenario_data!$A$24</c:f>
              <c:strCache>
                <c:ptCount val="1"/>
                <c:pt idx="0">
                  <c:v>HPV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Scenario_data!$B$24:$K$24</c:f>
              <c:numCache>
                <c:formatCode>0.00E+00</c:formatCode>
                <c:ptCount val="10"/>
                <c:pt idx="0">
                  <c:v>36590184.340709262</c:v>
                </c:pt>
                <c:pt idx="1">
                  <c:v>32710888.996183302</c:v>
                </c:pt>
                <c:pt idx="2">
                  <c:v>28844685.442065388</c:v>
                </c:pt>
                <c:pt idx="3">
                  <c:v>41734017.24529016</c:v>
                </c:pt>
                <c:pt idx="4">
                  <c:v>38996494.278893232</c:v>
                </c:pt>
                <c:pt idx="5">
                  <c:v>55360457.112045549</c:v>
                </c:pt>
                <c:pt idx="6">
                  <c:v>65851125.914222337</c:v>
                </c:pt>
                <c:pt idx="7">
                  <c:v>40439670.073335044</c:v>
                </c:pt>
                <c:pt idx="8">
                  <c:v>59408523.403662987</c:v>
                </c:pt>
                <c:pt idx="9">
                  <c:v>55867394.08726044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EAB-466B-BE2B-F7F1DF82D6E7}"/>
            </c:ext>
          </c:extLst>
        </c:ser>
        <c:ser>
          <c:idx val="10"/>
          <c:order val="10"/>
          <c:tx>
            <c:strRef>
              <c:f>Scenario_data!$A$25</c:f>
              <c:strCache>
                <c:ptCount val="1"/>
                <c:pt idx="0">
                  <c:v>Rotavirus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Scenario_data!$B$25:$K$25</c:f>
              <c:numCache>
                <c:formatCode>0.00E+00</c:formatCode>
                <c:ptCount val="10"/>
                <c:pt idx="0">
                  <c:v>152516137.80221903</c:v>
                </c:pt>
                <c:pt idx="1">
                  <c:v>126704651.35559927</c:v>
                </c:pt>
                <c:pt idx="2">
                  <c:v>238690088.82884365</c:v>
                </c:pt>
                <c:pt idx="3">
                  <c:v>360772076.10546333</c:v>
                </c:pt>
                <c:pt idx="4">
                  <c:v>232072381.08928847</c:v>
                </c:pt>
                <c:pt idx="5">
                  <c:v>278991489.01866233</c:v>
                </c:pt>
                <c:pt idx="6">
                  <c:v>194940181.67674041</c:v>
                </c:pt>
                <c:pt idx="7">
                  <c:v>275808733.80479985</c:v>
                </c:pt>
                <c:pt idx="8">
                  <c:v>385214437.94006526</c:v>
                </c:pt>
                <c:pt idx="9">
                  <c:v>378277522.03305507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EAB-466B-BE2B-F7F1DF82D6E7}"/>
            </c:ext>
          </c:extLst>
        </c:ser>
        <c:ser>
          <c:idx val="11"/>
          <c:order val="11"/>
          <c:tx>
            <c:strRef>
              <c:f>Scenario_data!$A$26</c:f>
              <c:strCache>
                <c:ptCount val="1"/>
                <c:pt idx="0">
                  <c:v>PCV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Scenario_data!$B$26:$K$26</c:f>
              <c:numCache>
                <c:formatCode>0.00E+00</c:formatCode>
                <c:ptCount val="10"/>
                <c:pt idx="0">
                  <c:v>200602836.1813845</c:v>
                </c:pt>
                <c:pt idx="1">
                  <c:v>187678417.37903559</c:v>
                </c:pt>
                <c:pt idx="2">
                  <c:v>373752570.31889307</c:v>
                </c:pt>
                <c:pt idx="3">
                  <c:v>405069477.64083588</c:v>
                </c:pt>
                <c:pt idx="4">
                  <c:v>358511021.64884853</c:v>
                </c:pt>
                <c:pt idx="5">
                  <c:v>367430595.91894466</c:v>
                </c:pt>
                <c:pt idx="6">
                  <c:v>326461705.72208154</c:v>
                </c:pt>
                <c:pt idx="7">
                  <c:v>281111915.51124883</c:v>
                </c:pt>
                <c:pt idx="8">
                  <c:v>398712371.26993585</c:v>
                </c:pt>
                <c:pt idx="9">
                  <c:v>347826245.04906338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EAB-466B-BE2B-F7F1DF82D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6306912"/>
        <c:axId val="336304992"/>
      </c:lineChart>
      <c:catAx>
        <c:axId val="336306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4992"/>
        <c:crosses val="autoZero"/>
        <c:auto val="1"/>
        <c:lblAlgn val="ctr"/>
        <c:lblOffset val="100"/>
        <c:noMultiLvlLbl val="0"/>
      </c:catAx>
      <c:valAx>
        <c:axId val="336304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6306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382977</xdr:colOff>
      <xdr:row>1</xdr:row>
      <xdr:rowOff>21206</xdr:rowOff>
    </xdr:from>
    <xdr:to>
      <xdr:col>23</xdr:col>
      <xdr:colOff>530345</xdr:colOff>
      <xdr:row>28</xdr:row>
      <xdr:rowOff>39118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F0FB706-E6A6-1FC0-80DD-FCCB3E9052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A2" sqref="A2:D16"/>
    </sheetView>
  </sheetViews>
  <sheetFormatPr defaultRowHeight="14.4" x14ac:dyDescent="0.3"/>
  <cols>
    <col min="1" max="3" width="12.44140625" bestFit="1" customWidth="1"/>
    <col min="4" max="4" width="8.88671875" bestFit="1" customWidth="1"/>
  </cols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285439465.24668598</v>
      </c>
      <c r="B2">
        <v>1020970406.55331</v>
      </c>
      <c r="C2">
        <v>653204935.89999998</v>
      </c>
      <c r="D2" s="4">
        <v>187635444.21087399</v>
      </c>
    </row>
    <row r="3" spans="1:4" x14ac:dyDescent="0.3">
      <c r="A3">
        <v>360596754.27880698</v>
      </c>
      <c r="B3">
        <v>999312187.32119203</v>
      </c>
      <c r="C3">
        <v>679954470.79999995</v>
      </c>
      <c r="D3" s="4">
        <v>162937610.46999601</v>
      </c>
    </row>
    <row r="4" spans="1:4" x14ac:dyDescent="0.3">
      <c r="A4">
        <v>293133602.51170403</v>
      </c>
      <c r="B4">
        <v>1120274408.8882899</v>
      </c>
      <c r="C4">
        <v>706704005.69999897</v>
      </c>
      <c r="D4" s="4">
        <v>211005307.74913001</v>
      </c>
    </row>
    <row r="5" spans="1:4" x14ac:dyDescent="0.3">
      <c r="A5">
        <v>209851774.534569</v>
      </c>
      <c r="B5">
        <v>1257055306.6654301</v>
      </c>
      <c r="C5">
        <v>733453540.59999895</v>
      </c>
      <c r="D5" s="4">
        <v>267143758.196648</v>
      </c>
    </row>
    <row r="6" spans="1:4" x14ac:dyDescent="0.3">
      <c r="A6">
        <v>413870173.49869698</v>
      </c>
      <c r="B6">
        <v>1106535977.5013001</v>
      </c>
      <c r="C6">
        <v>760203075.49999905</v>
      </c>
      <c r="D6" s="4">
        <v>176700460.20474601</v>
      </c>
    </row>
    <row r="7" spans="1:4" x14ac:dyDescent="0.3">
      <c r="A7">
        <v>428431270.654953</v>
      </c>
      <c r="B7">
        <v>1145473950.14504</v>
      </c>
      <c r="C7">
        <v>786952610.39999902</v>
      </c>
      <c r="D7" s="4">
        <v>182919050.890329</v>
      </c>
    </row>
    <row r="8" spans="1:4" x14ac:dyDescent="0.3">
      <c r="A8">
        <v>230795988.689504</v>
      </c>
      <c r="B8">
        <v>1396608301.91049</v>
      </c>
      <c r="C8">
        <v>813702145.299999</v>
      </c>
      <c r="D8" s="4">
        <v>297401100.31147701</v>
      </c>
    </row>
    <row r="9" spans="1:4" x14ac:dyDescent="0.3">
      <c r="A9">
        <v>333816561.19062197</v>
      </c>
      <c r="B9">
        <v>1347086799.2093699</v>
      </c>
      <c r="C9">
        <v>840451680.19999897</v>
      </c>
      <c r="D9" s="4">
        <v>258487305.61702901</v>
      </c>
    </row>
    <row r="10" spans="1:4" x14ac:dyDescent="0.3">
      <c r="A10">
        <v>502120547.11834401</v>
      </c>
      <c r="B10">
        <v>1232281883.08165</v>
      </c>
      <c r="C10">
        <v>867201215.09999895</v>
      </c>
      <c r="D10" s="4">
        <v>186265646.929416</v>
      </c>
    </row>
    <row r="11" spans="1:4" x14ac:dyDescent="0.3">
      <c r="A11">
        <v>384616654.69109499</v>
      </c>
      <c r="B11">
        <v>1403284845.3089001</v>
      </c>
      <c r="C11">
        <v>893950749.99999905</v>
      </c>
      <c r="D11" s="4">
        <v>259864334.341277</v>
      </c>
    </row>
    <row r="12" spans="1:4" x14ac:dyDescent="0.3">
      <c r="A12">
        <v>532277459.16361898</v>
      </c>
      <c r="B12">
        <v>1309123110.6363699</v>
      </c>
      <c r="C12">
        <v>920700284.89999902</v>
      </c>
      <c r="D12">
        <v>198174911.08998901</v>
      </c>
    </row>
    <row r="13" spans="1:4" x14ac:dyDescent="0.3">
      <c r="A13" s="4">
        <v>548063977.04905796</v>
      </c>
      <c r="B13" s="4">
        <v>1346835662.55094</v>
      </c>
      <c r="C13" s="4">
        <v>947449819.799999</v>
      </c>
      <c r="D13">
        <v>203768287.117827</v>
      </c>
    </row>
    <row r="14" spans="1:4" x14ac:dyDescent="0.3">
      <c r="A14">
        <v>462190906.04025698</v>
      </c>
      <c r="B14">
        <v>1486207803.35974</v>
      </c>
      <c r="C14">
        <v>974199354.69999897</v>
      </c>
      <c r="D14">
        <v>261228800.33660299</v>
      </c>
    </row>
    <row r="15" spans="1:4" x14ac:dyDescent="0.3">
      <c r="A15">
        <v>772602122.88944697</v>
      </c>
      <c r="B15">
        <v>1229295656.31055</v>
      </c>
      <c r="C15">
        <v>1000948889.59999</v>
      </c>
      <c r="D15">
        <v>116503452.40334199</v>
      </c>
    </row>
    <row r="16" spans="1:4" x14ac:dyDescent="0.3">
      <c r="A16">
        <v>784712411.30824196</v>
      </c>
      <c r="B16">
        <v>1270684437.69175</v>
      </c>
      <c r="C16">
        <v>1027698424.49999</v>
      </c>
      <c r="D16">
        <v>123972455.71008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155059430.57847899</v>
      </c>
      <c r="B2">
        <v>554622290.02152002</v>
      </c>
      <c r="C2">
        <v>354840860.30000001</v>
      </c>
      <c r="D2" s="4">
        <v>101929300.878326</v>
      </c>
    </row>
    <row r="3" spans="1:4" x14ac:dyDescent="0.3">
      <c r="A3">
        <v>189441128.378429</v>
      </c>
      <c r="B3">
        <v>524993156.82156998</v>
      </c>
      <c r="C3">
        <v>357217142.60000002</v>
      </c>
      <c r="D3" s="4">
        <v>85600007.255903199</v>
      </c>
    </row>
    <row r="4" spans="1:4" x14ac:dyDescent="0.3">
      <c r="A4">
        <v>149155679.365437</v>
      </c>
      <c r="B4">
        <v>570031170.43456304</v>
      </c>
      <c r="C4">
        <v>359593424.89999998</v>
      </c>
      <c r="D4" s="4">
        <v>107366196.701307</v>
      </c>
    </row>
    <row r="5" spans="1:4" x14ac:dyDescent="0.3">
      <c r="A5">
        <v>103564822.00841101</v>
      </c>
      <c r="B5">
        <v>620374592.39158797</v>
      </c>
      <c r="C5">
        <v>361969707.19999999</v>
      </c>
      <c r="D5" s="4">
        <v>131839227.138565</v>
      </c>
    </row>
    <row r="6" spans="1:4" x14ac:dyDescent="0.3">
      <c r="A6">
        <v>198357442.56722501</v>
      </c>
      <c r="B6">
        <v>530334536.43277401</v>
      </c>
      <c r="C6">
        <v>364345989.5</v>
      </c>
      <c r="D6" s="4">
        <v>84688034.149374604</v>
      </c>
    </row>
    <row r="7" spans="1:4" x14ac:dyDescent="0.3">
      <c r="A7">
        <v>199650254.42241701</v>
      </c>
      <c r="B7">
        <v>533794289.17758298</v>
      </c>
      <c r="C7">
        <v>366722271.80000001</v>
      </c>
      <c r="D7" s="4">
        <v>85240825.192644298</v>
      </c>
    </row>
    <row r="8" spans="1:4" x14ac:dyDescent="0.3">
      <c r="A8">
        <v>104689985.407337</v>
      </c>
      <c r="B8">
        <v>633507122.79266202</v>
      </c>
      <c r="C8">
        <v>369098554.10000002</v>
      </c>
      <c r="D8" s="4">
        <v>134902330.965644</v>
      </c>
    </row>
    <row r="9" spans="1:4" x14ac:dyDescent="0.3">
      <c r="A9">
        <v>147545011.066416</v>
      </c>
      <c r="B9">
        <v>595404661.73358405</v>
      </c>
      <c r="C9">
        <v>371474836.39999998</v>
      </c>
      <c r="D9" s="4">
        <v>114249910.884481</v>
      </c>
    </row>
    <row r="10" spans="1:4" x14ac:dyDescent="0.3">
      <c r="A10">
        <v>216464558.621268</v>
      </c>
      <c r="B10">
        <v>531237678.77873099</v>
      </c>
      <c r="C10">
        <v>373851118.69999999</v>
      </c>
      <c r="D10" s="4">
        <v>80299265.346291706</v>
      </c>
    </row>
    <row r="11" spans="1:4" x14ac:dyDescent="0.3">
      <c r="A11">
        <v>161869459.112535</v>
      </c>
      <c r="B11">
        <v>590585342.88746405</v>
      </c>
      <c r="C11">
        <v>376227401</v>
      </c>
      <c r="D11" s="4">
        <v>109366296.881359</v>
      </c>
    </row>
    <row r="12" spans="1:4" x14ac:dyDescent="0.3">
      <c r="A12">
        <v>218879270.35756201</v>
      </c>
      <c r="B12">
        <v>538328096.24243701</v>
      </c>
      <c r="C12">
        <v>378603683.30000001</v>
      </c>
      <c r="D12">
        <v>81492047.419611007</v>
      </c>
    </row>
    <row r="13" spans="1:4" x14ac:dyDescent="0.3">
      <c r="A13" s="4">
        <v>220382537.16363099</v>
      </c>
      <c r="B13" s="4">
        <v>541577394.03636801</v>
      </c>
      <c r="C13" s="4">
        <v>380979965.60000002</v>
      </c>
      <c r="D13">
        <v>81937463.487942994</v>
      </c>
    </row>
    <row r="14" spans="1:4" x14ac:dyDescent="0.3">
      <c r="A14">
        <v>181876297.39054501</v>
      </c>
      <c r="B14">
        <v>584836198.40945399</v>
      </c>
      <c r="C14">
        <v>383356247.89999998</v>
      </c>
      <c r="D14">
        <v>102795893.11706799</v>
      </c>
    </row>
    <row r="15" spans="1:4" x14ac:dyDescent="0.3">
      <c r="A15">
        <v>297735253.81414002</v>
      </c>
      <c r="B15">
        <v>473729806.585859</v>
      </c>
      <c r="C15">
        <v>385732530.19999999</v>
      </c>
      <c r="D15">
        <v>44896569.5846221</v>
      </c>
    </row>
    <row r="16" spans="1:4" x14ac:dyDescent="0.3">
      <c r="A16">
        <v>296345498.68559599</v>
      </c>
      <c r="B16">
        <v>479872126.31440401</v>
      </c>
      <c r="C16">
        <v>388108812.5</v>
      </c>
      <c r="D16">
        <v>46818017.252246901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277066370.33155501</v>
      </c>
      <c r="B2">
        <v>991021211.853755</v>
      </c>
      <c r="C2">
        <v>634043791.09265494</v>
      </c>
      <c r="D2" s="4">
        <v>182131337.12301001</v>
      </c>
    </row>
    <row r="3" spans="1:4" x14ac:dyDescent="0.3">
      <c r="A3">
        <v>349725808.84627098</v>
      </c>
      <c r="B3">
        <v>969185825.59016705</v>
      </c>
      <c r="C3">
        <v>659455817.21821904</v>
      </c>
      <c r="D3" s="4">
        <v>158025514.475483</v>
      </c>
    </row>
    <row r="4" spans="1:4" x14ac:dyDescent="0.3">
      <c r="A4">
        <v>284076185.424945</v>
      </c>
      <c r="B4">
        <v>1085659501.26262</v>
      </c>
      <c r="C4">
        <v>684867843.34378302</v>
      </c>
      <c r="D4" s="4">
        <v>204485539.754509</v>
      </c>
    </row>
    <row r="5" spans="1:4" x14ac:dyDescent="0.3">
      <c r="A5">
        <v>203221448.63107699</v>
      </c>
      <c r="B5">
        <v>1217338290.30761</v>
      </c>
      <c r="C5">
        <v>710279869.46934795</v>
      </c>
      <c r="D5" s="4">
        <v>258703275.93789199</v>
      </c>
    </row>
    <row r="6" spans="1:4" x14ac:dyDescent="0.3">
      <c r="A6">
        <v>400525783.54959798</v>
      </c>
      <c r="B6">
        <v>1070858007.64022</v>
      </c>
      <c r="C6">
        <v>735691895.59491205</v>
      </c>
      <c r="D6" s="4">
        <v>171003118.390466</v>
      </c>
    </row>
    <row r="7" spans="1:4" x14ac:dyDescent="0.3">
      <c r="A7">
        <v>414358775.83204001</v>
      </c>
      <c r="B7">
        <v>1107849067.6089101</v>
      </c>
      <c r="C7">
        <v>761103921.72047603</v>
      </c>
      <c r="D7" s="4">
        <v>176910788.71858999</v>
      </c>
    </row>
    <row r="8" spans="1:4" x14ac:dyDescent="0.3">
      <c r="A8">
        <v>223084978.76242399</v>
      </c>
      <c r="B8">
        <v>1349946916.9296501</v>
      </c>
      <c r="C8">
        <v>786515947.84604096</v>
      </c>
      <c r="D8" s="4">
        <v>287464780.14470202</v>
      </c>
    </row>
    <row r="9" spans="1:4" x14ac:dyDescent="0.3">
      <c r="A9">
        <v>322487313.18042302</v>
      </c>
      <c r="B9">
        <v>1301368634.76278</v>
      </c>
      <c r="C9">
        <v>811927973.97160494</v>
      </c>
      <c r="D9" s="4">
        <v>249714622.852644</v>
      </c>
    </row>
    <row r="10" spans="1:4" x14ac:dyDescent="0.3">
      <c r="A10">
        <v>484830523.357122</v>
      </c>
      <c r="B10">
        <v>1189849476.8372099</v>
      </c>
      <c r="C10">
        <v>837340000.09716904</v>
      </c>
      <c r="D10" s="4">
        <v>179851773.84696299</v>
      </c>
    </row>
    <row r="11" spans="1:4" x14ac:dyDescent="0.3">
      <c r="A11">
        <v>371193601.16175503</v>
      </c>
      <c r="B11">
        <v>1354310451.28371</v>
      </c>
      <c r="C11">
        <v>862752026.22273397</v>
      </c>
      <c r="D11" s="4">
        <v>250795114.82703</v>
      </c>
    </row>
    <row r="12" spans="1:4" x14ac:dyDescent="0.3">
      <c r="A12">
        <v>513467534.28642899</v>
      </c>
      <c r="B12">
        <v>1262860570.4101601</v>
      </c>
      <c r="C12">
        <v>888164052.34829795</v>
      </c>
      <c r="D12">
        <v>191171692.888708</v>
      </c>
    </row>
    <row r="13" spans="1:4" x14ac:dyDescent="0.3">
      <c r="A13" s="4">
        <v>528469295.62028098</v>
      </c>
      <c r="B13" s="4">
        <v>1298682861.32744</v>
      </c>
      <c r="C13" s="4">
        <v>913576078.47386205</v>
      </c>
      <c r="D13">
        <v>196483052.47631699</v>
      </c>
    </row>
    <row r="14" spans="1:4" x14ac:dyDescent="0.3">
      <c r="A14">
        <v>445485578.21564001</v>
      </c>
      <c r="B14">
        <v>1432490630.9832101</v>
      </c>
      <c r="C14">
        <v>938988104.59942698</v>
      </c>
      <c r="D14">
        <v>251787003.25703299</v>
      </c>
    </row>
    <row r="15" spans="1:4" x14ac:dyDescent="0.3">
      <c r="A15">
        <v>744391243.203982</v>
      </c>
      <c r="B15">
        <v>1184409018.2460001</v>
      </c>
      <c r="C15">
        <v>964400130.72499096</v>
      </c>
      <c r="D15">
        <v>112249432.408678</v>
      </c>
    </row>
    <row r="16" spans="1:4" x14ac:dyDescent="0.3">
      <c r="A16">
        <v>755783862.10167098</v>
      </c>
      <c r="B16">
        <v>1223840451.5994401</v>
      </c>
      <c r="C16">
        <v>989812156.85055494</v>
      </c>
      <c r="D16">
        <v>119402191.19841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281540313.91914999</v>
      </c>
      <c r="B2">
        <v>1007023778.28084</v>
      </c>
      <c r="C2">
        <v>644282046.10000002</v>
      </c>
      <c r="D2" s="4">
        <v>185072312.33716699</v>
      </c>
    </row>
    <row r="3" spans="1:4" x14ac:dyDescent="0.3">
      <c r="A3">
        <v>347514246.01636398</v>
      </c>
      <c r="B3">
        <v>963056980.38363504</v>
      </c>
      <c r="C3">
        <v>655285613.20000005</v>
      </c>
      <c r="D3" s="4">
        <v>157026207.74675199</v>
      </c>
    </row>
    <row r="4" spans="1:4" x14ac:dyDescent="0.3">
      <c r="A4">
        <v>276369945.7773</v>
      </c>
      <c r="B4">
        <v>1056208414.8227</v>
      </c>
      <c r="C4">
        <v>666289180.29999995</v>
      </c>
      <c r="D4" s="4">
        <v>198938384.96056101</v>
      </c>
    </row>
    <row r="5" spans="1:4" x14ac:dyDescent="0.3">
      <c r="A5">
        <v>193783351.028633</v>
      </c>
      <c r="B5">
        <v>1160802143.7713599</v>
      </c>
      <c r="C5">
        <v>677292747.39999998</v>
      </c>
      <c r="D5" s="4">
        <v>246688467.53641099</v>
      </c>
    </row>
    <row r="6" spans="1:4" x14ac:dyDescent="0.3">
      <c r="A6">
        <v>374722655.40792203</v>
      </c>
      <c r="B6">
        <v>1001869973.59207</v>
      </c>
      <c r="C6">
        <v>688296314.5</v>
      </c>
      <c r="D6" s="4">
        <v>159986560.761264</v>
      </c>
    </row>
    <row r="7" spans="1:4" x14ac:dyDescent="0.3">
      <c r="A7">
        <v>380711535.71809298</v>
      </c>
      <c r="B7">
        <v>1017888227.4819</v>
      </c>
      <c r="C7">
        <v>699299881.60000002</v>
      </c>
      <c r="D7" s="4">
        <v>162545074.429544</v>
      </c>
    </row>
    <row r="8" spans="1:4" x14ac:dyDescent="0.3">
      <c r="A8">
        <v>201468298.51584101</v>
      </c>
      <c r="B8">
        <v>1219138598.88415</v>
      </c>
      <c r="C8">
        <v>710303448.70000005</v>
      </c>
      <c r="D8" s="4">
        <v>259609770.502121</v>
      </c>
    </row>
    <row r="9" spans="1:4" x14ac:dyDescent="0.3">
      <c r="A9">
        <v>286493838.07493401</v>
      </c>
      <c r="B9">
        <v>1156120193.5250599</v>
      </c>
      <c r="C9">
        <v>721307015.79999995</v>
      </c>
      <c r="D9" s="4">
        <v>221843458.02299201</v>
      </c>
    </row>
    <row r="10" spans="1:4" x14ac:dyDescent="0.3">
      <c r="A10">
        <v>424017153.27843398</v>
      </c>
      <c r="B10">
        <v>1040604012.52156</v>
      </c>
      <c r="C10">
        <v>732310582.89999998</v>
      </c>
      <c r="D10" s="4">
        <v>157292566.13345101</v>
      </c>
    </row>
    <row r="11" spans="1:4" x14ac:dyDescent="0.3">
      <c r="A11">
        <v>319806210.52955598</v>
      </c>
      <c r="B11">
        <v>1166822089.4704399</v>
      </c>
      <c r="C11">
        <v>743314150</v>
      </c>
      <c r="D11" s="4">
        <v>216075479.32165399</v>
      </c>
    </row>
    <row r="12" spans="1:4" x14ac:dyDescent="0.3">
      <c r="A12">
        <v>436087969.60858798</v>
      </c>
      <c r="B12">
        <v>1072547464.59141</v>
      </c>
      <c r="C12">
        <v>754317717.10000002</v>
      </c>
      <c r="D12">
        <v>162362116.06704599</v>
      </c>
    </row>
    <row r="13" spans="1:4" x14ac:dyDescent="0.3">
      <c r="A13" s="4">
        <v>442709490.22660297</v>
      </c>
      <c r="B13" s="4">
        <v>1087933078.1733899</v>
      </c>
      <c r="C13" s="4">
        <v>765321284.20000005</v>
      </c>
      <c r="D13">
        <v>164597854.068059</v>
      </c>
    </row>
    <row r="14" spans="1:4" x14ac:dyDescent="0.3">
      <c r="A14">
        <v>368312999.46242398</v>
      </c>
      <c r="B14">
        <v>1184336703.1375699</v>
      </c>
      <c r="C14">
        <v>776324851.29999995</v>
      </c>
      <c r="D14">
        <v>208169312.16202801</v>
      </c>
    </row>
    <row r="15" spans="1:4" x14ac:dyDescent="0.3">
      <c r="A15">
        <v>607714953.06830096</v>
      </c>
      <c r="B15">
        <v>966941883.73169899</v>
      </c>
      <c r="C15">
        <v>787328418.39999998</v>
      </c>
      <c r="D15">
        <v>91639523.128417999</v>
      </c>
    </row>
    <row r="16" spans="1:4" x14ac:dyDescent="0.3">
      <c r="A16">
        <v>609576703.07900906</v>
      </c>
      <c r="B16">
        <v>987087267.92099094</v>
      </c>
      <c r="C16">
        <v>798331985.5</v>
      </c>
      <c r="D16">
        <v>96303715.520913601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82591113.827773601</v>
      </c>
      <c r="B2">
        <v>295414941.97222602</v>
      </c>
      <c r="C2">
        <v>189003027.90000001</v>
      </c>
      <c r="D2" s="4">
        <v>54291792.893992998</v>
      </c>
    </row>
    <row r="3" spans="1:4" x14ac:dyDescent="0.3">
      <c r="A3">
        <v>108321322.814661</v>
      </c>
      <c r="B3">
        <v>300187998.785339</v>
      </c>
      <c r="C3">
        <v>204254660.80000001</v>
      </c>
      <c r="D3" s="4">
        <v>48945580.604764797</v>
      </c>
    </row>
    <row r="4" spans="1:4" x14ac:dyDescent="0.3">
      <c r="A4">
        <v>91048968.3478432</v>
      </c>
      <c r="B4">
        <v>347963619.05215597</v>
      </c>
      <c r="C4">
        <v>219506293.69999999</v>
      </c>
      <c r="D4" s="4">
        <v>65539451.710284002</v>
      </c>
    </row>
    <row r="5" spans="1:4" x14ac:dyDescent="0.3">
      <c r="A5">
        <v>67167672.873684198</v>
      </c>
      <c r="B5">
        <v>402348180.32631499</v>
      </c>
      <c r="C5">
        <v>234757926.59999999</v>
      </c>
      <c r="D5" s="4">
        <v>85505231.493018195</v>
      </c>
    </row>
    <row r="6" spans="1:4" x14ac:dyDescent="0.3">
      <c r="A6">
        <v>136110340.90929201</v>
      </c>
      <c r="B6">
        <v>363908778.090707</v>
      </c>
      <c r="C6">
        <v>250009559.5</v>
      </c>
      <c r="D6" s="4">
        <v>58111846.219748497</v>
      </c>
    </row>
    <row r="7" spans="1:4" x14ac:dyDescent="0.3">
      <c r="A7">
        <v>144413003.03663099</v>
      </c>
      <c r="B7">
        <v>386109381.76336801</v>
      </c>
      <c r="C7">
        <v>265261192.40000001</v>
      </c>
      <c r="D7" s="4">
        <v>61657239.471106403</v>
      </c>
    </row>
    <row r="8" spans="1:4" x14ac:dyDescent="0.3">
      <c r="A8">
        <v>79563800.131472602</v>
      </c>
      <c r="B8">
        <v>481461850.46852702</v>
      </c>
      <c r="C8">
        <v>280512825.30000001</v>
      </c>
      <c r="D8" s="4">
        <v>102525012.841085</v>
      </c>
    </row>
    <row r="9" spans="1:4" x14ac:dyDescent="0.3">
      <c r="A9">
        <v>117473825.901849</v>
      </c>
      <c r="B9">
        <v>474055090.49814999</v>
      </c>
      <c r="C9">
        <v>295764458.19999999</v>
      </c>
      <c r="D9" s="4">
        <v>90964608.315383002</v>
      </c>
    </row>
    <row r="10" spans="1:4" x14ac:dyDescent="0.3">
      <c r="A10">
        <v>180082277.45360401</v>
      </c>
      <c r="B10">
        <v>441949904.74639499</v>
      </c>
      <c r="C10">
        <v>311016091.09999901</v>
      </c>
      <c r="D10" s="4">
        <v>66802966.146120302</v>
      </c>
    </row>
    <row r="11" spans="1:4" x14ac:dyDescent="0.3">
      <c r="A11">
        <v>140374624.14854199</v>
      </c>
      <c r="B11">
        <v>512160823.851457</v>
      </c>
      <c r="C11">
        <v>326267723.99999899</v>
      </c>
      <c r="D11" s="4">
        <v>94843418.291559994</v>
      </c>
    </row>
    <row r="12" spans="1:4" x14ac:dyDescent="0.3">
      <c r="A12">
        <v>197439990.54553199</v>
      </c>
      <c r="B12">
        <v>485598723.25446701</v>
      </c>
      <c r="C12">
        <v>341519356.89999902</v>
      </c>
      <c r="D12">
        <v>73509880.793095395</v>
      </c>
    </row>
    <row r="13" spans="1:4" x14ac:dyDescent="0.3">
      <c r="A13" s="4">
        <v>206378557.976603</v>
      </c>
      <c r="B13" s="4">
        <v>507163421.62339598</v>
      </c>
      <c r="C13" s="4">
        <v>356770989.799999</v>
      </c>
      <c r="D13">
        <v>76730832.562957093</v>
      </c>
    </row>
    <row r="14" spans="1:4" x14ac:dyDescent="0.3">
      <c r="A14">
        <v>176499268.06422001</v>
      </c>
      <c r="B14">
        <v>567545977.33577895</v>
      </c>
      <c r="C14">
        <v>372022622.69999897</v>
      </c>
      <c r="D14">
        <v>99756813.589683294</v>
      </c>
    </row>
    <row r="15" spans="1:4" x14ac:dyDescent="0.3">
      <c r="A15">
        <v>298925264.94191003</v>
      </c>
      <c r="B15">
        <v>475623246.25808901</v>
      </c>
      <c r="C15">
        <v>387274255.59999901</v>
      </c>
      <c r="D15">
        <v>45076015.641882502</v>
      </c>
    </row>
    <row r="16" spans="1:4" x14ac:dyDescent="0.3">
      <c r="A16">
        <v>307353843.35390401</v>
      </c>
      <c r="B16">
        <v>497697933.64609402</v>
      </c>
      <c r="C16">
        <v>402525888.49999899</v>
      </c>
      <c r="D16">
        <v>48557165.8908647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99304393.2444686</v>
      </c>
      <c r="B2">
        <v>355195616.19033098</v>
      </c>
      <c r="C2">
        <v>227250004.717399</v>
      </c>
      <c r="D2" s="4">
        <v>65278373.200475097</v>
      </c>
    </row>
    <row r="3" spans="1:4" x14ac:dyDescent="0.3">
      <c r="A3">
        <v>129296641.83483499</v>
      </c>
      <c r="B3">
        <v>358316342.09705901</v>
      </c>
      <c r="C3">
        <v>243806491.965947</v>
      </c>
      <c r="D3" s="4">
        <v>58423392.9240366</v>
      </c>
    </row>
    <row r="4" spans="1:4" x14ac:dyDescent="0.3">
      <c r="A4">
        <v>107758804.992102</v>
      </c>
      <c r="B4">
        <v>411823927.829005</v>
      </c>
      <c r="C4">
        <v>259791366.41055399</v>
      </c>
      <c r="D4" s="4">
        <v>77567633.376761004</v>
      </c>
    </row>
    <row r="5" spans="1:4" x14ac:dyDescent="0.3">
      <c r="A5">
        <v>78842432.401274905</v>
      </c>
      <c r="B5">
        <v>472282391.98952502</v>
      </c>
      <c r="C5">
        <v>275562412.1954</v>
      </c>
      <c r="D5" s="4">
        <v>100367336.629655</v>
      </c>
    </row>
    <row r="6" spans="1:4" x14ac:dyDescent="0.3">
      <c r="A6">
        <v>158564372.67007801</v>
      </c>
      <c r="B6">
        <v>423942565.43330699</v>
      </c>
      <c r="C6">
        <v>291253469.05169201</v>
      </c>
      <c r="D6" s="4">
        <v>67698518.562048197</v>
      </c>
    </row>
    <row r="7" spans="1:4" x14ac:dyDescent="0.3">
      <c r="A7">
        <v>167089875.42818299</v>
      </c>
      <c r="B7">
        <v>446739331.94318801</v>
      </c>
      <c r="C7">
        <v>306914603.68568599</v>
      </c>
      <c r="D7" s="4">
        <v>71339147.070154205</v>
      </c>
    </row>
    <row r="8" spans="1:4" x14ac:dyDescent="0.3">
      <c r="A8">
        <v>91491221.346763194</v>
      </c>
      <c r="B8">
        <v>553637868.70976496</v>
      </c>
      <c r="C8">
        <v>322564545.02826399</v>
      </c>
      <c r="D8" s="4">
        <v>117894552.898725</v>
      </c>
    </row>
    <row r="9" spans="1:4" x14ac:dyDescent="0.3">
      <c r="A9">
        <v>134332766.171404</v>
      </c>
      <c r="B9">
        <v>542087832.20747697</v>
      </c>
      <c r="C9">
        <v>338210299.18944001</v>
      </c>
      <c r="D9" s="4">
        <v>104019149.498998</v>
      </c>
    </row>
    <row r="10" spans="1:4" x14ac:dyDescent="0.3">
      <c r="A10">
        <v>204886254.22198099</v>
      </c>
      <c r="B10">
        <v>502822719.80139399</v>
      </c>
      <c r="C10">
        <v>353854487.01168799</v>
      </c>
      <c r="D10" s="4">
        <v>76004200.402911499</v>
      </c>
    </row>
    <row r="11" spans="1:4" x14ac:dyDescent="0.3">
      <c r="A11">
        <v>158974215.153265</v>
      </c>
      <c r="B11">
        <v>580021962.64388502</v>
      </c>
      <c r="C11">
        <v>369498088.89857501</v>
      </c>
      <c r="D11" s="4">
        <v>107410139.66597401</v>
      </c>
    </row>
    <row r="12" spans="1:4" x14ac:dyDescent="0.3">
      <c r="A12">
        <v>222658912.22520199</v>
      </c>
      <c r="B12">
        <v>547624030.97285295</v>
      </c>
      <c r="C12">
        <v>385141471.59902799</v>
      </c>
      <c r="D12">
        <v>82899264.986645594</v>
      </c>
    </row>
    <row r="13" spans="1:4" x14ac:dyDescent="0.3">
      <c r="A13" s="4">
        <v>231838870.682639</v>
      </c>
      <c r="B13" s="4">
        <v>569730673.92999601</v>
      </c>
      <c r="C13" s="4">
        <v>400784772.30631697</v>
      </c>
      <c r="D13">
        <v>86196888.583509505</v>
      </c>
    </row>
    <row r="14" spans="1:4" x14ac:dyDescent="0.3">
      <c r="A14">
        <v>197566599.959126</v>
      </c>
      <c r="B14">
        <v>635289484.72415698</v>
      </c>
      <c r="C14">
        <v>416428042.34164202</v>
      </c>
      <c r="D14">
        <v>111664001.215569</v>
      </c>
    </row>
    <row r="15" spans="1:4" x14ac:dyDescent="0.3">
      <c r="A15">
        <v>333502747.029199</v>
      </c>
      <c r="B15">
        <v>530639854.77722299</v>
      </c>
      <c r="C15">
        <v>432071300.903211</v>
      </c>
      <c r="D15">
        <v>50290078.5071491</v>
      </c>
    </row>
    <row r="16" spans="1:4" x14ac:dyDescent="0.3">
      <c r="A16">
        <v>341858233.69173998</v>
      </c>
      <c r="B16">
        <v>553570876.65362704</v>
      </c>
      <c r="C16">
        <v>447714555.17268401</v>
      </c>
      <c r="D16">
        <v>54008327.2861958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6"/>
  <sheetViews>
    <sheetView workbookViewId="0">
      <selection activeCell="A2" sqref="A2:D16"/>
    </sheetView>
  </sheetViews>
  <sheetFormatPr defaultRowHeight="14.4" x14ac:dyDescent="0.3"/>
  <cols>
    <col min="1" max="1" width="12" bestFit="1" customWidth="1"/>
    <col min="2" max="2" width="11" bestFit="1" customWidth="1"/>
    <col min="3" max="4" width="12" bestFit="1" customWidth="1"/>
  </cols>
  <sheetData>
    <row r="1" spans="1:4" x14ac:dyDescent="0.3">
      <c r="A1" s="2" t="s">
        <v>0</v>
      </c>
      <c r="B1" s="2" t="s">
        <v>1</v>
      </c>
      <c r="C1" t="s">
        <v>16</v>
      </c>
      <c r="D1" t="s">
        <v>2</v>
      </c>
    </row>
    <row r="2" spans="1:4" x14ac:dyDescent="0.3">
      <c r="A2">
        <v>181721454.980037</v>
      </c>
      <c r="B2">
        <v>649988002.21996295</v>
      </c>
      <c r="C2">
        <v>415854728.60000002</v>
      </c>
      <c r="D2" s="4">
        <v>119455751.846919</v>
      </c>
    </row>
    <row r="3" spans="1:4" x14ac:dyDescent="0.3">
      <c r="A3">
        <v>231687167.579849</v>
      </c>
      <c r="B3">
        <v>642068480.82015002</v>
      </c>
      <c r="C3">
        <v>436877824.19999999</v>
      </c>
      <c r="D3" s="4">
        <v>104689110.520484</v>
      </c>
    </row>
    <row r="4" spans="1:4" x14ac:dyDescent="0.3">
      <c r="A4">
        <v>189932624.02898699</v>
      </c>
      <c r="B4">
        <v>725869215.57101297</v>
      </c>
      <c r="C4">
        <v>457900919.80000001</v>
      </c>
      <c r="D4" s="4">
        <v>136718518.250516</v>
      </c>
    </row>
    <row r="5" spans="1:4" x14ac:dyDescent="0.3">
      <c r="A5">
        <v>137027158.416462</v>
      </c>
      <c r="B5">
        <v>820820872.38353705</v>
      </c>
      <c r="C5">
        <v>478924015.39999998</v>
      </c>
      <c r="D5" s="4">
        <v>174437171.93037599</v>
      </c>
    </row>
    <row r="6" spans="1:4" x14ac:dyDescent="0.3">
      <c r="A6">
        <v>272181479.18390298</v>
      </c>
      <c r="B6">
        <v>727712742.81609595</v>
      </c>
      <c r="C6">
        <v>499947111</v>
      </c>
      <c r="D6" s="4">
        <v>116206955.008212</v>
      </c>
    </row>
    <row r="7" spans="1:4" x14ac:dyDescent="0.3">
      <c r="A7">
        <v>283625627.05467302</v>
      </c>
      <c r="B7">
        <v>758314786.14532697</v>
      </c>
      <c r="C7">
        <v>520970206.60000002</v>
      </c>
      <c r="D7" s="4">
        <v>121094173.23741101</v>
      </c>
    </row>
    <row r="8" spans="1:4" x14ac:dyDescent="0.3">
      <c r="A8">
        <v>153729323.15204701</v>
      </c>
      <c r="B8">
        <v>930257281.24795198</v>
      </c>
      <c r="C8">
        <v>541993302.20000005</v>
      </c>
      <c r="D8" s="4">
        <v>198093866.8612</v>
      </c>
    </row>
    <row r="9" spans="1:4" x14ac:dyDescent="0.3">
      <c r="A9">
        <v>223622847.375119</v>
      </c>
      <c r="B9">
        <v>902409948.22487998</v>
      </c>
      <c r="C9">
        <v>563016397.79999995</v>
      </c>
      <c r="D9" s="4">
        <v>173159974.70657101</v>
      </c>
    </row>
    <row r="10" spans="1:4" x14ac:dyDescent="0.3">
      <c r="A10">
        <v>338166304.26528102</v>
      </c>
      <c r="B10">
        <v>829912682.53471804</v>
      </c>
      <c r="C10">
        <v>584039493.39999998</v>
      </c>
      <c r="D10" s="4">
        <v>125445504.66057</v>
      </c>
    </row>
    <row r="11" spans="1:4" x14ac:dyDescent="0.3">
      <c r="A11">
        <v>260324351.04496801</v>
      </c>
      <c r="B11">
        <v>949800826.95503104</v>
      </c>
      <c r="C11">
        <v>605062589</v>
      </c>
      <c r="D11" s="4">
        <v>175886856.09950501</v>
      </c>
    </row>
    <row r="12" spans="1:4" x14ac:dyDescent="0.3">
      <c r="A12">
        <v>361954159.11465502</v>
      </c>
      <c r="B12">
        <v>890217210.08534396</v>
      </c>
      <c r="C12">
        <v>626085684.60000002</v>
      </c>
      <c r="D12">
        <v>134760982.390481</v>
      </c>
    </row>
    <row r="13" spans="1:4" x14ac:dyDescent="0.3">
      <c r="A13" s="4">
        <v>374328016.374147</v>
      </c>
      <c r="B13" s="4">
        <v>919889544.02585304</v>
      </c>
      <c r="C13" s="4">
        <v>647108780.20000005</v>
      </c>
      <c r="D13">
        <v>139173859.09482199</v>
      </c>
    </row>
    <row r="14" spans="1:4" x14ac:dyDescent="0.3">
      <c r="A14">
        <v>316982838.82098597</v>
      </c>
      <c r="B14">
        <v>1019280912.7790101</v>
      </c>
      <c r="C14">
        <v>668131875.79999995</v>
      </c>
      <c r="D14">
        <v>179157671.92806801</v>
      </c>
    </row>
    <row r="15" spans="1:4" x14ac:dyDescent="0.3">
      <c r="A15">
        <v>531937843.615803</v>
      </c>
      <c r="B15">
        <v>846372099.18419695</v>
      </c>
      <c r="C15">
        <v>689154971.39999998</v>
      </c>
      <c r="D15">
        <v>80212820.298059493</v>
      </c>
    </row>
    <row r="16" spans="1:4" x14ac:dyDescent="0.3">
      <c r="A16">
        <v>542265639.53810596</v>
      </c>
      <c r="B16">
        <v>878090494.46189296</v>
      </c>
      <c r="C16">
        <v>710178067</v>
      </c>
      <c r="D16">
        <v>85669605.847904801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11740867.6121592</v>
      </c>
      <c r="B2">
        <v>41995168.288713001</v>
      </c>
      <c r="C2">
        <v>26868017.9504361</v>
      </c>
      <c r="D2" s="4">
        <v>7717933.8460596502</v>
      </c>
    </row>
    <row r="3" spans="1:4" x14ac:dyDescent="0.3">
      <c r="A3">
        <v>14594740.636762001</v>
      </c>
      <c r="B3">
        <v>40446016.266223803</v>
      </c>
      <c r="C3">
        <v>27520378.451492898</v>
      </c>
      <c r="D3" s="4">
        <v>6594713.1707810797</v>
      </c>
    </row>
    <row r="4" spans="1:4" x14ac:dyDescent="0.3">
      <c r="A4">
        <v>11725678.4973078</v>
      </c>
      <c r="B4">
        <v>44812254.326459303</v>
      </c>
      <c r="C4">
        <v>28268966.4118836</v>
      </c>
      <c r="D4" s="4">
        <v>8440453.0176406801</v>
      </c>
    </row>
    <row r="5" spans="1:4" x14ac:dyDescent="0.3">
      <c r="A5">
        <v>8296188.3521951102</v>
      </c>
      <c r="B5">
        <v>49695875.178338401</v>
      </c>
      <c r="C5">
        <v>28996031.765266702</v>
      </c>
      <c r="D5" s="4">
        <v>10561144.598505899</v>
      </c>
    </row>
    <row r="6" spans="1:4" x14ac:dyDescent="0.3">
      <c r="A6">
        <v>16184485.5125075</v>
      </c>
      <c r="B6">
        <v>43271336.384414703</v>
      </c>
      <c r="C6">
        <v>29727910.9484611</v>
      </c>
      <c r="D6" s="4">
        <v>6909910.9367110198</v>
      </c>
    </row>
    <row r="7" spans="1:4" x14ac:dyDescent="0.3">
      <c r="A7">
        <v>16582275.901004899</v>
      </c>
      <c r="B7">
        <v>44335151.002590597</v>
      </c>
      <c r="C7">
        <v>30458713.451797798</v>
      </c>
      <c r="D7" s="4">
        <v>7079815.0769351199</v>
      </c>
    </row>
    <row r="8" spans="1:4" x14ac:dyDescent="0.3">
      <c r="A8">
        <v>8846567.25091324</v>
      </c>
      <c r="B8">
        <v>53532946.2881466</v>
      </c>
      <c r="C8">
        <v>31189756.769529901</v>
      </c>
      <c r="D8" s="4">
        <v>11399586.4890901</v>
      </c>
    </row>
    <row r="9" spans="1:4" x14ac:dyDescent="0.3">
      <c r="A9">
        <v>12678508.457729099</v>
      </c>
      <c r="B9">
        <v>51162983.993830502</v>
      </c>
      <c r="C9">
        <v>31920746.225779802</v>
      </c>
      <c r="D9" s="4">
        <v>9817468.2490054592</v>
      </c>
    </row>
    <row r="10" spans="1:4" x14ac:dyDescent="0.3">
      <c r="A10">
        <v>18905777.746302798</v>
      </c>
      <c r="B10">
        <v>46397717.711492799</v>
      </c>
      <c r="C10">
        <v>32651747.728897799</v>
      </c>
      <c r="D10" s="4">
        <v>7013249.99111991</v>
      </c>
    </row>
    <row r="11" spans="1:4" x14ac:dyDescent="0.3">
      <c r="A11">
        <v>14362715.504942</v>
      </c>
      <c r="B11">
        <v>52402777.570191003</v>
      </c>
      <c r="C11">
        <v>33382746.537566502</v>
      </c>
      <c r="D11" s="4">
        <v>9704097.4656247403</v>
      </c>
    </row>
    <row r="12" spans="1:4" x14ac:dyDescent="0.3">
      <c r="A12">
        <v>19721920.709732998</v>
      </c>
      <c r="B12">
        <v>48505571.188039497</v>
      </c>
      <c r="C12">
        <v>34113745.948886298</v>
      </c>
      <c r="D12">
        <v>7342767.9791598199</v>
      </c>
    </row>
    <row r="13" spans="1:4" x14ac:dyDescent="0.3">
      <c r="A13" s="4">
        <v>20156370.552198</v>
      </c>
      <c r="B13" s="4">
        <v>49533119.898631498</v>
      </c>
      <c r="C13" s="4">
        <v>34844745.225414701</v>
      </c>
      <c r="D13">
        <v>7494068.7108248798</v>
      </c>
    </row>
    <row r="14" spans="1:4" x14ac:dyDescent="0.3">
      <c r="A14">
        <v>16878255.481299698</v>
      </c>
      <c r="B14">
        <v>54273233.582882501</v>
      </c>
      <c r="C14">
        <v>35575744.532091103</v>
      </c>
      <c r="D14">
        <v>9539535.2299956102</v>
      </c>
    </row>
    <row r="15" spans="1:4" x14ac:dyDescent="0.3">
      <c r="A15">
        <v>28024075.605933402</v>
      </c>
      <c r="B15">
        <v>44589412.058115602</v>
      </c>
      <c r="C15">
        <v>36306743.8320245</v>
      </c>
      <c r="D15">
        <v>4225851.1357607599</v>
      </c>
    </row>
    <row r="16" spans="1:4" x14ac:dyDescent="0.3">
      <c r="A16">
        <v>28280647.348289698</v>
      </c>
      <c r="B16">
        <v>45794838.918642402</v>
      </c>
      <c r="C16">
        <v>37037743.133466102</v>
      </c>
      <c r="D16">
        <v>4467906.0128450599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144800676.591389</v>
      </c>
      <c r="B2">
        <v>517928400.40860999</v>
      </c>
      <c r="C2">
        <v>331364538.5</v>
      </c>
      <c r="D2" s="4">
        <v>95185643.8309239</v>
      </c>
    </row>
    <row r="3" spans="1:4" x14ac:dyDescent="0.3">
      <c r="A3">
        <v>189913392.417355</v>
      </c>
      <c r="B3">
        <v>526301929.58264399</v>
      </c>
      <c r="C3">
        <v>358107661</v>
      </c>
      <c r="D3" s="4">
        <v>85813402.338083997</v>
      </c>
    </row>
    <row r="4" spans="1:4" x14ac:dyDescent="0.3">
      <c r="A4">
        <v>159632173.70625201</v>
      </c>
      <c r="B4">
        <v>610069393.29374695</v>
      </c>
      <c r="C4">
        <v>384850783.5</v>
      </c>
      <c r="D4" s="4">
        <v>114907453.976401</v>
      </c>
    </row>
    <row r="5" spans="1:4" x14ac:dyDescent="0.3">
      <c r="A5">
        <v>117763030.349621</v>
      </c>
      <c r="B5">
        <v>705424781.65037894</v>
      </c>
      <c r="C5">
        <v>411593906</v>
      </c>
      <c r="D5" s="4">
        <v>149913712.06651899</v>
      </c>
    </row>
    <row r="6" spans="1:4" x14ac:dyDescent="0.3">
      <c r="A6">
        <v>238639684.424952</v>
      </c>
      <c r="B6">
        <v>638034372.57504702</v>
      </c>
      <c r="C6">
        <v>438337028.5</v>
      </c>
      <c r="D6" s="4">
        <v>101886400.038289</v>
      </c>
    </row>
    <row r="7" spans="1:4" x14ac:dyDescent="0.3">
      <c r="A7">
        <v>253198067.35001299</v>
      </c>
      <c r="B7">
        <v>676962234.64998698</v>
      </c>
      <c r="C7">
        <v>465080151</v>
      </c>
      <c r="D7" s="4">
        <v>108103103.903054</v>
      </c>
    </row>
    <row r="8" spans="1:4" x14ac:dyDescent="0.3">
      <c r="A8">
        <v>139499249.60083601</v>
      </c>
      <c r="B8">
        <v>844147297.39916301</v>
      </c>
      <c r="C8">
        <v>491823273.5</v>
      </c>
      <c r="D8" s="4">
        <v>179757155.05059299</v>
      </c>
    </row>
    <row r="9" spans="1:4" x14ac:dyDescent="0.3">
      <c r="A9">
        <v>205967880.29567701</v>
      </c>
      <c r="B9">
        <v>831164911.70432198</v>
      </c>
      <c r="C9">
        <v>518566396</v>
      </c>
      <c r="D9" s="4">
        <v>159489038.624654</v>
      </c>
    </row>
    <row r="10" spans="1:4" x14ac:dyDescent="0.3">
      <c r="A10">
        <v>315741155.58231401</v>
      </c>
      <c r="B10">
        <v>774877881.41768599</v>
      </c>
      <c r="C10">
        <v>545309518.5</v>
      </c>
      <c r="D10" s="4">
        <v>117126715.77432901</v>
      </c>
    </row>
    <row r="11" spans="1:4" x14ac:dyDescent="0.3">
      <c r="A11">
        <v>246122029.75233901</v>
      </c>
      <c r="B11">
        <v>897983252.24766004</v>
      </c>
      <c r="C11">
        <v>572052641</v>
      </c>
      <c r="D11" s="4">
        <v>166291128.187581</v>
      </c>
    </row>
    <row r="12" spans="1:4" x14ac:dyDescent="0.3">
      <c r="A12">
        <v>346177244.409495</v>
      </c>
      <c r="B12">
        <v>851414282.59050405</v>
      </c>
      <c r="C12">
        <v>598795763.5</v>
      </c>
      <c r="D12">
        <v>128886999.535971</v>
      </c>
    </row>
    <row r="13" spans="1:4" x14ac:dyDescent="0.3">
      <c r="A13" s="4">
        <v>361850646.33013201</v>
      </c>
      <c r="B13" s="4">
        <v>889227125.66986704</v>
      </c>
      <c r="C13" s="4">
        <v>625538886</v>
      </c>
      <c r="D13">
        <v>134534816.158095</v>
      </c>
    </row>
    <row r="14" spans="1:4" x14ac:dyDescent="0.3">
      <c r="A14">
        <v>309463161.77268702</v>
      </c>
      <c r="B14">
        <v>995100855.22731197</v>
      </c>
      <c r="C14">
        <v>652282008.5</v>
      </c>
      <c r="D14">
        <v>174907574.86087301</v>
      </c>
    </row>
    <row r="15" spans="1:4" x14ac:dyDescent="0.3">
      <c r="A15">
        <v>524118926.70717001</v>
      </c>
      <c r="B15">
        <v>833931335.29282999</v>
      </c>
      <c r="C15">
        <v>679025131</v>
      </c>
      <c r="D15">
        <v>79033777.700423405</v>
      </c>
    </row>
    <row r="16" spans="1:4" x14ac:dyDescent="0.3">
      <c r="A16">
        <v>538898469.45930803</v>
      </c>
      <c r="B16">
        <v>872638037.54069102</v>
      </c>
      <c r="C16">
        <v>705768253.5</v>
      </c>
      <c r="D16">
        <v>85137644.918720305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6"/>
  <sheetViews>
    <sheetView workbookViewId="0">
      <selection activeCell="F3" sqref="F3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t="s">
        <v>16</v>
      </c>
      <c r="D1" t="s">
        <v>2</v>
      </c>
    </row>
    <row r="2" spans="1:4" x14ac:dyDescent="0.3">
      <c r="A2">
        <v>155648205.5</v>
      </c>
      <c r="B2">
        <v>556728242.10000002</v>
      </c>
      <c r="C2">
        <v>356188223.80000001</v>
      </c>
      <c r="D2" s="4">
        <v>102316335.8</v>
      </c>
    </row>
    <row r="3" spans="1:4" x14ac:dyDescent="0.3">
      <c r="A3">
        <v>191266254.59999999</v>
      </c>
      <c r="B3">
        <v>530051080.60000002</v>
      </c>
      <c r="C3">
        <v>360658667.60000002</v>
      </c>
      <c r="D3" s="4">
        <v>86424700.5</v>
      </c>
    </row>
    <row r="4" spans="1:4" x14ac:dyDescent="0.3">
      <c r="A4">
        <v>151451825.59999999</v>
      </c>
      <c r="B4">
        <v>578806397.20000005</v>
      </c>
      <c r="C4">
        <v>365129111.39999998</v>
      </c>
      <c r="D4" s="4">
        <v>109019023.40000001</v>
      </c>
    </row>
    <row r="5" spans="1:4" x14ac:dyDescent="0.3">
      <c r="A5">
        <v>105747833</v>
      </c>
      <c r="B5">
        <v>633451277.39999998</v>
      </c>
      <c r="C5">
        <v>369599555.19999999</v>
      </c>
      <c r="D5" s="4">
        <v>134618225.59999999</v>
      </c>
    </row>
    <row r="6" spans="1:4" x14ac:dyDescent="0.3">
      <c r="A6">
        <v>203651393.09999999</v>
      </c>
      <c r="B6">
        <v>544488604.89999998</v>
      </c>
      <c r="C6">
        <v>374069999</v>
      </c>
      <c r="D6" s="4">
        <v>86948268.299999997</v>
      </c>
    </row>
    <row r="7" spans="1:4" x14ac:dyDescent="0.3">
      <c r="A7">
        <v>206084281</v>
      </c>
      <c r="B7">
        <v>550996604.60000002</v>
      </c>
      <c r="C7">
        <v>378540442.80000001</v>
      </c>
      <c r="D7" s="4">
        <v>87987837.650000006</v>
      </c>
    </row>
    <row r="8" spans="1:4" x14ac:dyDescent="0.3">
      <c r="A8">
        <v>108636036.90000001</v>
      </c>
      <c r="B8">
        <v>657385736.29999995</v>
      </c>
      <c r="C8">
        <v>383010886.60000002</v>
      </c>
      <c r="D8" s="4">
        <v>139987168.19999999</v>
      </c>
    </row>
    <row r="9" spans="1:4" x14ac:dyDescent="0.3">
      <c r="A9">
        <v>153902583.90000001</v>
      </c>
      <c r="B9">
        <v>621060076.89999998</v>
      </c>
      <c r="C9">
        <v>387481330.39999998</v>
      </c>
      <c r="D9" s="4">
        <v>119172829.8</v>
      </c>
    </row>
    <row r="10" spans="1:4" x14ac:dyDescent="0.3">
      <c r="A10">
        <v>226945068.69999999</v>
      </c>
      <c r="B10">
        <v>556958479.70000005</v>
      </c>
      <c r="C10">
        <v>391951774.19999999</v>
      </c>
      <c r="D10" s="4">
        <v>84187094.659999996</v>
      </c>
    </row>
    <row r="11" spans="1:4" x14ac:dyDescent="0.3">
      <c r="A11">
        <v>170558151.40000001</v>
      </c>
      <c r="B11">
        <v>622286284.60000002</v>
      </c>
      <c r="C11">
        <v>396422218</v>
      </c>
      <c r="D11" s="4">
        <v>115236768.7</v>
      </c>
    </row>
    <row r="12" spans="1:4" x14ac:dyDescent="0.3">
      <c r="A12">
        <v>231765028.09999999</v>
      </c>
      <c r="B12">
        <v>570020295.5</v>
      </c>
      <c r="C12">
        <v>400892661.80000001</v>
      </c>
      <c r="D12">
        <v>86289609.019999996</v>
      </c>
    </row>
    <row r="13" spans="1:4" x14ac:dyDescent="0.3">
      <c r="A13" s="4">
        <v>234487263.80000001</v>
      </c>
      <c r="B13" s="4">
        <v>576238947.39999998</v>
      </c>
      <c r="C13" s="4">
        <v>405363105.60000002</v>
      </c>
      <c r="D13">
        <v>87181551.950000003</v>
      </c>
    </row>
    <row r="14" spans="1:4" x14ac:dyDescent="0.3">
      <c r="A14">
        <v>194437964.5</v>
      </c>
      <c r="B14">
        <v>625229134.29999995</v>
      </c>
      <c r="C14">
        <v>409833549.39999998</v>
      </c>
      <c r="D14">
        <v>109895706.59999999</v>
      </c>
    </row>
    <row r="15" spans="1:4" x14ac:dyDescent="0.3">
      <c r="A15">
        <v>319788700.5</v>
      </c>
      <c r="B15">
        <v>508819285.89999998</v>
      </c>
      <c r="C15">
        <v>414303993.19999999</v>
      </c>
      <c r="D15">
        <v>48222088.109999999</v>
      </c>
    </row>
    <row r="16" spans="1:4" x14ac:dyDescent="0.3">
      <c r="A16">
        <v>319760632.5</v>
      </c>
      <c r="B16">
        <v>517788241.5</v>
      </c>
      <c r="C16">
        <v>418774437</v>
      </c>
      <c r="D16">
        <v>50517247.189999998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6"/>
  <sheetViews>
    <sheetView workbookViewId="0">
      <selection activeCell="A2" sqref="A2:D16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t="s">
        <v>16</v>
      </c>
      <c r="D1" t="s">
        <v>2</v>
      </c>
    </row>
    <row r="2" spans="1:4" x14ac:dyDescent="0.3">
      <c r="A2">
        <v>131341386.2</v>
      </c>
      <c r="B2">
        <v>469786714.19999999</v>
      </c>
      <c r="C2">
        <v>300564050.19999999</v>
      </c>
      <c r="D2" s="4">
        <v>86338093.870000005</v>
      </c>
    </row>
    <row r="3" spans="1:4" x14ac:dyDescent="0.3">
      <c r="A3">
        <v>159396585.5</v>
      </c>
      <c r="B3">
        <v>441731514.89999998</v>
      </c>
      <c r="C3">
        <v>300564050.19999999</v>
      </c>
      <c r="D3" s="4">
        <v>72024216.670000002</v>
      </c>
    </row>
    <row r="4" spans="1:4" x14ac:dyDescent="0.3">
      <c r="A4">
        <v>125618210.2</v>
      </c>
      <c r="B4">
        <v>480077565.39999998</v>
      </c>
      <c r="C4">
        <v>302847887.80000001</v>
      </c>
      <c r="D4" s="4">
        <v>90423304.890000001</v>
      </c>
    </row>
    <row r="5" spans="1:4" x14ac:dyDescent="0.3">
      <c r="A5">
        <v>87505596.890000001</v>
      </c>
      <c r="B5">
        <v>524176529.69999999</v>
      </c>
      <c r="C5">
        <v>305841063.30000001</v>
      </c>
      <c r="D5" s="4">
        <v>111395646.09999999</v>
      </c>
    </row>
    <row r="6" spans="1:4" x14ac:dyDescent="0.3">
      <c r="A6">
        <v>168011919</v>
      </c>
      <c r="B6">
        <v>449201814.89999998</v>
      </c>
      <c r="C6">
        <v>308606867</v>
      </c>
      <c r="D6" s="4">
        <v>71732116.290000007</v>
      </c>
    </row>
    <row r="7" spans="1:4" x14ac:dyDescent="0.3">
      <c r="A7">
        <v>169334596.69999999</v>
      </c>
      <c r="B7">
        <v>452740924.10000002</v>
      </c>
      <c r="C7">
        <v>311037760.39999998</v>
      </c>
      <c r="D7" s="4">
        <v>72297532.5</v>
      </c>
    </row>
    <row r="8" spans="1:4" x14ac:dyDescent="0.3">
      <c r="A8">
        <v>88871159.620000005</v>
      </c>
      <c r="B8">
        <v>537783173.89999998</v>
      </c>
      <c r="C8">
        <v>313327166.80000001</v>
      </c>
      <c r="D8" s="4">
        <v>114518371</v>
      </c>
    </row>
    <row r="9" spans="1:4" x14ac:dyDescent="0.3">
      <c r="A9">
        <v>125308606.8</v>
      </c>
      <c r="B9">
        <v>505671646.19999999</v>
      </c>
      <c r="C9">
        <v>315490126.5</v>
      </c>
      <c r="D9" s="4">
        <v>97031387.599999994</v>
      </c>
    </row>
    <row r="10" spans="1:4" x14ac:dyDescent="0.3">
      <c r="A10">
        <v>183885258.69999999</v>
      </c>
      <c r="B10">
        <v>451283011.80000001</v>
      </c>
      <c r="C10">
        <v>317584135.30000001</v>
      </c>
      <c r="D10" s="4">
        <v>68213712.549999997</v>
      </c>
    </row>
    <row r="11" spans="1:4" x14ac:dyDescent="0.3">
      <c r="A11">
        <v>137517402.30000001</v>
      </c>
      <c r="B11">
        <v>501736168.5</v>
      </c>
      <c r="C11">
        <v>319626785.39999998</v>
      </c>
      <c r="D11" s="4">
        <v>92912950.549999997</v>
      </c>
    </row>
    <row r="12" spans="1:4" x14ac:dyDescent="0.3">
      <c r="A12">
        <v>185946262.5</v>
      </c>
      <c r="B12">
        <v>457330186.30000001</v>
      </c>
      <c r="C12">
        <v>321638224.39999998</v>
      </c>
      <c r="D12">
        <v>69230592.810000002</v>
      </c>
    </row>
    <row r="13" spans="1:4" x14ac:dyDescent="0.3">
      <c r="A13" s="4">
        <v>187206621.40000001</v>
      </c>
      <c r="B13" s="4">
        <v>460049491.5</v>
      </c>
      <c r="C13" s="4">
        <v>323628056.5</v>
      </c>
      <c r="D13">
        <v>69602772.989999995</v>
      </c>
    </row>
    <row r="14" spans="1:4" x14ac:dyDescent="0.3">
      <c r="A14">
        <v>154476876.90000001</v>
      </c>
      <c r="B14">
        <v>496731408.69999999</v>
      </c>
      <c r="C14">
        <v>325604142.80000001</v>
      </c>
      <c r="D14">
        <v>87309829.560000002</v>
      </c>
    </row>
    <row r="15" spans="1:4" x14ac:dyDescent="0.3">
      <c r="A15">
        <v>252842127.40000001</v>
      </c>
      <c r="B15">
        <v>402299864</v>
      </c>
      <c r="C15">
        <v>327570995.69999999</v>
      </c>
      <c r="D15">
        <v>38126973.619999997</v>
      </c>
    </row>
    <row r="16" spans="1:4" x14ac:dyDescent="0.3">
      <c r="A16">
        <v>251618310.19999999</v>
      </c>
      <c r="B16">
        <v>407445411.10000002</v>
      </c>
      <c r="C16">
        <v>329531860.60000002</v>
      </c>
      <c r="D16">
        <v>39751811.450000003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6"/>
  <sheetViews>
    <sheetView tabSelected="1" workbookViewId="0">
      <selection activeCell="A2" sqref="A2:D16"/>
    </sheetView>
  </sheetViews>
  <sheetFormatPr defaultRowHeight="14.4" x14ac:dyDescent="0.3"/>
  <sheetData>
    <row r="1" spans="1:4" x14ac:dyDescent="0.3">
      <c r="A1" s="3" t="s">
        <v>0</v>
      </c>
      <c r="B1" s="3" t="s">
        <v>1</v>
      </c>
      <c r="C1" t="s">
        <v>16</v>
      </c>
      <c r="D1" t="s">
        <v>2</v>
      </c>
    </row>
    <row r="2" spans="1:4" x14ac:dyDescent="0.3">
      <c r="A2">
        <v>13191573.7377945</v>
      </c>
      <c r="B2">
        <v>47184107.462205403</v>
      </c>
      <c r="C2">
        <v>30187840.600000001</v>
      </c>
      <c r="D2" s="4">
        <v>8671564.7256150302</v>
      </c>
    </row>
    <row r="3" spans="1:4" x14ac:dyDescent="0.3">
      <c r="A3">
        <v>17456015.967299201</v>
      </c>
      <c r="B3">
        <v>48375392.432700701</v>
      </c>
      <c r="C3">
        <v>32915704.199999999</v>
      </c>
      <c r="D3" s="4">
        <v>7887596.0370922098</v>
      </c>
    </row>
    <row r="4" spans="1:4" x14ac:dyDescent="0.3">
      <c r="A4">
        <v>14784587.820801901</v>
      </c>
      <c r="B4">
        <v>56502547.779197998</v>
      </c>
      <c r="C4">
        <v>35643567.799999997</v>
      </c>
      <c r="D4" s="4">
        <v>10642336.7240806</v>
      </c>
    </row>
    <row r="5" spans="1:4" x14ac:dyDescent="0.3">
      <c r="A5">
        <v>10978627.172669001</v>
      </c>
      <c r="B5">
        <v>65764235.627330899</v>
      </c>
      <c r="C5">
        <v>38371431.399999999</v>
      </c>
      <c r="D5" s="4">
        <v>13975920.524148401</v>
      </c>
    </row>
    <row r="6" spans="1:4" x14ac:dyDescent="0.3">
      <c r="A6">
        <v>22375300.6275809</v>
      </c>
      <c r="B6">
        <v>59823289.372419</v>
      </c>
      <c r="C6">
        <v>41099295</v>
      </c>
      <c r="D6" s="4">
        <v>9553058.3532749992</v>
      </c>
    </row>
    <row r="7" spans="1:4" x14ac:dyDescent="0.3">
      <c r="A7">
        <v>23860299.8453109</v>
      </c>
      <c r="B7">
        <v>63794017.354689002</v>
      </c>
      <c r="C7">
        <v>43827158.600000001</v>
      </c>
      <c r="D7" s="4">
        <v>10187172.834024999</v>
      </c>
    </row>
    <row r="8" spans="1:4" x14ac:dyDescent="0.3">
      <c r="A8">
        <v>13204724.160029599</v>
      </c>
      <c r="B8">
        <v>79905320.239970401</v>
      </c>
      <c r="C8">
        <v>46555022.200000003</v>
      </c>
      <c r="D8" s="4">
        <v>17015458.183658302</v>
      </c>
    </row>
    <row r="9" spans="1:4" x14ac:dyDescent="0.3">
      <c r="A9">
        <v>19574526.2349778</v>
      </c>
      <c r="B9">
        <v>78991245.365022093</v>
      </c>
      <c r="C9">
        <v>49282885.799999997</v>
      </c>
      <c r="D9" s="4">
        <v>15157326.308684699</v>
      </c>
    </row>
    <row r="10" spans="1:4" x14ac:dyDescent="0.3">
      <c r="A10">
        <v>30114886.245577499</v>
      </c>
      <c r="B10">
        <v>73906612.554422498</v>
      </c>
      <c r="C10">
        <v>52010749.399999999</v>
      </c>
      <c r="D10" s="4">
        <v>11171358.7522563</v>
      </c>
    </row>
    <row r="11" spans="1:4" x14ac:dyDescent="0.3">
      <c r="A11">
        <v>23550941.944497999</v>
      </c>
      <c r="B11">
        <v>85926284.055501893</v>
      </c>
      <c r="C11">
        <v>54738613</v>
      </c>
      <c r="D11" s="4">
        <v>15912077.0691336</v>
      </c>
    </row>
    <row r="12" spans="1:4" x14ac:dyDescent="0.3">
      <c r="A12">
        <v>33222657.420004901</v>
      </c>
      <c r="B12">
        <v>81710295.779995099</v>
      </c>
      <c r="C12">
        <v>57466476.600000001</v>
      </c>
      <c r="D12" s="4">
        <v>12369295.4999975</v>
      </c>
    </row>
    <row r="13" spans="1:4" x14ac:dyDescent="0.3">
      <c r="A13">
        <v>34820154.9004675</v>
      </c>
      <c r="B13">
        <v>85568525.499532506</v>
      </c>
      <c r="C13">
        <v>60194340.200000003</v>
      </c>
      <c r="D13" s="4">
        <v>12946012.907924701</v>
      </c>
    </row>
    <row r="14" spans="1:4" x14ac:dyDescent="0.3">
      <c r="A14">
        <v>29852278.431581799</v>
      </c>
      <c r="B14">
        <v>95992129.168418199</v>
      </c>
      <c r="C14">
        <v>62922203.799999997</v>
      </c>
      <c r="D14" s="4">
        <v>16872410.902254101</v>
      </c>
    </row>
    <row r="15" spans="1:4" x14ac:dyDescent="0.3">
      <c r="A15">
        <v>50673298.0755338</v>
      </c>
      <c r="B15">
        <v>80626836.724466205</v>
      </c>
      <c r="C15">
        <v>65650067.399999999</v>
      </c>
      <c r="D15" s="4">
        <v>7641208.8390133698</v>
      </c>
    </row>
    <row r="16" spans="1:4" x14ac:dyDescent="0.3">
      <c r="A16">
        <v>52210852.752240099</v>
      </c>
      <c r="B16">
        <v>84545009.247759894</v>
      </c>
      <c r="C16">
        <v>68377931</v>
      </c>
      <c r="D16" s="4">
        <v>8248509.3100815704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0"/>
  <sheetViews>
    <sheetView zoomScale="77" zoomScaleNormal="77" workbookViewId="0">
      <selection activeCell="B2" sqref="B2"/>
    </sheetView>
  </sheetViews>
  <sheetFormatPr defaultRowHeight="14.4" x14ac:dyDescent="0.3"/>
  <cols>
    <col min="2" max="11" width="12" bestFit="1" customWidth="1"/>
    <col min="13" max="13" width="12.88671875" bestFit="1" customWidth="1"/>
  </cols>
  <sheetData>
    <row r="1" spans="1:24" x14ac:dyDescent="0.3">
      <c r="A1" t="s">
        <v>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4" x14ac:dyDescent="0.3">
      <c r="A2" s="5" t="s">
        <v>4</v>
      </c>
      <c r="B2" s="4">
        <f ca="1">_xlfn.NORM.INV(RAND(),Measles!$C2,Measles!$D$2)</f>
        <v>383575769.77843791</v>
      </c>
      <c r="C2" s="4">
        <f ca="1">_xlfn.NORM.INV(RAND(),Measles!$C3,Measles!$D$2)</f>
        <v>442183648.34734857</v>
      </c>
      <c r="D2" s="4">
        <f ca="1">_xlfn.NORM.INV(RAND(),Measles!$C4,Measles!$D$2)</f>
        <v>492195488.34282565</v>
      </c>
      <c r="E2" s="4">
        <f ca="1">_xlfn.NORM.INV(RAND(),Measles!$C5,Measles!$D$2)</f>
        <v>632809507.35100579</v>
      </c>
      <c r="F2" s="4">
        <f ca="1">_xlfn.NORM.INV(RAND(),Measles!$C6,Measles!$D$2)</f>
        <v>23410849.528352916</v>
      </c>
      <c r="G2" s="4">
        <f ca="1">_xlfn.NORM.INV(RAND(),Measles!$C7,Measles!$D$2)</f>
        <v>714029366.38005078</v>
      </c>
      <c r="H2" s="4">
        <f ca="1">_xlfn.NORM.INV(RAND(),Measles!$C8,Measles!$D$2)</f>
        <v>642020846.11816645</v>
      </c>
      <c r="I2" s="4">
        <f ca="1">_xlfn.NORM.INV(RAND(),Measles!$C9,Measles!$D$2)</f>
        <v>481753779.91615725</v>
      </c>
      <c r="J2" s="4">
        <f ca="1">_xlfn.NORM.INV(RAND(),Measles!$C10,Measles!$D$2)</f>
        <v>631428050.18327451</v>
      </c>
      <c r="K2" s="4">
        <f ca="1">_xlfn.NORM.INV(RAND(),Measles!$C11,Measles!$D$2)</f>
        <v>762535884.60298395</v>
      </c>
    </row>
    <row r="3" spans="1:24" x14ac:dyDescent="0.3">
      <c r="A3" s="5" t="s">
        <v>5</v>
      </c>
      <c r="B3" s="4">
        <f ca="1">_xlfn.NORM.INV(RAND(),Mumps!$C2,Mumps!$D$2)</f>
        <v>17762478.746796407</v>
      </c>
      <c r="C3" s="4">
        <f ca="1">_xlfn.NORM.INV(RAND(),Mumps!$C3,Mumps!$D$2)</f>
        <v>38970982.418563113</v>
      </c>
      <c r="D3" s="4">
        <f ca="1">_xlfn.NORM.INV(RAND(),Mumps!$C4,Mumps!$D$2)</f>
        <v>14828239.312750252</v>
      </c>
      <c r="E3" s="4">
        <f ca="1">_xlfn.NORM.INV(RAND(),Mumps!$C5,Mumps!$D$2)</f>
        <v>32279941.152685564</v>
      </c>
      <c r="F3" s="4">
        <f ca="1">_xlfn.NORM.INV(RAND(),Mumps!$C6,Mumps!$D$2)</f>
        <v>25335861.932998881</v>
      </c>
      <c r="G3" s="4">
        <f ca="1">_xlfn.NORM.INV(RAND(),Mumps!$C7,Mumps!$D$2)</f>
        <v>39900025.096243896</v>
      </c>
      <c r="H3" s="4">
        <f ca="1">_xlfn.NORM.INV(RAND(),Mumps!$C8,Mumps!$D$2)</f>
        <v>38529521.45352795</v>
      </c>
      <c r="I3" s="4">
        <f ca="1">_xlfn.NORM.INV(RAND(),Mumps!$C9,Mumps!$D$2)</f>
        <v>33072563.065932114</v>
      </c>
      <c r="J3" s="4">
        <f ca="1">_xlfn.NORM.INV(RAND(),Mumps!$C10,Mumps!$D$2)</f>
        <v>39602980.006972104</v>
      </c>
      <c r="K3" s="4">
        <f ca="1">_xlfn.NORM.INV(RAND(),Mumps!$C11,Mumps!$D$2)</f>
        <v>33305107.333665363</v>
      </c>
    </row>
    <row r="4" spans="1:24" x14ac:dyDescent="0.3">
      <c r="A4" s="5" t="s">
        <v>6</v>
      </c>
      <c r="B4" s="4">
        <f ca="1">_xlfn.NORM.INV(RAND(),Rubella!$C2,Rubella!$D$2)</f>
        <v>438359724.28372574</v>
      </c>
      <c r="C4" s="4">
        <f ca="1">_xlfn.NORM.INV(RAND(),Rubella!$C3,Rubella!$D$2)</f>
        <v>214292433.85098177</v>
      </c>
      <c r="D4" s="4">
        <f ca="1">_xlfn.NORM.INV(RAND(),Rubella!$C4,Rubella!$D$2)</f>
        <v>338784064.13404632</v>
      </c>
      <c r="E4" s="4">
        <f ca="1">_xlfn.NORM.INV(RAND(),Rubella!$C5,Rubella!$D$2)</f>
        <v>646374945.84366035</v>
      </c>
      <c r="F4" s="4">
        <f ca="1">_xlfn.NORM.INV(RAND(),Rubella!$C6,Rubella!$D$2)</f>
        <v>437449766.97498739</v>
      </c>
      <c r="G4" s="4">
        <f ca="1">_xlfn.NORM.INV(RAND(),Rubella!$C7,Rubella!$D$2)</f>
        <v>497341060.55732691</v>
      </c>
      <c r="H4" s="4">
        <f ca="1">_xlfn.NORM.INV(RAND(),Rubella!$C8,Rubella!$D$2)</f>
        <v>456320261.39948094</v>
      </c>
      <c r="I4" s="4">
        <f ca="1">_xlfn.NORM.INV(RAND(),Rubella!$C9,Rubella!$D$2)</f>
        <v>656021329.33989334</v>
      </c>
      <c r="J4" s="4">
        <f ca="1">_xlfn.NORM.INV(RAND(),Rubella!$C10,Rubella!$D$2)</f>
        <v>758657791.84697437</v>
      </c>
      <c r="K4" s="4">
        <f ca="1">_xlfn.NORM.INV(RAND(),Rubella!$C11,Rubella!$D$2)</f>
        <v>757006611.39667511</v>
      </c>
    </row>
    <row r="5" spans="1:24" x14ac:dyDescent="0.3">
      <c r="A5" s="5" t="s">
        <v>7</v>
      </c>
      <c r="B5" s="4">
        <f ca="1">_xlfn.NORM.INV(RAND(),Diphtheria!$C2,Diphtheria!$D$2)</f>
        <v>490514250.65801072</v>
      </c>
      <c r="C5" s="4">
        <f ca="1">_xlfn.NORM.INV(RAND(),Diphtheria!$C3,Diphtheria!$D$2)</f>
        <v>342426516.93551075</v>
      </c>
      <c r="D5" s="4">
        <f ca="1">_xlfn.NORM.INV(RAND(),Diphtheria!$C4,Diphtheria!$D$2)</f>
        <v>836727520.76380932</v>
      </c>
      <c r="E5" s="4">
        <f ca="1">_xlfn.NORM.INV(RAND(),Diphtheria!$C5,Diphtheria!$D$2)</f>
        <v>613088091.6223135</v>
      </c>
      <c r="F5" s="4">
        <f ca="1">_xlfn.NORM.INV(RAND(),Diphtheria!$C6,Diphtheria!$D$2)</f>
        <v>573720438.96262574</v>
      </c>
      <c r="G5" s="4">
        <f ca="1">_xlfn.NORM.INV(RAND(),Diphtheria!$C8,Diphtheria!$D$2)</f>
        <v>862403020.70412028</v>
      </c>
      <c r="H5" s="4">
        <f ca="1">_xlfn.NORM.INV(RAND(),Diphtheria!$C9,Diphtheria!$D$2)</f>
        <v>745861905.97528899</v>
      </c>
      <c r="I5" s="4">
        <f ca="1">_xlfn.NORM.INV(RAND(),Diphtheria!$C10,Diphtheria!$D$2)</f>
        <v>779356064.73729062</v>
      </c>
      <c r="J5" s="4">
        <f ca="1">_xlfn.NORM.INV(RAND(),Diphtheria!$C10,Diphtheria!$D$2)</f>
        <v>763427526.04944456</v>
      </c>
      <c r="K5" s="4">
        <f ca="1">_xlfn.NORM.INV(RAND(),Diphtheria!$C11,Diphtheria!$D$2)</f>
        <v>1138685708.7658269</v>
      </c>
    </row>
    <row r="6" spans="1:24" x14ac:dyDescent="0.3">
      <c r="A6" s="5" t="s">
        <v>8</v>
      </c>
      <c r="B6" s="4">
        <f ca="1">_xlfn.NORM.INV(RAND(),Tetanus!$C2,Tetanus!$D$2)</f>
        <v>637795461.77946258</v>
      </c>
      <c r="C6" s="4">
        <f ca="1">_xlfn.NORM.INV(RAND(),Tetanus!$C3,Tetanus!$D$2)</f>
        <v>744164423.39898944</v>
      </c>
      <c r="D6" s="4">
        <f ca="1">_xlfn.NORM.INV(RAND(),Tetanus!$C4,Tetanus!$D$2)</f>
        <v>175725217.15964103</v>
      </c>
      <c r="E6" s="4">
        <f ca="1">_xlfn.NORM.INV(RAND(),Tetanus!$C5,Tetanus!$D$2)</f>
        <v>730698155.25691032</v>
      </c>
      <c r="F6" s="4">
        <f ca="1">_xlfn.NORM.INV(RAND(),Tetanus!$C6,Tetanus!$D$2)</f>
        <v>535599207.47552347</v>
      </c>
      <c r="G6" s="4">
        <f ca="1">_xlfn.NORM.INV(RAND(),Tetanus!$C7,Tetanus!$D$2)</f>
        <v>530041453.68269837</v>
      </c>
      <c r="H6" s="4">
        <f ca="1">_xlfn.NORM.INV(RAND(),Tetanus!$C8,Tetanus!$D$2)</f>
        <v>765488993.55500424</v>
      </c>
      <c r="I6" s="4">
        <f ca="1">_xlfn.NORM.INV(RAND(),Tetanus!$C9,Tetanus!$D$2)</f>
        <v>657634925.23687291</v>
      </c>
      <c r="J6" s="4">
        <f ca="1">_xlfn.NORM.INV(RAND(),Tetanus!$C10,Tetanus!$D$2)</f>
        <v>749690908.54014182</v>
      </c>
      <c r="K6" s="4">
        <f ca="1">_xlfn.NORM.INV(RAND(),Tetanus!$C11,Tetanus!$D$2)</f>
        <v>651715873.91378331</v>
      </c>
    </row>
    <row r="7" spans="1:24" x14ac:dyDescent="0.3">
      <c r="A7" s="5" t="s">
        <v>9</v>
      </c>
      <c r="B7" s="4">
        <f ca="1">_xlfn.NORM.INV(RAND(),Pertussis!$C2,Pertussis!$D$2)</f>
        <v>335861198.0401625</v>
      </c>
      <c r="C7" s="4">
        <f ca="1">_xlfn.NORM.INV(RAND(),Pertussis!$C2,Pertussis!$D$2)</f>
        <v>337638469.0878163</v>
      </c>
      <c r="D7" s="4">
        <f ca="1">_xlfn.NORM.INV(RAND(),Pertussis!$C4,Pertussis!$D$2)</f>
        <v>271897597.3405565</v>
      </c>
      <c r="E7" s="4">
        <f ca="1">_xlfn.NORM.INV(RAND(),Pertussis!$C5,Pertussis!$D$2)</f>
        <v>387774874.12888026</v>
      </c>
      <c r="F7" s="4">
        <f ca="1">_xlfn.NORM.INV(RAND(),Pertussis!$C6,Pertussis!$D$2)</f>
        <v>490085014.41194171</v>
      </c>
      <c r="G7" s="4">
        <f ca="1">_xlfn.NORM.INV(RAND(),Pertussis!$C7,Pertussis!$D$2)</f>
        <v>450971812.74452412</v>
      </c>
      <c r="H7" s="4">
        <f ca="1">_xlfn.NORM.INV(RAND(),Pertussis!$C8,Pertussis!$D$2)</f>
        <v>429022676.89507473</v>
      </c>
      <c r="I7" s="4">
        <f ca="1">_xlfn.NORM.INV(RAND(),Pertussis!$C9,Pertussis!$D$2)</f>
        <v>285577223.1507529</v>
      </c>
      <c r="J7" s="4">
        <f ca="1">_xlfn.NORM.INV(RAND(),Pertussis!$C10,Pertussis!$D$2)</f>
        <v>376903278.41485053</v>
      </c>
      <c r="K7" s="4">
        <f ca="1">_xlfn.NORM.INV(RAND(),Pertussis!$C11,Pertussis!$D$2)</f>
        <v>287227286.10756868</v>
      </c>
    </row>
    <row r="8" spans="1:24" x14ac:dyDescent="0.3">
      <c r="A8" s="5" t="s">
        <v>10</v>
      </c>
      <c r="B8" s="4">
        <f ca="1">_xlfn.NORM.INV(RAND(),Hepatitis_B!$C2,Hepatitis_B!$D$2)</f>
        <v>343176421.30706322</v>
      </c>
      <c r="C8" s="4">
        <f ca="1">_xlfn.NORM.INV(RAND(),Hepatitis_B!$C3,Hepatitis_B!$D$2)</f>
        <v>311974234.57193214</v>
      </c>
      <c r="D8" s="4">
        <f ca="1">_xlfn.NORM.INV(RAND(),Hepatitis_B!$C4,Hepatitis_B!$D$2)</f>
        <v>304905484.32074475</v>
      </c>
      <c r="E8" s="4">
        <f ca="1">_xlfn.NORM.INV(RAND(),Hepatitis_B!$C5,Hepatitis_B!$D$2)</f>
        <v>434799292.72036862</v>
      </c>
      <c r="F8" s="4">
        <f ca="1">_xlfn.NORM.INV(RAND(),Hepatitis_B!$C6,Hepatitis_B!$D$2)</f>
        <v>534787854.06171626</v>
      </c>
      <c r="G8" s="4">
        <f ca="1">_xlfn.NORM.INV(RAND(),Hepatitis_B!$C7,Hepatitis_B!$D$2)</f>
        <v>357048648.47445762</v>
      </c>
      <c r="H8" s="4">
        <f ca="1">_xlfn.NORM.INV(RAND(),Hepatitis_B!$C8,Hepatitis_B!$D$2)</f>
        <v>446912464.08346504</v>
      </c>
      <c r="I8" s="4">
        <f ca="1">_xlfn.NORM.INV(RAND(),Hepatitis_B!$C9,Hepatitis_B!$D$2)</f>
        <v>239872168.15276799</v>
      </c>
      <c r="J8" s="4">
        <f ca="1">_xlfn.NORM.INV(RAND(),Hepatitis_B!$C10,Hepatitis_B!$D$2)</f>
        <v>412693068.3115024</v>
      </c>
      <c r="K8" s="4">
        <f ca="1">_xlfn.NORM.INV(RAND(),Hepatitis_B!$C11,Hepatitis_B!$D$2)</f>
        <v>471162645.13630271</v>
      </c>
    </row>
    <row r="9" spans="1:24" x14ac:dyDescent="0.3">
      <c r="A9" s="5" t="s">
        <v>11</v>
      </c>
      <c r="B9" s="4">
        <f ca="1">_xlfn.NORM.INV(RAND(),Hib!$C2,Hib!$D$2)</f>
        <v>154632133.61733648</v>
      </c>
      <c r="C9" s="4">
        <f ca="1">_xlfn.NORM.INV(RAND(),Hib!$C3,Hib!$D$2)</f>
        <v>399414898.61069101</v>
      </c>
      <c r="D9" s="4">
        <f ca="1">_xlfn.NORM.INV(RAND(),Hib!$C4,Hib!$D$2)</f>
        <v>473402175.33601993</v>
      </c>
      <c r="E9" s="4">
        <f ca="1">_xlfn.NORM.INV(RAND(),Hib!$C5,Hib!$D$2)</f>
        <v>383032952.2048744</v>
      </c>
      <c r="F9" s="4">
        <f ca="1">_xlfn.NORM.INV(RAND(),Hib!$C6,Hib!$D$2)</f>
        <v>331823915.88181043</v>
      </c>
      <c r="G9" s="4">
        <f ca="1">_xlfn.NORM.INV(RAND(),Hib!$C7,Hib!$D$2)</f>
        <v>280039842.74601126</v>
      </c>
      <c r="H9" s="4">
        <f ca="1">_xlfn.NORM.INV(RAND(),Hib!$C8,Hib!$D$2)</f>
        <v>307089639.89697301</v>
      </c>
      <c r="I9" s="4">
        <f ca="1">_xlfn.NORM.INV(RAND(),Hib!$C9,Hib!$D$2)</f>
        <v>161242739.2997371</v>
      </c>
      <c r="J9" s="4">
        <f ca="1">_xlfn.NORM.INV(RAND(),Hib!$C10,Hib!$D$2)</f>
        <v>396327433.64881396</v>
      </c>
      <c r="K9" s="4">
        <f ca="1">_xlfn.NORM.INV(RAND(),Hib!$C11,Hib!$D$2)</f>
        <v>410482654.73097879</v>
      </c>
    </row>
    <row r="10" spans="1:24" x14ac:dyDescent="0.3">
      <c r="A10" s="5" t="s">
        <v>12</v>
      </c>
      <c r="B10" s="4">
        <f ca="1">_xlfn.NORM.INV(RAND(),Polio!$C2,Polio!$D$2)</f>
        <v>527316220.09266412</v>
      </c>
      <c r="C10" s="4">
        <f ca="1">_xlfn.NORM.INV(RAND(),Polio!$C3,Polio!$D$2)</f>
        <v>797538190.37265313</v>
      </c>
      <c r="D10" s="4">
        <f ca="1">_xlfn.NORM.INV(RAND(),Polio!$C4,Polio!$D$2)</f>
        <v>678701445.93366277</v>
      </c>
      <c r="E10" s="4">
        <f ca="1">_xlfn.NORM.INV(RAND(),Polio!$C5,Polio!$D$2)</f>
        <v>678889212.26104057</v>
      </c>
      <c r="F10" s="4">
        <f ca="1">_xlfn.NORM.INV(RAND(),Polio!$C6,Polio!$D$2)</f>
        <v>776781657.70593953</v>
      </c>
      <c r="G10" s="4">
        <f ca="1">_xlfn.NORM.INV(RAND(),Polio!$C7,Polio!$D$2)</f>
        <v>529458402.91647565</v>
      </c>
      <c r="H10" s="4">
        <f ca="1">_xlfn.NORM.INV(RAND(),Polio!$C8,Polio!$D$2)</f>
        <v>715636514.61505783</v>
      </c>
      <c r="I10" s="4">
        <f ca="1">_xlfn.NORM.INV(RAND(),Polio!$C9,Polio!$D$2)</f>
        <v>714319315.40931928</v>
      </c>
      <c r="J10" s="4">
        <f ca="1">_xlfn.NORM.INV(RAND(),Polio!$C10,Polio!$D$2)</f>
        <v>585066877.33189774</v>
      </c>
      <c r="K10" s="4">
        <f ca="1">_xlfn.NORM.INV(RAND(),Polio!$C11,Polio!$D$2)</f>
        <v>947661937.86569142</v>
      </c>
    </row>
    <row r="11" spans="1:24" x14ac:dyDescent="0.3">
      <c r="A11" s="5" t="s">
        <v>13</v>
      </c>
      <c r="B11" s="4">
        <f ca="1">_xlfn.NORM.INV(RAND(),HPV!$C2,HPV!$D$2)</f>
        <v>36590184.340709262</v>
      </c>
      <c r="C11" s="4">
        <f ca="1">_xlfn.NORM.INV(RAND(),HPV!$C3,HPV!$D$2)</f>
        <v>32710888.996183302</v>
      </c>
      <c r="D11" s="4">
        <f ca="1">_xlfn.NORM.INV(RAND(),HPV!$C4,HPV!$D$2)</f>
        <v>28844685.442065388</v>
      </c>
      <c r="E11" s="4">
        <f ca="1">_xlfn.NORM.INV(RAND(),HPV!$C5,HPV!$D$2)</f>
        <v>41734017.24529016</v>
      </c>
      <c r="F11" s="4">
        <f ca="1">_xlfn.NORM.INV(RAND(),HPV!$C6,HPV!$D$2)</f>
        <v>38996494.278893232</v>
      </c>
      <c r="G11" s="4">
        <f ca="1">_xlfn.NORM.INV(RAND(),HPV!$C7,HPV!$D$2)</f>
        <v>55360457.112045549</v>
      </c>
      <c r="H11" s="4">
        <f ca="1">_xlfn.NORM.INV(RAND(),HPV!$C8,HPV!$D$2)</f>
        <v>65851125.914222337</v>
      </c>
      <c r="I11" s="4">
        <f ca="1">_xlfn.NORM.INV(RAND(),HPV!$C9,HPV!$D$2)</f>
        <v>40439670.073335044</v>
      </c>
      <c r="J11" s="4">
        <f ca="1">_xlfn.NORM.INV(RAND(),HPV!$C10,HPV!$D$2)</f>
        <v>59408523.403662987</v>
      </c>
      <c r="K11" s="4">
        <f ca="1">_xlfn.NORM.INV(RAND(),HPV!$C11,HPV!$D$2)</f>
        <v>55867394.08726044</v>
      </c>
    </row>
    <row r="12" spans="1:24" x14ac:dyDescent="0.3">
      <c r="A12" s="5" t="s">
        <v>14</v>
      </c>
      <c r="B12" s="4">
        <f ca="1">_xlfn.NORM.INV(RAND(),Rotavirus!$C2,Rotavirus!$D$2)</f>
        <v>152516137.80221903</v>
      </c>
      <c r="C12" s="4">
        <f ca="1">_xlfn.NORM.INV(RAND(),Rotavirus!$C3,Rotavirus!$D$2)</f>
        <v>126704651.35559927</v>
      </c>
      <c r="D12" s="4">
        <f ca="1">_xlfn.NORM.INV(RAND(),Rotavirus!$C4,Rotavirus!$D$2)</f>
        <v>238690088.82884365</v>
      </c>
      <c r="E12" s="4">
        <f ca="1">_xlfn.NORM.INV(RAND(),Rotavirus!$C5,Rotavirus!$D$2)</f>
        <v>360772076.10546333</v>
      </c>
      <c r="F12" s="4">
        <f ca="1">_xlfn.NORM.INV(RAND(),Rotavirus!$C6,Rotavirus!$D$2)</f>
        <v>232072381.08928847</v>
      </c>
      <c r="G12" s="4">
        <f ca="1">_xlfn.NORM.INV(RAND(),Rotavirus!$C7,Rotavirus!$D$2)</f>
        <v>278991489.01866233</v>
      </c>
      <c r="H12" s="4">
        <f ca="1">_xlfn.NORM.INV(RAND(),Rotavirus!$C8,Rotavirus!$D$2)</f>
        <v>194940181.67674041</v>
      </c>
      <c r="I12" s="4">
        <f ca="1">_xlfn.NORM.INV(RAND(),Rotavirus!$C9,Rotavirus!$D$2)</f>
        <v>275808733.80479985</v>
      </c>
      <c r="J12" s="4">
        <f ca="1">_xlfn.NORM.INV(RAND(),Rotavirus!$C10,Rotavirus!$D$2)</f>
        <v>385214437.94006526</v>
      </c>
      <c r="K12" s="4">
        <f ca="1">_xlfn.NORM.INV(RAND(),Rotavirus!$C11,Rotavirus!$D$2)</f>
        <v>378277522.03305507</v>
      </c>
    </row>
    <row r="13" spans="1:24" x14ac:dyDescent="0.3">
      <c r="A13" s="5" t="s">
        <v>15</v>
      </c>
      <c r="B13" s="4">
        <f ca="1">_xlfn.NORM.INV(RAND(),PCV!$C2,PCV!$D$2)</f>
        <v>200602836.1813845</v>
      </c>
      <c r="C13" s="4">
        <f ca="1">_xlfn.NORM.INV(RAND(),PCV!$C3,PCV!$D$2)</f>
        <v>187678417.37903559</v>
      </c>
      <c r="D13" s="4">
        <f ca="1">_xlfn.NORM.INV(RAND(),PCV!$C4,PCV!$D$2)</f>
        <v>373752570.31889307</v>
      </c>
      <c r="E13" s="4">
        <f ca="1">_xlfn.NORM.INV(RAND(),PCV!$C5,PCV!$D$2)</f>
        <v>405069477.64083588</v>
      </c>
      <c r="F13" s="4">
        <f ca="1">_xlfn.NORM.INV(RAND(),PCV!$C6,PCV!$D$2)</f>
        <v>358511021.64884853</v>
      </c>
      <c r="G13" s="4">
        <f ca="1">_xlfn.NORM.INV(RAND(),PCV!$C7,PCV!$D$2)</f>
        <v>367430595.91894466</v>
      </c>
      <c r="H13" s="4">
        <f ca="1">_xlfn.NORM.INV(RAND(),PCV!$C8,PCV!$D$2)</f>
        <v>326461705.72208154</v>
      </c>
      <c r="I13" s="4">
        <f ca="1">_xlfn.NORM.INV(RAND(),PCV!$C9,PCV!$D$2)</f>
        <v>281111915.51124883</v>
      </c>
      <c r="J13" s="4">
        <f ca="1">_xlfn.NORM.INV(RAND(),PCV!$C10,PCV!$D$2)</f>
        <v>398712371.26993585</v>
      </c>
      <c r="K13" s="4">
        <f ca="1">_xlfn.NORM.INV(RAND(),Hepatitis_B!$C11,PCV!$D$2)</f>
        <v>347826245.04906338</v>
      </c>
    </row>
    <row r="15" spans="1:24" x14ac:dyDescent="0.3">
      <c r="A15" s="6" t="s">
        <v>4</v>
      </c>
      <c r="B15" s="7">
        <f ca="1">IF(B2&gt;Measles!B2,Measles!B2,IF(Scenario_data!B2 &lt;Measles!A2,Measles!A2,Scenario_data!B2))</f>
        <v>383575769.77843791</v>
      </c>
      <c r="C15" s="7">
        <f ca="1">IF(C2&gt;Measles!B3,Measles!B3,IF(Scenario_data!C2 &lt;Measles!A3,Measles!A3,Scenario_data!C2))</f>
        <v>442183648.34734857</v>
      </c>
      <c r="D15" s="7">
        <f ca="1">IF(D2&gt;Measles!B4,Measles!B4,IF(Scenario_data!D2 &lt;Measles!A4,Measles!A4,Scenario_data!D2))</f>
        <v>492195488.34282565</v>
      </c>
      <c r="E15" s="7">
        <f ca="1">IF(E2&gt;Measles!B5,Measles!B5,IF(Scenario_data!E2 &lt;Measles!A5,Measles!A5,Scenario_data!E2))</f>
        <v>632809507.35100579</v>
      </c>
      <c r="F15" s="7">
        <f ca="1">IF(F2&gt;Measles!B6,Measles!B6,IF(Scenario_data!F2 &lt;Measles!A6,Measles!A6,Scenario_data!F2))</f>
        <v>272181479.18390298</v>
      </c>
      <c r="G15" s="7">
        <f ca="1">IF(G2&gt;Measles!B7,Measles!B7,IF(Scenario_data!G2 &lt;Measles!A7,Measles!A7,Scenario_data!G2))</f>
        <v>714029366.38005078</v>
      </c>
      <c r="H15" s="7">
        <f ca="1">IF(H2&gt;Measles!B8,Measles!B8,IF(Scenario_data!H2 &lt;Measles!A8,Measles!A8,Scenario_data!H2))</f>
        <v>642020846.11816645</v>
      </c>
      <c r="I15" s="7">
        <f ca="1">IF(I2&gt;Measles!B9,Measles!B9,IF(Scenario_data!I2 &lt;Measles!A9,Measles!A9,Scenario_data!I2))</f>
        <v>481753779.91615725</v>
      </c>
      <c r="J15" s="7">
        <f ca="1">IF(J2&gt;Measles!B10,Measles!B10,IF(Scenario_data!J2 &lt;Measles!A10,Measles!A10,Scenario_data!J2))</f>
        <v>631428050.18327451</v>
      </c>
      <c r="K15" s="7">
        <f ca="1">IF(K2&gt;Measles!B11,Measles!B11,IF(Scenario_data!K2 &lt;Measles!A11,Measles!A11,Scenario_data!K2))</f>
        <v>762535884.60298395</v>
      </c>
      <c r="W15" s="4"/>
      <c r="X15" s="4"/>
    </row>
    <row r="16" spans="1:24" x14ac:dyDescent="0.3">
      <c r="A16" s="6" t="s">
        <v>5</v>
      </c>
      <c r="B16" s="7">
        <f ca="1">IF(B3&gt;Mumps!B2,Mumps!B2,IF(Scenario_data!B3 &lt;Mumps!A2,Mumps!A2,Scenario_data!B3))</f>
        <v>17762478.746796407</v>
      </c>
      <c r="C16" s="7">
        <f ca="1">IF(C3&gt;Mumps!B3,Mumps!B3,IF(Scenario_data!C3 &lt;Mumps!A3,Mumps!A3,Scenario_data!C3))</f>
        <v>38970982.418563113</v>
      </c>
      <c r="D16" s="7">
        <f ca="1">IF(D3&gt;Mumps!B4,Mumps!B4,IF(Scenario_data!D3 &lt;Mumps!A4,Mumps!A4,Scenario_data!D3))</f>
        <v>14828239.312750252</v>
      </c>
      <c r="E16" s="7">
        <f ca="1">IF(E3&gt;Mumps!B5,Mumps!B5,IF(Scenario_data!E3 &lt;Mumps!A5,Mumps!A5,Scenario_data!E3))</f>
        <v>32279941.152685564</v>
      </c>
      <c r="F16" s="7">
        <f ca="1">IF(F3&gt;Mumps!B6,Mumps!B6,IF(Scenario_data!F3 &lt;Mumps!A6,Mumps!A6,Scenario_data!F3))</f>
        <v>25335861.932998881</v>
      </c>
      <c r="G16" s="7">
        <f ca="1">IF(G3&gt;Mumps!B7,Mumps!B7,IF(Scenario_data!G3 &lt;Mumps!A7,Mumps!A7,Scenario_data!G3))</f>
        <v>39900025.096243896</v>
      </c>
      <c r="H16" s="7">
        <f ca="1">IF(H3&gt;Mumps!B8,Mumps!B8,IF(Scenario_data!H3 &lt;Mumps!A8,Mumps!A8,Scenario_data!H3))</f>
        <v>38529521.45352795</v>
      </c>
      <c r="I16" s="7">
        <f ca="1">IF(I3&gt;Mumps!B9,Mumps!B9,IF(Scenario_data!I3 &lt;Mumps!A9,Mumps!A9,Scenario_data!I3))</f>
        <v>33072563.065932114</v>
      </c>
      <c r="J16" s="7">
        <f ca="1">IF(J3&gt;Mumps!B10,Mumps!B10,IF(Scenario_data!J3 &lt;Mumps!A10,Mumps!A10,Scenario_data!J3))</f>
        <v>39602980.006972104</v>
      </c>
      <c r="K16" s="7">
        <f ca="1">IF(K3&gt;Mumps!B11,Mumps!B11,IF(Scenario_data!K3 &lt;Mumps!A11,Mumps!A11,Scenario_data!K3))</f>
        <v>33305107.333665363</v>
      </c>
    </row>
    <row r="17" spans="1:13" x14ac:dyDescent="0.3">
      <c r="A17" s="6" t="s">
        <v>6</v>
      </c>
      <c r="B17" s="7">
        <f ca="1">IF(B4&gt;Rubella!B2,Rubella!B2,IF(Scenario_data!B4 &lt;Rubella!A2,Rubella!A2,Scenario_data!B4))</f>
        <v>438359724.28372574</v>
      </c>
      <c r="C17" s="7">
        <f ca="1">IF(C4&gt;Rubella!B3,Rubella!B3,IF(Scenario_data!C4 &lt;Rubella!A3,Rubella!A3,Scenario_data!C4))</f>
        <v>214292433.85098177</v>
      </c>
      <c r="D17" s="7">
        <f ca="1">IF(D4&gt;Rubella!B4,Rubella!B4,IF(Scenario_data!D4 &lt;Rubella!A4,Rubella!A4,Scenario_data!D4))</f>
        <v>338784064.13404632</v>
      </c>
      <c r="E17" s="7">
        <f ca="1">IF(E4&gt;Rubella!B5,Rubella!B5,IF(Scenario_data!E4 &lt;Rubella!A5,Rubella!A5,Scenario_data!E4))</f>
        <v>646374945.84366035</v>
      </c>
      <c r="F17" s="7">
        <f ca="1">IF(F4&gt;Rubella!B6,Rubella!B6,IF(Scenario_data!F4 &lt;Rubella!A6,Rubella!A6,Scenario_data!F4))</f>
        <v>437449766.97498739</v>
      </c>
      <c r="G17" s="7">
        <f ca="1">IF(G4&gt;Rubella!B7,Rubella!B7,IF(Scenario_data!G4 &lt;Rubella!A7,Rubella!A7,Scenario_data!G4))</f>
        <v>497341060.55732691</v>
      </c>
      <c r="H17" s="7">
        <f ca="1">IF(H4&gt;Rubella!B8,Rubella!B8,IF(Scenario_data!H4 &lt;Rubella!A8,Rubella!A8,Scenario_data!H4))</f>
        <v>456320261.39948094</v>
      </c>
      <c r="I17" s="7">
        <f ca="1">IF(I4&gt;Rubella!B9,Rubella!B9,IF(Scenario_data!I4 &lt;Rubella!A9,Rubella!A9,Scenario_data!I4))</f>
        <v>656021329.33989334</v>
      </c>
      <c r="J17" s="7">
        <f ca="1">IF(J4&gt;Rubella!B10,Rubella!B10,IF(Scenario_data!J4 &lt;Rubella!A10,Rubella!A10,Scenario_data!J4))</f>
        <v>758657791.84697437</v>
      </c>
      <c r="K17" s="7">
        <f ca="1">IF(K4&gt;Rubella!B12=1,Rubella!B11,IF(Scenario_data!K4 &lt;Rubella!A11,Rubella!A11,Scenario_data!K4))</f>
        <v>757006611.39667511</v>
      </c>
    </row>
    <row r="18" spans="1:13" x14ac:dyDescent="0.3">
      <c r="A18" s="6" t="s">
        <v>7</v>
      </c>
      <c r="B18" s="7">
        <f ca="1">IF(B5&gt;Diphtheria!B2,Diphtheria!B2,IF(Scenario_data!B5 &lt;Diphtheria!A2,Diphtheria!A2,Scenario_data!B5))</f>
        <v>490514250.65801072</v>
      </c>
      <c r="C18" s="7">
        <f ca="1">IF(C5&gt;Diphtheria!B3,Diphtheria!B3,IF(Scenario_data!C5 &lt;Diphtheria!A3,Diphtheria!A3,Scenario_data!C5))</f>
        <v>360596754.27880698</v>
      </c>
      <c r="D18" s="7">
        <f ca="1">IF(D5&gt;Diphtheria!B4,Diphtheria!B4,IF(Scenario_data!D5 &lt;Diphtheria!A4,Diphtheria!A4,Scenario_data!D5))</f>
        <v>836727520.76380932</v>
      </c>
      <c r="E18" s="7">
        <f ca="1">IF(E5&gt;Diphtheria!B5,Diphtheria!B5,IF(Scenario_data!E5 &lt;Diphtheria!A5,Diphtheria!A5,Scenario_data!E5))</f>
        <v>613088091.6223135</v>
      </c>
      <c r="F18" s="7">
        <f ca="1">IF(F5&gt;Diphtheria!B6,Diphtheria!B6,IF(Scenario_data!F5 &lt;Diphtheria!A6,Diphtheria!A6,Scenario_data!F5))</f>
        <v>573720438.96262574</v>
      </c>
      <c r="G18" s="7">
        <f ca="1">IF(G5&gt;Diphtheria!B7,Diphtheria!B7,IF(Scenario_data!G5 &lt;Diphtheria!A7,Diphtheria!A7,Scenario_data!G5))</f>
        <v>862403020.70412028</v>
      </c>
      <c r="H18" s="7">
        <f ca="1">IF(H5&gt;Diphtheria!B8,Diphtheria!B8,IF(Scenario_data!H5 &lt;Diphtheria!A8,Diphtheria!A8,Scenario_data!H5))</f>
        <v>745861905.97528899</v>
      </c>
      <c r="I18" s="7">
        <f ca="1">IF(I5&gt;Diphtheria!B9,Diphtheria!B9,IF(Scenario_data!I5 &lt;Diphtheria!A9,Diphtheria!A9,Scenario_data!I5))</f>
        <v>779356064.73729062</v>
      </c>
      <c r="J18" s="7">
        <f ca="1">IF(J5&gt;Diphtheria!B10,Diphtheria!B10,IF(Scenario_data!J5 &lt;Diphtheria!A10,Diphtheria!A10,Scenario_data!J5))</f>
        <v>763427526.04944456</v>
      </c>
      <c r="K18" s="7">
        <f ca="1">IF(K5&gt;Diphtheria!B11,Diphtheria!B11,IF(Scenario_data!K5 &lt;Diphtheria!A11,Diphtheria!A11,Scenario_data!K5))</f>
        <v>1138685708.7658269</v>
      </c>
    </row>
    <row r="19" spans="1:13" x14ac:dyDescent="0.3">
      <c r="A19" s="6" t="s">
        <v>8</v>
      </c>
      <c r="B19" s="7">
        <f ca="1">IF(B6&gt;Tetanus!B2,Tetanus!B2,IF(Scenario_data!B6 &lt;Tetanus!A2,Tetanus!A2,Scenario_data!B6))</f>
        <v>637795461.77946258</v>
      </c>
      <c r="C19" s="7">
        <f ca="1">IF(C6&gt;Tetanus!B3,Tetanus!B3,IF(Scenario_data!C6 &lt;Tetanus!A3,Tetanus!A3,Scenario_data!C6))</f>
        <v>744164423.39898944</v>
      </c>
      <c r="D19" s="7">
        <f ca="1">IF(D6&gt;Tetanus!B4,Tetanus!B4,IF(Scenario_data!D6 &lt;Tetanus!A4,Tetanus!A4,Scenario_data!D6))</f>
        <v>276369945.7773</v>
      </c>
      <c r="E19" s="7">
        <f ca="1">IF(E6&gt;Tetanus!B5,Tetanus!B5,IF(Scenario_data!E6 &lt;Tetanus!A5,Tetanus!A5,Scenario_data!E6))</f>
        <v>730698155.25691032</v>
      </c>
      <c r="F19" s="7">
        <f ca="1">IF(F6&gt;Tetanus!B6,Tetanus!B6,IF(Scenario_data!F6 &lt;Tetanus!A6,Tetanus!A6,Scenario_data!F6))</f>
        <v>535599207.47552347</v>
      </c>
      <c r="G19" s="7">
        <f ca="1">IF(G6&gt;Tetanus!B7,Tetanus!B7,IF(Scenario_data!G6 &lt;Tetanus!A7,Tetanus!A7,Scenario_data!G6))</f>
        <v>530041453.68269837</v>
      </c>
      <c r="H19" s="7">
        <f ca="1">IF(H6&gt;Tetanus!B8,Tetanus!B8,IF(Scenario_data!H6 &lt;Tetanus!A8,Tetanus!A8,Scenario_data!H6))</f>
        <v>765488993.55500424</v>
      </c>
      <c r="I19" s="7">
        <f ca="1">IF(I6&gt;Tetanus!B9,Tetanus!B9,IF(Scenario_data!I6 &lt;Tetanus!A9,Tetanus!A9,Scenario_data!I6))</f>
        <v>657634925.23687291</v>
      </c>
      <c r="J19" s="7">
        <f ca="1">IF(J6&gt;Tetanus!B10,Tetanus!B10,IF(Scenario_data!J6 &lt;Tetanus!A10,Tetanus!A10,Scenario_data!J6))</f>
        <v>749690908.54014182</v>
      </c>
      <c r="K19" s="7">
        <f ca="1">IF(K6&gt;Tetanus!B11,Tetanus!B11,IF(Scenario_data!K6 &lt;Tetanus!A11,Tetanus!A11,Scenario_data!K6))</f>
        <v>651715873.91378331</v>
      </c>
    </row>
    <row r="20" spans="1:13" x14ac:dyDescent="0.3">
      <c r="A20" s="6" t="s">
        <v>9</v>
      </c>
      <c r="B20" s="7">
        <f ca="1">IF(B7&gt;Pertussis!B2,Pertussis!B2,IF(Scenario_data!B7 &lt;Pertussis!A2,Pertussis!A2,Scenario_data!B7))</f>
        <v>335861198.0401625</v>
      </c>
      <c r="C20" s="7">
        <f ca="1">IF(C7&gt;Pertussis!B3,Pertussis!B3,IF(Scenario_data!C7 &lt;Pertussis!A3,Pertussis!A3,Scenario_data!C7))</f>
        <v>337638469.0878163</v>
      </c>
      <c r="D20" s="7">
        <f ca="1">IF(D7&gt;Pertussis!B4,Pertussis!B4,IF(Scenario_data!D7 &lt;Pertussis!A4,Pertussis!A4,Scenario_data!D7))</f>
        <v>271897597.3405565</v>
      </c>
      <c r="E20" s="7">
        <f ca="1">IF(E7&gt;Pertussis!B5,Pertussis!B5,IF(Scenario_data!E7 &lt;Pertussis!A5,Pertussis!A5,Scenario_data!E7))</f>
        <v>387774874.12888026</v>
      </c>
      <c r="F20" s="7">
        <f ca="1">IF(F7&gt;Pertussis!B6,Pertussis!B6,IF(Scenario_data!F7 &lt;Pertussis!A6,Pertussis!A6,Scenario_data!F7))</f>
        <v>490085014.41194171</v>
      </c>
      <c r="G20" s="7">
        <f ca="1">IF(G7&gt;Pertussis!B7,Pertussis!B7,IF(Scenario_data!G7 &lt;Pertussis!A7,Pertussis!A7,Scenario_data!G7))</f>
        <v>450971812.74452412</v>
      </c>
      <c r="H20" s="7">
        <f ca="1">IF(H7&gt;Pertussis!B8,Pertussis!B8,IF(Scenario_data!H7 &lt;Pertussis!A8,Pertussis!A8,Scenario_data!H7))</f>
        <v>429022676.89507473</v>
      </c>
      <c r="I20" s="7">
        <f ca="1">IF(I7&gt;Pertussis!B9,Pertussis!B9,IF(Scenario_data!I7 &lt;Pertussis!A9,Pertussis!A9,Scenario_data!I7))</f>
        <v>285577223.1507529</v>
      </c>
      <c r="J20" s="7">
        <f ca="1">IF(J7&gt;Pertussis!B10,Pertussis!B10,IF(Scenario_data!J7 &lt;Pertussis!A10,Pertussis!A10,Scenario_data!J7))</f>
        <v>376903278.41485053</v>
      </c>
      <c r="K20" s="7">
        <f ca="1">IF(K7&gt;Pertussis!B11,Pertussis!B11,IF(Scenario_data!K7 &lt;Pertussis!A11,Pertussis!A11,Scenario_data!K7))</f>
        <v>287227286.10756868</v>
      </c>
    </row>
    <row r="21" spans="1:13" x14ac:dyDescent="0.3">
      <c r="A21" s="6" t="s">
        <v>10</v>
      </c>
      <c r="B21" s="7">
        <f ca="1">IF(B8&gt;Hepatitis_B!B2,Hepatitis_B!B2,IF(Scenario_data!B8 &lt;Hepatitis_B!A2,Hepatitis_B!A2,Scenario_data!B8))</f>
        <v>343176421.30706322</v>
      </c>
      <c r="C21" s="7">
        <f ca="1">IF(C8&gt;Hepatitis_B!B3,Hepatitis_B!B3,IF(Scenario_data!C8 &lt;Hepatitis_B!A3,Hepatitis_B!A3,Scenario_data!C8))</f>
        <v>311974234.57193214</v>
      </c>
      <c r="D21" s="7">
        <f ca="1">IF(D8&gt;Hepatitis_B!B4,Hepatitis_B!B4,IF(Scenario_data!D8 &lt;Hepatitis_B!A4,Hepatitis_B!A4,Scenario_data!D8))</f>
        <v>304905484.32074475</v>
      </c>
      <c r="E21" s="7">
        <f ca="1">IF(E8&gt;Hepatitis_B!B5,Hepatitis_B!B5,IF(Scenario_data!E8 &lt;Hepatitis_B!A5,Hepatitis_B!A5,Scenario_data!E8))</f>
        <v>434799292.72036862</v>
      </c>
      <c r="F21" s="7">
        <f ca="1">IF(F8&gt;Hepatitis_B!B6,Hepatitis_B!B6,IF(Scenario_data!F8 &lt;Hepatitis_B!A6,Hepatitis_B!A6,Scenario_data!F8))</f>
        <v>534787854.06171626</v>
      </c>
      <c r="G21" s="7">
        <f ca="1">IF(G8&gt;Hepatitis_B!B7,Hepatitis_B!B7,IF(Scenario_data!G8 &lt;Hepatitis_B!A7,Hepatitis_B!A7,Scenario_data!G8))</f>
        <v>357048648.47445762</v>
      </c>
      <c r="H21" s="7">
        <f ca="1">IF(H8&gt;Hepatitis_B!B8,Hepatitis_B!B8,IF(Scenario_data!H8 &lt;Hepatitis_B!A8,Hepatitis_B!A8,Scenario_data!H8))</f>
        <v>446912464.08346504</v>
      </c>
      <c r="I21" s="7">
        <f ca="1">IF(I8&gt;Hepatitis_B!B9,Hepatitis_B!B9,IF(Scenario_data!I8 &lt;Hepatitis_B!A9,Hepatitis_B!A9,Scenario_data!I8))</f>
        <v>239872168.15276799</v>
      </c>
      <c r="J21" s="7">
        <f ca="1">IF(J8&gt;Hepatitis_B!B10,Hepatitis_B!B10,IF(Scenario_data!J8 &lt;Hepatitis_B!A10,Hepatitis_B!A10,Scenario_data!J8))</f>
        <v>412693068.3115024</v>
      </c>
      <c r="K21" s="7">
        <f ca="1">IF(K8&gt;Hepatitis_B!B11,Hepatitis_B!B11,IF(Scenario_data!K8 &lt;Hepatitis_B!A11,Hepatitis_B!A11,Scenario_data!K8))</f>
        <v>471162645.13630271</v>
      </c>
    </row>
    <row r="22" spans="1:13" x14ac:dyDescent="0.3">
      <c r="A22" s="6" t="s">
        <v>11</v>
      </c>
      <c r="B22" s="7">
        <f ca="1">IF(B9&gt;Hib!B2,Hib!B2,IF(Scenario_data!B9 &lt;Hib!A2,Hib!A2,Scenario_data!B9))</f>
        <v>154632133.61733648</v>
      </c>
      <c r="C22" s="7">
        <f ca="1">IF(C9&gt;Hib!B3,Hib!B3,IF(Scenario_data!C9 &lt;Hib!A3,Hib!A3,Scenario_data!C9))</f>
        <v>399414898.61069101</v>
      </c>
      <c r="D22" s="7">
        <f ca="1">IF(D9&gt;Hib!B4,Hib!B4,IF(Scenario_data!D9 &lt;Hib!A4,Hib!A4,Scenario_data!D9))</f>
        <v>473402175.33601993</v>
      </c>
      <c r="E22" s="7">
        <f ca="1">IF(E9&gt;Hib!B5,Hib!B5,IF(Scenario_data!E9 &lt;Hib!A5,Hib!A5,Scenario_data!E9))</f>
        <v>383032952.2048744</v>
      </c>
      <c r="F22" s="7">
        <f ca="1">IF(F9&gt;Hib!B6,Hib!B6,IF(Scenario_data!F9 &lt;Hib!A6,Hib!A6,Scenario_data!F9))</f>
        <v>331823915.88181043</v>
      </c>
      <c r="G22" s="7">
        <f ca="1">IF(G9&gt;Hib!B7,Hib!B7,IF(Scenario_data!G9 &lt;Hib!A7,Hib!A7,Scenario_data!G9))</f>
        <v>280039842.74601126</v>
      </c>
      <c r="H22" s="7">
        <f ca="1">IF(H9&gt;Hib!B8,Hib!B8,IF(Scenario_data!H9 &lt;Hib!A8,Hib!A8,Scenario_data!H9))</f>
        <v>307089639.89697301</v>
      </c>
      <c r="I22" s="7">
        <f ca="1">IF(I9&gt;Hib!B9,Hib!B9,IF(Scenario_data!I9 &lt;Hib!A9,Hib!A9,Scenario_data!I9))</f>
        <v>161242739.2997371</v>
      </c>
      <c r="J22" s="7">
        <f ca="1">IF(J9&gt;Hib!B10,Hib!B10,IF(Scenario_data!J9 &lt;Hib!A10,Hib!A10,Scenario_data!J9))</f>
        <v>396327433.64881396</v>
      </c>
      <c r="K22" s="7">
        <f ca="1">IF(K9&gt;Hib!B11,Hib!B11,IF(Scenario_data!K9 &lt;Hib!A11,Hib!A11,Scenario_data!K9))</f>
        <v>410482654.73097879</v>
      </c>
    </row>
    <row r="23" spans="1:13" x14ac:dyDescent="0.3">
      <c r="A23" s="6" t="s">
        <v>12</v>
      </c>
      <c r="B23" s="7">
        <f ca="1">IF(B10&gt;Polio!B2,Polio!B2,IF(Scenario_data!B10 &lt;Polio!A2,Polio!A2,Scenario_data!B10))</f>
        <v>527316220.09266412</v>
      </c>
      <c r="C23" s="7">
        <f ca="1">IF(C10&gt;Polio!B3,Polio!B3,IF(Scenario_data!C10 &lt;Polio!A3,Polio!A3,Scenario_data!C10))</f>
        <v>797538190.37265313</v>
      </c>
      <c r="D23" s="7">
        <f ca="1">IF(D10&gt;Polio!B4,Polio!B4,IF(Scenario_data!D10 &lt;Polio!A4,Polio!A4,Scenario_data!D10))</f>
        <v>678701445.93366277</v>
      </c>
      <c r="E23" s="7">
        <f ca="1">IF(E10&gt;Polio!B5,Polio!B5,IF(Scenario_data!E10 &lt;Polio!A5,Polio!A5,Scenario_data!E10))</f>
        <v>678889212.26104057</v>
      </c>
      <c r="F23" s="7">
        <f ca="1">IF(F10&gt;Polio!B6,Polio!B6,IF(Scenario_data!F10 &lt;Polio!A6,Polio!A6,Scenario_data!F10))</f>
        <v>776781657.70593953</v>
      </c>
      <c r="G23" s="7">
        <f ca="1">IF(G10&gt;Polio!B7,Polio!B7,IF(Scenario_data!G10 &lt;Polio!A7,Polio!A7,Scenario_data!G10))</f>
        <v>529458402.91647565</v>
      </c>
      <c r="H23" s="7">
        <f ca="1">IF(H10&gt;Polio!B8,Polio!B8,IF(Scenario_data!H10 &lt;Polio!A8,Polio!A8,Scenario_data!H10))</f>
        <v>715636514.61505783</v>
      </c>
      <c r="I23" s="7">
        <f ca="1">IF(I10&gt;Polio!B9,Polio!B9,IF(Scenario_data!I10 &lt;Polio!A9,Polio!A9,Scenario_data!I10))</f>
        <v>714319315.40931928</v>
      </c>
      <c r="J23" s="7">
        <f ca="1">IF(J10&gt;Polio!B10,Polio!B10,IF(Scenario_data!J10 &lt;Polio!A10,Polio!A10,Scenario_data!J10))</f>
        <v>585066877.33189774</v>
      </c>
      <c r="K23" s="7">
        <f ca="1">IF(K10&gt;Polio!B11,Polio!B11,IF(Scenario_data!K10 &lt;Polio!A11,Polio!A11,Scenario_data!K10))</f>
        <v>947661937.86569142</v>
      </c>
    </row>
    <row r="24" spans="1:13" x14ac:dyDescent="0.3">
      <c r="A24" s="6" t="s">
        <v>13</v>
      </c>
      <c r="B24" s="7">
        <f ca="1">IF(B11&gt;HPV!B2,HPV!B2,IF(Scenario_data!B11 &lt;HPV!A2,HPV!A2,Scenario_data!B11))</f>
        <v>36590184.340709262</v>
      </c>
      <c r="C24" s="7">
        <f ca="1">IF(C11&gt;HPV!B3,HPV!B3,IF(Scenario_data!C11 &lt;HPV!A3,HPV!A3,Scenario_data!C11))</f>
        <v>32710888.996183302</v>
      </c>
      <c r="D24" s="7">
        <f ca="1">IF(D11&gt;HPV!B4,HPV!B4,IF(Scenario_data!D11 &lt;HPV!A4,HPV!A4,Scenario_data!D11))</f>
        <v>28844685.442065388</v>
      </c>
      <c r="E24" s="7">
        <f ca="1">IF(E11&gt;HPV!B5,HPV!B5,IF(Scenario_data!E11 &lt;HPV!A5,HPV!A5,Scenario_data!E11))</f>
        <v>41734017.24529016</v>
      </c>
      <c r="F24" s="7">
        <f ca="1">IF(F11&gt;HPV!B6,HPV!B6,IF(Scenario_data!F11 &lt;HPV!A6,HPV!A6,Scenario_data!F11))</f>
        <v>38996494.278893232</v>
      </c>
      <c r="G24" s="7">
        <f ca="1">IF(G11&gt;HPV!B7,HPV!B7,IF(Scenario_data!G11 &lt;HPV!A7,HPV!A7,Scenario_data!G11))</f>
        <v>55360457.112045549</v>
      </c>
      <c r="H24" s="7">
        <f ca="1">IF(H11&gt;HPV!B8,HPV!B8,IF(Scenario_data!H11 &lt;HPV!A8,HPV!A8,Scenario_data!H11))</f>
        <v>65851125.914222337</v>
      </c>
      <c r="I24" s="7">
        <f ca="1">IF(I11&gt;HPV!B9,HPV!B9,IF(Scenario_data!I11 &lt;HPV!A9,HPV!A9,Scenario_data!I11))</f>
        <v>40439670.073335044</v>
      </c>
      <c r="J24" s="7">
        <f ca="1">IF(J11&gt;HPV!B10,HPV!B10,IF(Scenario_data!J11 &lt;HPV!A10,HPV!A10,Scenario_data!J11))</f>
        <v>59408523.403662987</v>
      </c>
      <c r="K24" s="7">
        <f ca="1">IF(K11&gt;HPV!B11,HPV!B11,IF(Scenario_data!K11 &lt;HPV!A11,HPV!A11,Scenario_data!K11))</f>
        <v>55867394.08726044</v>
      </c>
    </row>
    <row r="25" spans="1:13" x14ac:dyDescent="0.3">
      <c r="A25" s="6" t="s">
        <v>14</v>
      </c>
      <c r="B25" s="7">
        <f ca="1">IF(B12&gt;Rotavirus!B2,Rotavirus!B2,IF(Scenario_data!B12 &lt;Rotavirus!A2,Rotavirus!A2,Scenario_data!B12))</f>
        <v>152516137.80221903</v>
      </c>
      <c r="C25" s="7">
        <f ca="1">IF(C12&gt;Rotavirus!B3,Rotavirus!B3,IF(Scenario_data!C12 &lt;Rotavirus!A3,Rotavirus!A3,Scenario_data!C12))</f>
        <v>126704651.35559927</v>
      </c>
      <c r="D25" s="7">
        <f ca="1">IF(D12&gt;Rotavirus!B4,Rotavirus!B4,IF(Scenario_data!D12 &lt;Rotavirus!A4,Rotavirus!A4,Scenario_data!D12))</f>
        <v>238690088.82884365</v>
      </c>
      <c r="E25" s="7">
        <f ca="1">IF(E12&gt;Rotavirus!B5,Rotavirus!B5,IF(Scenario_data!E12 &lt;Rotavirus!A5,Rotavirus!A5,Scenario_data!E12))</f>
        <v>360772076.10546333</v>
      </c>
      <c r="F25" s="7">
        <f ca="1">IF(F12&gt;Rotavirus!B6,Rotavirus!B6,IF(Scenario_data!F12 &lt;Rotavirus!A6,Rotavirus!A6,Scenario_data!F12))</f>
        <v>232072381.08928847</v>
      </c>
      <c r="G25" s="7">
        <f ca="1">IF(G12&gt;Rotavirus!B7,Rotavirus!B7,IF(Scenario_data!G12 &lt;Rotavirus!A7,Rotavirus!A7,Scenario_data!G12))</f>
        <v>278991489.01866233</v>
      </c>
      <c r="H25" s="7">
        <f ca="1">IF(H12&gt;Rotavirus!B8,Rotavirus!B8,IF(Scenario_data!H12 &lt;Rotavirus!A8,Rotavirus!A8,Scenario_data!H12))</f>
        <v>194940181.67674041</v>
      </c>
      <c r="I25" s="7">
        <f ca="1">IF(I12&gt;Rotavirus!B9,Rotavirus!B9,IF(Scenario_data!I12 &lt;Rotavirus!A9,Rotavirus!A9,Scenario_data!I12))</f>
        <v>275808733.80479985</v>
      </c>
      <c r="J25" s="7">
        <f ca="1">IF(J12&gt;Rotavirus!B10,Rotavirus!B10,IF(Scenario_data!J12 &lt;Rotavirus!A10,Rotavirus!A10,Scenario_data!J12))</f>
        <v>385214437.94006526</v>
      </c>
      <c r="K25" s="7">
        <f ca="1">IF(K12&gt;Rotavirus!B11,Rotavirus!B11,IF(Scenario_data!K12 &lt;Rotavirus!A11,Rotavirus!A11,Scenario_data!K12))</f>
        <v>378277522.03305507</v>
      </c>
      <c r="M25" s="4"/>
    </row>
    <row r="26" spans="1:13" x14ac:dyDescent="0.3">
      <c r="A26" s="6" t="s">
        <v>15</v>
      </c>
      <c r="B26" s="7">
        <f ca="1">IF(B13&gt;PCV!B2,PCV!B2,IF(Scenario_data!B13 &lt;PCV!A2,PCV!A2,Scenario_data!B13))</f>
        <v>200602836.1813845</v>
      </c>
      <c r="C26" s="7">
        <f ca="1">IF(C13&gt;PCV!B3,PCV!B3,IF(Scenario_data!C13 &lt;PCV!A3,PCV!A3,Scenario_data!C13))</f>
        <v>187678417.37903559</v>
      </c>
      <c r="D26" s="7">
        <f ca="1">IF(D13&gt;PCV!B4,PCV!B4,IF(Scenario_data!D13 &lt;PCV!A4,PCV!A4,Scenario_data!D13))</f>
        <v>373752570.31889307</v>
      </c>
      <c r="E26" s="7">
        <f ca="1">IF(E13&gt;PCV!B5,PCV!B5,IF(Scenario_data!E13 &lt;PCV!A5,PCV!A5,Scenario_data!E13))</f>
        <v>405069477.64083588</v>
      </c>
      <c r="F26" s="7">
        <f ca="1">IF(F13&gt;PCV!B6,PCV!B6,IF(Scenario_data!F13 &lt;PCV!A6,PCV!A6,Scenario_data!F13))</f>
        <v>358511021.64884853</v>
      </c>
      <c r="G26" s="7">
        <f ca="1">IF(G13&gt;PCV!B7,PCV!B7,IF(Scenario_data!G13 &lt;PCV!A7,PCV!A7,Scenario_data!G13))</f>
        <v>367430595.91894466</v>
      </c>
      <c r="H26" s="7">
        <f ca="1">IF(H13&gt;PCV!B8,PCV!B8,IF(Scenario_data!H13 &lt;PCV!A8,PCV!A8,Scenario_data!H13))</f>
        <v>326461705.72208154</v>
      </c>
      <c r="I26" s="7">
        <f ca="1">IF(I13&gt;PCV!B9,PCV!B9,IF(Scenario_data!I13 &lt;PCV!A9,PCV!A9,Scenario_data!I13))</f>
        <v>281111915.51124883</v>
      </c>
      <c r="J26" s="7">
        <f ca="1">IF(J13&gt;PCV!B10,PCV!B10,IF(Scenario_data!J13 &lt;PCV!A10,PCV!A10,Scenario_data!J13))</f>
        <v>398712371.26993585</v>
      </c>
      <c r="K26" s="7">
        <f ca="1">IF(K13&gt;PCV!B11,PCV!B11,IF(Scenario_data!K13 &lt;PCV!A11,PCV!A11,Scenario_data!K13))</f>
        <v>347826245.04906338</v>
      </c>
      <c r="M26" s="4"/>
    </row>
    <row r="27" spans="1:13" x14ac:dyDescent="0.3"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3" x14ac:dyDescent="0.3"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3" x14ac:dyDescent="0.3"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3" x14ac:dyDescent="0.3"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3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3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2:1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2:1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2:1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2:1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2:1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2:11" x14ac:dyDescent="0.3">
      <c r="B38" s="8"/>
      <c r="C38" s="8"/>
      <c r="D38" s="8"/>
      <c r="E38" s="8"/>
      <c r="F38" s="8"/>
      <c r="G38" s="8"/>
      <c r="H38" s="8"/>
      <c r="I38" s="8"/>
      <c r="J38" s="8"/>
      <c r="K38" s="8"/>
    </row>
    <row r="39" spans="2:11" x14ac:dyDescent="0.3">
      <c r="B39" s="8"/>
      <c r="C39" s="8"/>
      <c r="D39" s="8"/>
      <c r="E39" s="8"/>
      <c r="F39" s="8"/>
      <c r="G39" s="8"/>
      <c r="H39" s="8"/>
      <c r="I39" s="8"/>
      <c r="J39" s="8"/>
      <c r="K39" s="8"/>
    </row>
    <row r="40" spans="2:11" x14ac:dyDescent="0.3">
      <c r="B40" s="8"/>
      <c r="C40" s="8"/>
      <c r="D40" s="8"/>
      <c r="E40" s="8"/>
      <c r="F40" s="8"/>
      <c r="G40" s="8"/>
      <c r="H40" s="8"/>
      <c r="I40" s="8"/>
      <c r="J40" s="8"/>
      <c r="K40" s="8"/>
    </row>
  </sheetData>
  <conditionalFormatting sqref="B2:K13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Diphtheria</vt:lpstr>
      <vt:lpstr>Pertussis</vt:lpstr>
      <vt:lpstr>Polio</vt:lpstr>
      <vt:lpstr>Tetanus</vt:lpstr>
      <vt:lpstr>Rotavirus</vt:lpstr>
      <vt:lpstr>PCV</vt:lpstr>
      <vt:lpstr>Measles</vt:lpstr>
      <vt:lpstr>Mumps</vt:lpstr>
      <vt:lpstr>Rubella</vt:lpstr>
      <vt:lpstr>Hepatitis_B</vt:lpstr>
      <vt:lpstr>Hib</vt:lpstr>
      <vt:lpstr>HPV</vt:lpstr>
      <vt:lpstr>Scenario_data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Asif Khan Sharon</cp:lastModifiedBy>
  <dcterms:created xsi:type="dcterms:W3CDTF">2024-04-08T20:27:48Z</dcterms:created>
  <dcterms:modified xsi:type="dcterms:W3CDTF">2025-03-12T16:59:47Z</dcterms:modified>
</cp:coreProperties>
</file>