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ATA/demand/"/>
    </mc:Choice>
  </mc:AlternateContent>
  <xr:revisionPtr revIDLastSave="32" documentId="8_{A8350A7E-77B7-4B25-84D5-1759CC31C6BA}" xr6:coauthVersionLast="47" xr6:coauthVersionMax="47" xr10:uidLastSave="{261CFBC8-ABC9-49F0-BBC3-2DCB22CBB621}"/>
  <bookViews>
    <workbookView xWindow="-108" yWindow="-108" windowWidth="23256" windowHeight="12456" firstSheet="3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</sheets>
  <definedNames>
    <definedName name="_xlnm._FilterDatabase" localSheetId="4" hidden="1">Medium_Demand!$A$1:$K$13</definedName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7" i="72" l="1"/>
  <c r="AC230" i="72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/>
  <c r="AH297" i="72"/>
  <c r="AG223" i="72"/>
  <c r="AG294" i="72"/>
  <c r="AF223" i="72"/>
  <c r="AF294" i="72"/>
  <c r="AE223" i="72"/>
  <c r="AE294" i="72"/>
  <c r="AE297" i="72"/>
  <c r="AD223" i="72"/>
  <c r="AD294" i="72"/>
  <c r="AD297" i="72"/>
  <c r="AC223" i="72"/>
  <c r="AC294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AG295" i="72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1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2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3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sharedStrings.xml><?xml version="1.0" encoding="utf-8"?>
<sst xmlns="http://schemas.openxmlformats.org/spreadsheetml/2006/main" count="681" uniqueCount="160">
  <si>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</si>
  <si>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</si>
  <si>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</si>
  <si>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</si>
  <si>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</si>
  <si>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</si>
  <si>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</si>
  <si>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</si>
  <si>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</si>
  <si>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</si>
  <si>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</si>
  <si>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</si>
  <si>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</si>
  <si>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</si>
  <si>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</si>
  <si>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</si>
  <si>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</si>
  <si>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</si>
  <si>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</si>
  <si>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</si>
  <si>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</si>
  <si>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</si>
  <si>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</si>
  <si>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</si>
  <si>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</si>
  <si>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</si>
  <si>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</si>
  <si>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</si>
  <si>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</si>
  <si>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</si>
  <si>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</si>
  <si>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</si>
  <si>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</si>
  <si>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</si>
  <si>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</si>
  <si>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</si>
  <si>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</si>
  <si>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</si>
  <si>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</si>
  <si>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</si>
  <si>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</si>
  <si>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</si>
  <si>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</si>
  <si>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</si>
  <si>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</si>
  <si>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</si>
  <si>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</si>
  <si>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</si>
  <si>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</si>
  <si>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</si>
  <si>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</si>
  <si>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</si>
  <si>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</si>
  <si>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</si>
  <si>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</si>
  <si>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</si>
  <si>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</si>
  <si>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</si>
  <si>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</si>
  <si>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</si>
  <si>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</si>
  <si>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</si>
  <si>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</si>
  <si>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</si>
  <si>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</si>
  <si>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</si>
  <si>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</si>
  <si>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</si>
  <si>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</si>
  <si>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</si>
  <si>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</si>
  <si>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</si>
  <si>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</si>
  <si>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</si>
  <si>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</si>
  <si>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</si>
  <si>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</si>
  <si>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</si>
  <si>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</si>
  <si>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</si>
  <si>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</si>
  <si>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</si>
  <si>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</si>
  <si>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</si>
  <si>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</si>
  <si>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</si>
  <si>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</si>
  <si>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</si>
  <si>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</si>
  <si>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</si>
  <si>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</si>
  <si>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</si>
  <si>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</si>
  <si>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</si>
  <si>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</si>
  <si>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</si>
  <si>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</si>
  <si>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</si>
  <si>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</si>
  <si>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</si>
  <si>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</si>
  <si>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</si>
  <si>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</si>
  <si>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</si>
  <si>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</si>
  <si>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</si>
  <si>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</si>
  <si>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</si>
  <si>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</si>
  <si>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</si>
  <si>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</si>
  <si>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</si>
  <si>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</si>
  <si>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</si>
  <si>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</si>
  <si>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</si>
  <si>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</si>
  <si>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</si>
  <si>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</si>
  <si>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</si>
  <si>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</si>
  <si>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</si>
  <si>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</si>
  <si>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</si>
  <si>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</si>
  <si>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</si>
  <si>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</si>
  <si>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</si>
  <si>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</si>
  <si>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</si>
  <si>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</si>
  <si>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</si>
  <si>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</si>
  <si>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</si>
  <si>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</si>
  <si>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</si>
  <si>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</si>
  <si>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</si>
  <si>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</si>
  <si>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</si>
  <si>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</si>
  <si>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GSK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</si>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</sst>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0" borderId="3" xfId="0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6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8" fillId="6" borderId="7" xfId="1" applyFont="1" applyFill="1" applyBorder="1"/>
    <xf numFmtId="0" fontId="3" fillId="6" borderId="8" xfId="1" applyFill="1" applyBorder="1"/>
    <xf numFmtId="4" fontId="3" fillId="6" borderId="8" xfId="1" applyNumberFormat="1" applyFill="1" applyBorder="1"/>
    <xf numFmtId="0" fontId="9" fillId="7" borderId="7" xfId="1" applyFont="1" applyFill="1" applyBorder="1"/>
    <xf numFmtId="0" fontId="3" fillId="7" borderId="8" xfId="1" applyFill="1" applyBorder="1"/>
    <xf numFmtId="0" fontId="6" fillId="0" borderId="0" xfId="1" applyFont="1"/>
    <xf numFmtId="0" fontId="8" fillId="8" borderId="7" xfId="1" applyFont="1" applyFill="1" applyBorder="1"/>
    <xf numFmtId="0" fontId="3" fillId="8" borderId="8" xfId="1" applyFill="1" applyBorder="1"/>
    <xf numFmtId="4" fontId="3" fillId="8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4" fontId="0" fillId="0" borderId="0" xfId="2" applyNumberFormat="1" applyFont="1" applyFill="1" applyAlignment="1">
      <alignment horizontal="center"/>
    </xf>
    <xf numFmtId="0" fontId="0" fillId="9" borderId="5" xfId="0" applyFill="1" applyBorder="1"/>
    <xf numFmtId="3" fontId="3" fillId="9" borderId="0" xfId="1" applyNumberFormat="1" applyFill="1"/>
    <xf numFmtId="0" fontId="0" fillId="10" borderId="5" xfId="0" applyFill="1" applyBorder="1"/>
    <xf numFmtId="3" fontId="3" fillId="10" borderId="0" xfId="1" applyNumberFormat="1" applyFill="1"/>
    <xf numFmtId="0" fontId="0" fillId="10" borderId="0" xfId="0" applyFill="1"/>
    <xf numFmtId="0" fontId="0" fillId="11" borderId="0" xfId="0" applyFill="1"/>
    <xf numFmtId="3" fontId="3" fillId="11" borderId="0" xfId="1" applyNumberFormat="1" applyFill="1"/>
    <xf numFmtId="3" fontId="3" fillId="0" borderId="0" xfId="1" applyNumberFormat="1"/>
    <xf numFmtId="3" fontId="0" fillId="10" borderId="0" xfId="0" applyNumberFormat="1" applyFill="1"/>
    <xf numFmtId="3" fontId="0" fillId="9" borderId="0" xfId="0" applyNumberFormat="1" applyFill="1"/>
    <xf numFmtId="0" fontId="0" fillId="11" borderId="5" xfId="0" applyFill="1" applyBorder="1"/>
    <xf numFmtId="3" fontId="0" fillId="11" borderId="0" xfId="0" applyNumberFormat="1" applyFill="1"/>
    <xf numFmtId="164" fontId="0" fillId="0" borderId="0" xfId="0" applyNumberFormat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sheetPr>
    <pageSetUpPr fitToPage="1"/>
  </sheetPr>
  <dimension ref="A1:S54"/>
  <sheetViews>
    <sheetView zoomScale="79" zoomScaleNormal="100" workbookViewId="0">
      <selection activeCell="D2" sqref="D2"/>
    </sheetView>
  </sheetViews>
  <sheetFormatPr defaultRowHeight="14.4" x14ac:dyDescent="0.3"/>
  <cols>
    <col min="1" max="1" width="91.109375" customWidth="1"/>
    <col min="2" max="18" width="15.6640625" customWidth="1"/>
  </cols>
  <sheetData>
    <row r="1" spans="1:19" ht="57.6" x14ac:dyDescent="0.3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16" t="s">
        <v>142</v>
      </c>
    </row>
    <row r="2" spans="1:19" x14ac:dyDescent="0.3">
      <c r="A2" s="14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8"/>
    </row>
    <row r="3" spans="1:19" x14ac:dyDescent="0.3">
      <c r="A3" s="14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8"/>
    </row>
    <row r="4" spans="1:19" x14ac:dyDescent="0.3">
      <c r="A4" s="14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8"/>
    </row>
    <row r="5" spans="1:19" x14ac:dyDescent="0.3">
      <c r="A5" s="14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18"/>
    </row>
    <row r="6" spans="1:19" x14ac:dyDescent="0.3">
      <c r="A6" s="14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18"/>
    </row>
    <row r="7" spans="1:19" x14ac:dyDescent="0.3">
      <c r="A7" s="14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18"/>
    </row>
    <row r="8" spans="1:19" x14ac:dyDescent="0.3">
      <c r="A8" s="14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18"/>
    </row>
    <row r="9" spans="1:19" x14ac:dyDescent="0.3">
      <c r="A9" s="14" t="s">
        <v>132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18"/>
    </row>
    <row r="10" spans="1:19" x14ac:dyDescent="0.3">
      <c r="A10" s="14" t="s">
        <v>135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18"/>
    </row>
    <row r="11" spans="1:19" x14ac:dyDescent="0.3">
      <c r="A11" s="14" t="s">
        <v>136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18"/>
    </row>
    <row r="12" spans="1:19" x14ac:dyDescent="0.3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18"/>
    </row>
    <row r="13" spans="1:19" x14ac:dyDescent="0.3">
      <c r="A13" s="14" t="s">
        <v>133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8"/>
    </row>
    <row r="14" spans="1:19" x14ac:dyDescent="0.3">
      <c r="A14" s="14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8"/>
    </row>
    <row r="15" spans="1:19" x14ac:dyDescent="0.3">
      <c r="A15" s="14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18"/>
    </row>
    <row r="16" spans="1:19" x14ac:dyDescent="0.3">
      <c r="A16" s="14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8"/>
    </row>
    <row r="17" spans="1:19" x14ac:dyDescent="0.3">
      <c r="A17" s="14" t="s">
        <v>130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18"/>
    </row>
    <row r="18" spans="1:19" x14ac:dyDescent="0.3">
      <c r="A18" s="14" t="s">
        <v>144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</row>
    <row r="19" spans="1:19" x14ac:dyDescent="0.3">
      <c r="A19" s="14" t="s">
        <v>145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3" priority="1">
      <formula>LEN(TRIM(B18))&gt;0</formula>
    </cfRule>
  </conditionalFormatting>
  <conditionalFormatting sqref="S1 B1:R17 B20:R20">
    <cfRule type="notContainsBlanks" dxfId="2" priority="2" stopIfTrue="1">
      <formula>LEN(TRIM(B1))&gt;0</formula>
    </cfRule>
  </conditionalFormatting>
  <pageMargins left="0.7" right="0.7" top="0.75" bottom="0.75" header="0.3" footer="0.3"/>
  <pageSetup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127</v>
      </c>
      <c r="G1" s="3" t="s">
        <v>9</v>
      </c>
      <c r="H1" s="3" t="s">
        <v>8</v>
      </c>
      <c r="I1" s="3" t="s">
        <v>128</v>
      </c>
      <c r="J1" s="3" t="s">
        <v>129</v>
      </c>
      <c r="K1" s="3" t="s">
        <v>78</v>
      </c>
      <c r="L1" s="3" t="s">
        <v>144</v>
      </c>
      <c r="M1" s="3" t="s">
        <v>6</v>
      </c>
    </row>
    <row r="2" spans="1:13" x14ac:dyDescent="0.3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134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133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131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14" t="s">
        <v>144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145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09375" defaultRowHeight="14.4" x14ac:dyDescent="0.3"/>
  <cols>
    <col min="1" max="1" width="9.109375" style="7"/>
    <col min="2" max="2" width="94.6640625" style="7" bestFit="1" customWidth="1"/>
    <col min="3" max="3" width="28" style="7" bestFit="1" customWidth="1"/>
    <col min="4" max="23" width="16" style="7" customWidth="1"/>
    <col min="24" max="24" width="16.88671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09375" style="7"/>
  </cols>
  <sheetData>
    <row r="1" spans="2:34" x14ac:dyDescent="0.3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3">
      <c r="B2" s="48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3">
      <c r="B3" s="48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3">
      <c r="B4" s="48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3">
      <c r="B5" s="48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3">
      <c r="B6" s="48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3">
      <c r="B7" s="48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3">
      <c r="B8" s="48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3">
      <c r="B9" s="48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3">
      <c r="B10" s="48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3">
      <c r="B11" s="48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3">
      <c r="B12" s="48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3">
      <c r="B13" s="48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3">
      <c r="B14" s="48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3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3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3">
      <c r="B17" s="48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3">
      <c r="B18" s="48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3">
      <c r="B19" s="48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3">
      <c r="B20" s="48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3">
      <c r="B21" s="48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3">
      <c r="B22" s="48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3">
      <c r="B23" s="48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3">
      <c r="B24" s="48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3">
      <c r="B25" s="48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3">
      <c r="B26" s="48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3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3">
      <c r="B28" s="48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3">
      <c r="B29" s="48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3">
      <c r="B30" s="48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3">
      <c r="B31" s="48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3">
      <c r="B32" s="48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3">
      <c r="B33" s="48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3">
      <c r="B34" s="48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3">
      <c r="B35" s="48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3">
      <c r="B36" s="48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3">
      <c r="B37" s="48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3">
      <c r="B38" s="48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3">
      <c r="B39" s="48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3">
      <c r="B40" s="48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3">
      <c r="B41" s="48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3">
      <c r="B42" s="48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3">
      <c r="B43" s="48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3">
      <c r="B44" s="48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3">
      <c r="B45" s="48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3">
      <c r="B46" s="48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3">
      <c r="B47" s="48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3">
      <c r="B48" s="48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3">
      <c r="B49" s="48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3">
      <c r="B50" s="48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3">
      <c r="B51" s="48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3">
      <c r="B52" s="48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3">
      <c r="B53" s="48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3">
      <c r="B54" s="48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3">
      <c r="B55" s="48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3">
      <c r="B56" s="48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3">
      <c r="B57" s="48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3">
      <c r="B58" s="48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3">
      <c r="B59" s="48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3">
      <c r="B60" s="48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3">
      <c r="B61" s="48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3">
      <c r="B62" s="48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3">
      <c r="B63" s="48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3">
      <c r="B64" s="48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3">
      <c r="B65" s="48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3">
      <c r="B66" s="48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3">
      <c r="B67" s="48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3">
      <c r="B68" s="48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3">
      <c r="B69" s="48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3">
      <c r="B70" s="48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3">
      <c r="B71" s="48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3">
      <c r="B72" s="48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3">
      <c r="B73" s="48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3">
      <c r="B74" s="48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3">
      <c r="B75" s="48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3">
      <c r="B76" s="48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3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3">
      <c r="B78" s="48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3">
      <c r="B79" s="48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3">
      <c r="B80" s="48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3">
      <c r="B81" s="48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3">
      <c r="B82" s="48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3">
      <c r="B83" s="48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3">
      <c r="B84" s="48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3">
      <c r="B85" s="48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3">
      <c r="B86" s="48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3">
      <c r="B87" s="48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3">
      <c r="B88" s="48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3">
      <c r="B89" s="48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3">
      <c r="B90" s="49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3">
      <c r="B91" s="50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3">
      <c r="B92" s="50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15">
        <v>32068650.697210319</v>
      </c>
      <c r="AC92" s="15">
        <v>48376248.114642859</v>
      </c>
      <c r="AD92" s="15">
        <v>11006234.9114444</v>
      </c>
      <c r="AE92" s="15">
        <v>5751303.3239285704</v>
      </c>
      <c r="AF92" s="15">
        <v>829582.93499999994</v>
      </c>
      <c r="AG92" s="15">
        <v>854456.60285714292</v>
      </c>
      <c r="AH92" s="15">
        <v>882693.01642857143</v>
      </c>
    </row>
    <row r="93" spans="2:34" hidden="1" x14ac:dyDescent="0.3">
      <c r="B93" s="50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3">
      <c r="B94" s="51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3">
      <c r="B95" s="48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3">
      <c r="B96" s="48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3">
      <c r="B97" s="48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3">
      <c r="B98" s="48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3">
      <c r="B99" s="48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3">
      <c r="B100" s="48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3">
      <c r="B101" s="48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3">
      <c r="B102" s="48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3">
      <c r="B103" s="48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3">
      <c r="B104" s="48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3">
      <c r="B105" s="48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3">
      <c r="B106" s="48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3">
      <c r="B107" s="48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3">
      <c r="B108" s="48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3">
      <c r="B109" s="48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3">
      <c r="B110" s="48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3">
      <c r="B111" s="48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3">
      <c r="B112" s="48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3">
      <c r="B113" s="48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3">
      <c r="B114" s="48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3">
      <c r="B115" s="48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3">
      <c r="B116" s="48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3">
      <c r="B117" s="48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3">
      <c r="B118" s="48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3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3">
      <c r="B120" s="48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3">
      <c r="B121" s="48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3">
      <c r="B122" s="48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3">
      <c r="B123" s="48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3">
      <c r="B124" s="48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3">
      <c r="B125" s="48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3">
      <c r="B126" s="48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3">
      <c r="B127" s="48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3">
      <c r="B128" s="48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3">
      <c r="B129" s="48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3">
      <c r="B130" s="48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3">
      <c r="B131" s="48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3">
      <c r="B132" s="48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3">
      <c r="B133" s="48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3">
      <c r="B134" s="48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3">
      <c r="B135" s="48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3">
      <c r="B136" s="48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3">
      <c r="B137" s="48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3">
      <c r="B138" s="48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3">
      <c r="B139" s="48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3">
      <c r="B140" s="48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3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3">
      <c r="B142" s="48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3">
      <c r="B143" s="48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3">
      <c r="B144" s="48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3">
      <c r="B145" s="48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3">
      <c r="B146" s="48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3">
      <c r="B147" s="48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3">
      <c r="B148" s="48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3">
      <c r="B149" s="48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3">
      <c r="B150" s="48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3">
      <c r="B151" s="48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3">
      <c r="B152" s="48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3">
      <c r="B153" s="48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3">
      <c r="B154" s="48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3">
      <c r="B155" s="48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3">
      <c r="B156" s="48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3">
      <c r="B157" s="48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3">
      <c r="B158" s="48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3">
      <c r="B159" s="48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3">
      <c r="B160" s="48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3">
      <c r="B161" s="48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3">
      <c r="B162" s="48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3">
      <c r="B163" s="48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3">
      <c r="B164" s="48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3">
      <c r="B165" s="48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3">
      <c r="B166" s="48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3">
      <c r="B167" s="48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3">
      <c r="B168" s="48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3">
      <c r="B169" s="48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3">
      <c r="B170" s="48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3">
      <c r="B171" s="48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3">
      <c r="B172" s="48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3">
      <c r="B173" s="48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3">
      <c r="B174" s="48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3">
      <c r="B175" s="48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3">
      <c r="B176" s="48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3">
      <c r="B177" s="48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3">
      <c r="B178" s="48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3">
      <c r="B179" s="48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3">
      <c r="B180" s="48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3">
      <c r="B181" s="48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3">
      <c r="B182" s="48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3">
      <c r="B183" s="48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3">
      <c r="B184" s="48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3">
      <c r="B185" s="48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3">
      <c r="B186" s="48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3">
      <c r="B187" s="48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3">
      <c r="B188" s="48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3">
      <c r="B189" s="48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3">
      <c r="B190" s="48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3">
      <c r="B191" s="48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3">
      <c r="B192" s="48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3">
      <c r="B193" s="48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3">
      <c r="B194" s="48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3">
      <c r="B195" s="48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3">
      <c r="B196" s="48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3">
      <c r="B197" s="48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3">
      <c r="B198" s="48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3">
      <c r="B199" s="48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3">
      <c r="B200" s="48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3">
      <c r="B201" s="48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3">
      <c r="B202" s="48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3">
      <c r="B203" s="48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3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3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3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3">
      <c r="A207" s="7" t="s">
        <v>137</v>
      </c>
      <c r="B207" s="7" t="s">
        <v>34</v>
      </c>
      <c r="C207" s="7" t="s">
        <v>146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3">
      <c r="A208" s="7" t="s">
        <v>82</v>
      </c>
      <c r="B208" s="7" t="s">
        <v>82</v>
      </c>
      <c r="C208" s="7" t="s">
        <v>146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3">
      <c r="A209" s="7" t="s">
        <v>7</v>
      </c>
      <c r="B209" s="7" t="s">
        <v>7</v>
      </c>
      <c r="C209" s="7" t="s">
        <v>146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3">
      <c r="A210" s="7" t="s">
        <v>86</v>
      </c>
      <c r="B210" s="19" t="s">
        <v>86</v>
      </c>
      <c r="C210" s="7" t="s">
        <v>147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3">
      <c r="A211" s="7" t="s">
        <v>84</v>
      </c>
      <c r="B211" s="19" t="s">
        <v>84</v>
      </c>
      <c r="C211" s="7" t="s">
        <v>147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3">
      <c r="A212" s="7" t="s">
        <v>73</v>
      </c>
      <c r="B212" s="19" t="s">
        <v>10</v>
      </c>
      <c r="C212" s="7" t="s">
        <v>148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3">
      <c r="A213" s="7" t="s">
        <v>74</v>
      </c>
      <c r="B213" s="19" t="s">
        <v>149</v>
      </c>
      <c r="C213" s="7" t="s">
        <v>148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3">
      <c r="A214" s="7" t="s">
        <v>77</v>
      </c>
      <c r="B214" s="19" t="s">
        <v>21</v>
      </c>
      <c r="C214" s="7" t="s">
        <v>147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3">
      <c r="A215" s="7" t="s">
        <v>1</v>
      </c>
      <c r="B215" s="19" t="s">
        <v>16</v>
      </c>
      <c r="C215" s="7" t="s">
        <v>148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3">
      <c r="A216" s="7" t="s">
        <v>140</v>
      </c>
      <c r="B216" s="20" t="s">
        <v>18</v>
      </c>
      <c r="C216" s="19" t="s">
        <v>150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3">
      <c r="A217" s="7" t="s">
        <v>79</v>
      </c>
      <c r="B217" s="19" t="s">
        <v>25</v>
      </c>
      <c r="C217" s="7" t="s">
        <v>148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3">
      <c r="A218" s="7" t="s">
        <v>158</v>
      </c>
      <c r="B218" s="19" t="s">
        <v>23</v>
      </c>
      <c r="C218" s="7" t="s">
        <v>146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3">
      <c r="A219" s="7" t="s">
        <v>5</v>
      </c>
      <c r="B219" s="19" t="s">
        <v>130</v>
      </c>
      <c r="C219" s="7" t="s">
        <v>146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3">
      <c r="A220" s="7" t="s">
        <v>78</v>
      </c>
      <c r="B220" s="19" t="s">
        <v>132</v>
      </c>
      <c r="C220" s="7" t="s">
        <v>148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3">
      <c r="A221" s="7" t="s">
        <v>105</v>
      </c>
      <c r="B221" s="19" t="s">
        <v>37</v>
      </c>
      <c r="C221" s="7" t="s">
        <v>147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3">
      <c r="A222" s="7" t="s">
        <v>144</v>
      </c>
      <c r="B222" s="19" t="s">
        <v>4</v>
      </c>
      <c r="C222" s="7" t="s">
        <v>146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3">
      <c r="A223" s="7" t="s">
        <v>6</v>
      </c>
      <c r="B223" s="19" t="s">
        <v>6</v>
      </c>
      <c r="C223" s="7" t="s">
        <v>148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3">
      <c r="Y224" s="12"/>
    </row>
    <row r="225" spans="2:34" x14ac:dyDescent="0.3">
      <c r="B225" s="7" t="s">
        <v>151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3">
      <c r="B226" s="7" t="s">
        <v>152</v>
      </c>
      <c r="C226" s="7">
        <v>0.9</v>
      </c>
      <c r="U226" s="12"/>
      <c r="Y226" s="12"/>
    </row>
    <row r="227" spans="2:34" x14ac:dyDescent="0.3">
      <c r="B227" s="7" t="s">
        <v>153</v>
      </c>
      <c r="C227" s="7">
        <v>0.7</v>
      </c>
    </row>
    <row r="228" spans="2:34" x14ac:dyDescent="0.3">
      <c r="AD228" s="21"/>
      <c r="AE228" s="21"/>
      <c r="AF228" s="21"/>
      <c r="AG228" s="21"/>
      <c r="AH228" s="21"/>
    </row>
    <row r="229" spans="2:34" ht="15" thickBot="1" x14ac:dyDescent="0.35">
      <c r="C229" s="7" t="s">
        <v>154</v>
      </c>
      <c r="AD229" s="22"/>
      <c r="AE229" s="22"/>
      <c r="AF229" s="22"/>
      <c r="AG229" s="22"/>
      <c r="AH229" s="22"/>
    </row>
    <row r="230" spans="2:34" s="24" customFormat="1" ht="15" thickBot="1" x14ac:dyDescent="0.35">
      <c r="B230" s="23" t="s">
        <v>34</v>
      </c>
      <c r="D230" s="24">
        <f t="shared" ref="D230:AH230" si="17">D207*$C226</f>
        <v>70722233.142499998</v>
      </c>
      <c r="E230" s="24">
        <f t="shared" si="17"/>
        <v>10285.704</v>
      </c>
      <c r="F230" s="24">
        <f t="shared" si="17"/>
        <v>9839.4536842105263</v>
      </c>
      <c r="G230" s="24">
        <f t="shared" si="17"/>
        <v>9510.8153684210538</v>
      </c>
      <c r="H230" s="24">
        <f t="shared" si="17"/>
        <v>9568.3833473684226</v>
      </c>
      <c r="I230" s="24">
        <f t="shared" si="17"/>
        <v>9779.7871657894757</v>
      </c>
      <c r="J230" s="24">
        <f t="shared" si="17"/>
        <v>10055.805015789474</v>
      </c>
      <c r="K230" s="24">
        <f t="shared" si="17"/>
        <v>10143.130500000001</v>
      </c>
      <c r="L230" s="24">
        <f t="shared" si="17"/>
        <v>10119.738836842107</v>
      </c>
      <c r="M230" s="24">
        <f t="shared" si="17"/>
        <v>0</v>
      </c>
      <c r="N230" s="24">
        <f t="shared" si="17"/>
        <v>15926751.5</v>
      </c>
      <c r="O230" s="24">
        <f t="shared" si="17"/>
        <v>15949320.999999998</v>
      </c>
      <c r="P230" s="24">
        <f t="shared" si="17"/>
        <v>7833070.0000000009</v>
      </c>
      <c r="Q230" s="24">
        <f t="shared" si="17"/>
        <v>24181827.800000001</v>
      </c>
      <c r="R230" s="24">
        <f t="shared" si="17"/>
        <v>25737827.470000003</v>
      </c>
      <c r="S230" s="24">
        <f t="shared" si="17"/>
        <v>28571267.367894739</v>
      </c>
      <c r="T230" s="24">
        <f t="shared" si="17"/>
        <v>17468730.427368421</v>
      </c>
      <c r="U230" s="24">
        <f t="shared" si="17"/>
        <v>32860641.251499999</v>
      </c>
      <c r="V230" s="24">
        <f t="shared" si="17"/>
        <v>16512667.97291</v>
      </c>
      <c r="W230" s="24">
        <f t="shared" si="17"/>
        <v>13386389.473580789</v>
      </c>
      <c r="X230" s="24">
        <f t="shared" si="17"/>
        <v>8876470.5647684205</v>
      </c>
      <c r="Y230" s="24">
        <f t="shared" si="17"/>
        <v>13299464.005211843</v>
      </c>
      <c r="Z230" s="24">
        <f t="shared" si="17"/>
        <v>34154299.116977632</v>
      </c>
      <c r="AA230" s="24">
        <f t="shared" si="17"/>
        <v>15793016.25789316</v>
      </c>
      <c r="AB230" s="24">
        <f t="shared" si="17"/>
        <v>19172794.219558615</v>
      </c>
      <c r="AC230" s="24">
        <f t="shared" si="17"/>
        <v>20112941.270235438</v>
      </c>
      <c r="AD230" s="24">
        <f t="shared" si="17"/>
        <v>18852272.600186843</v>
      </c>
      <c r="AE230" s="24">
        <f t="shared" si="17"/>
        <v>17896292.28471316</v>
      </c>
      <c r="AF230" s="24">
        <f t="shared" si="17"/>
        <v>18741717.215013158</v>
      </c>
      <c r="AG230" s="24">
        <f t="shared" si="17"/>
        <v>19696180.864413157</v>
      </c>
      <c r="AH230" s="24">
        <f t="shared" si="17"/>
        <v>20622139.806450002</v>
      </c>
    </row>
    <row r="231" spans="2:34" x14ac:dyDescent="0.3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" thickBot="1" x14ac:dyDescent="0.35">
      <c r="B232" s="7" t="s">
        <v>155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24" customFormat="1" ht="15" thickBot="1" x14ac:dyDescent="0.35">
      <c r="B233" s="23" t="s">
        <v>82</v>
      </c>
      <c r="D233" s="24">
        <f>D208*$C226</f>
        <v>15037694.261710526</v>
      </c>
      <c r="E233" s="24">
        <f t="shared" ref="E233:AH233" si="20">E208*$C226</f>
        <v>15037995.915355263</v>
      </c>
      <c r="F233" s="24">
        <f t="shared" si="20"/>
        <v>14959115.137223683</v>
      </c>
      <c r="G233" s="24">
        <f t="shared" si="20"/>
        <v>15221068.833000004</v>
      </c>
      <c r="H233" s="24">
        <f t="shared" si="20"/>
        <v>16191713.507826315</v>
      </c>
      <c r="I233" s="24">
        <f t="shared" si="20"/>
        <v>29002135.551848687</v>
      </c>
      <c r="J233" s="24">
        <f t="shared" si="20"/>
        <v>32409266.094618421</v>
      </c>
      <c r="K233" s="24">
        <f t="shared" si="20"/>
        <v>32074631.000802636</v>
      </c>
      <c r="L233" s="24">
        <f t="shared" si="20"/>
        <v>18983937.103223685</v>
      </c>
      <c r="M233" s="24">
        <f t="shared" si="20"/>
        <v>20117812.136407893</v>
      </c>
      <c r="N233" s="24">
        <f t="shared" si="20"/>
        <v>20146222.211842105</v>
      </c>
      <c r="O233" s="24">
        <f t="shared" si="20"/>
        <v>18975231.384868424</v>
      </c>
      <c r="P233" s="24">
        <f t="shared" si="20"/>
        <v>3823254.7420000006</v>
      </c>
      <c r="Q233" s="24">
        <f t="shared" si="20"/>
        <v>13576094.34485</v>
      </c>
      <c r="R233" s="24">
        <f t="shared" si="20"/>
        <v>21692028.627845716</v>
      </c>
      <c r="S233" s="24">
        <f t="shared" si="20"/>
        <v>91681545.685642853</v>
      </c>
      <c r="T233" s="24">
        <f t="shared" si="20"/>
        <v>80555307.518535718</v>
      </c>
      <c r="U233" s="24">
        <f t="shared" si="20"/>
        <v>149706108.48645502</v>
      </c>
      <c r="V233" s="24">
        <f t="shared" si="20"/>
        <v>369152955.18488359</v>
      </c>
      <c r="W233" s="24">
        <f t="shared" si="20"/>
        <v>299182889.75710523</v>
      </c>
      <c r="X233" s="24">
        <f t="shared" si="20"/>
        <v>174861942.18869361</v>
      </c>
      <c r="Y233" s="24">
        <f t="shared" si="20"/>
        <v>298151234.47706079</v>
      </c>
      <c r="Z233" s="24">
        <f t="shared" si="20"/>
        <v>204646519.83056429</v>
      </c>
      <c r="AA233" s="24">
        <f t="shared" si="20"/>
        <v>250952391.61314076</v>
      </c>
      <c r="AB233" s="24">
        <f t="shared" si="20"/>
        <v>226463129.34788474</v>
      </c>
      <c r="AC233" s="24">
        <f t="shared" si="20"/>
        <v>241029961.53018576</v>
      </c>
      <c r="AD233" s="24">
        <f t="shared" si="20"/>
        <v>333303551.77446431</v>
      </c>
      <c r="AE233" s="24">
        <f t="shared" si="20"/>
        <v>216381751.73324111</v>
      </c>
      <c r="AF233" s="24">
        <f t="shared" si="20"/>
        <v>339103611.08353096</v>
      </c>
      <c r="AG233" s="24">
        <f t="shared" si="20"/>
        <v>250986523.82707146</v>
      </c>
      <c r="AH233" s="24">
        <f t="shared" si="20"/>
        <v>281591059.86721426</v>
      </c>
    </row>
    <row r="234" spans="2:34" x14ac:dyDescent="0.3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" thickBot="1" x14ac:dyDescent="0.35">
      <c r="B235" s="7" t="s">
        <v>156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24" customFormat="1" ht="15" thickBot="1" x14ac:dyDescent="0.35">
      <c r="B236" s="23" t="s">
        <v>7</v>
      </c>
      <c r="D236" s="24">
        <f t="shared" ref="D236:AH236" si="23">D209*$C226</f>
        <v>13405991.998691732</v>
      </c>
      <c r="E236" s="24">
        <f t="shared" si="23"/>
        <v>14325243.083849249</v>
      </c>
      <c r="F236" s="24">
        <f t="shared" si="23"/>
        <v>14796272.081276312</v>
      </c>
      <c r="G236" s="24">
        <f t="shared" si="23"/>
        <v>15346614.874053011</v>
      </c>
      <c r="H236" s="24">
        <f t="shared" si="23"/>
        <v>23177809.326140981</v>
      </c>
      <c r="I236" s="24">
        <f t="shared" si="23"/>
        <v>23864836.680286095</v>
      </c>
      <c r="J236" s="24">
        <f t="shared" si="23"/>
        <v>25248452.688875936</v>
      </c>
      <c r="K236" s="24">
        <f t="shared" si="23"/>
        <v>25167480.566644739</v>
      </c>
      <c r="L236" s="24">
        <f t="shared" si="23"/>
        <v>35508949.880201131</v>
      </c>
      <c r="M236" s="24">
        <f t="shared" si="23"/>
        <v>37091798.092687964</v>
      </c>
      <c r="N236" s="24">
        <f t="shared" si="23"/>
        <v>38634070.761956766</v>
      </c>
      <c r="O236" s="24">
        <f t="shared" si="23"/>
        <v>38596668.042201139</v>
      </c>
      <c r="P236" s="24">
        <f t="shared" si="23"/>
        <v>19933904.245921053</v>
      </c>
      <c r="Q236" s="24">
        <f t="shared" si="23"/>
        <v>19895077.933278196</v>
      </c>
      <c r="R236" s="24">
        <f t="shared" si="23"/>
        <v>17853999.247827068</v>
      </c>
      <c r="S236" s="24">
        <f t="shared" si="23"/>
        <v>23791036.18233835</v>
      </c>
      <c r="T236" s="24">
        <f t="shared" si="23"/>
        <v>18663964.920005646</v>
      </c>
      <c r="U236" s="24">
        <f t="shared" si="23"/>
        <v>18272812.983706769</v>
      </c>
      <c r="V236" s="24">
        <f t="shared" si="23"/>
        <v>21540784.068819739</v>
      </c>
      <c r="W236" s="24">
        <f t="shared" si="23"/>
        <v>19613675.108400945</v>
      </c>
      <c r="X236" s="24">
        <f t="shared" si="23"/>
        <v>16825463.6640094</v>
      </c>
      <c r="Y236" s="24">
        <f t="shared" si="23"/>
        <v>23446940.378586467</v>
      </c>
      <c r="Z236" s="24">
        <f t="shared" si="23"/>
        <v>23963758.811385334</v>
      </c>
      <c r="AA236" s="24">
        <f t="shared" si="23"/>
        <v>23206882.500469923</v>
      </c>
      <c r="AB236" s="24">
        <f t="shared" si="23"/>
        <v>22741290.487296991</v>
      </c>
      <c r="AC236" s="24">
        <f t="shared" si="23"/>
        <v>21182616.991913538</v>
      </c>
      <c r="AD236" s="24">
        <f t="shared" si="23"/>
        <v>14584874.384171054</v>
      </c>
      <c r="AE236" s="24">
        <f t="shared" si="23"/>
        <v>16785386.659531955</v>
      </c>
      <c r="AF236" s="24">
        <f t="shared" si="23"/>
        <v>8018666.5077575203</v>
      </c>
      <c r="AG236" s="24">
        <f t="shared" si="23"/>
        <v>9646613.8812687956</v>
      </c>
      <c r="AH236" s="24">
        <f t="shared" si="23"/>
        <v>11679892.861385338</v>
      </c>
    </row>
    <row r="237" spans="2:34" x14ac:dyDescent="0.3">
      <c r="B237" s="7" t="s">
        <v>141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" thickBot="1" x14ac:dyDescent="0.35">
      <c r="B238" s="7" t="s">
        <v>157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24" customFormat="1" ht="15" thickBot="1" x14ac:dyDescent="0.35">
      <c r="B239" s="23" t="s">
        <v>86</v>
      </c>
      <c r="D239" s="25">
        <f>D210</f>
        <v>78159428.70084165</v>
      </c>
      <c r="E239" s="25">
        <f t="shared" ref="E239:AH239" si="26">E210</f>
        <v>79754932.221154869</v>
      </c>
      <c r="F239" s="25">
        <f t="shared" si="26"/>
        <v>82572071.930308357</v>
      </c>
      <c r="G239" s="25">
        <f t="shared" si="26"/>
        <v>85747371.100018784</v>
      </c>
      <c r="H239" s="25">
        <f t="shared" si="26"/>
        <v>88823501.799946755</v>
      </c>
      <c r="I239" s="25">
        <f t="shared" si="26"/>
        <v>90980825.641051829</v>
      </c>
      <c r="J239" s="25">
        <f t="shared" si="26"/>
        <v>93434224.750214219</v>
      </c>
      <c r="K239" s="25">
        <f t="shared" si="26"/>
        <v>98105257.648446709</v>
      </c>
      <c r="L239" s="25">
        <f t="shared" si="26"/>
        <v>101078445.76415768</v>
      </c>
      <c r="M239" s="25">
        <f t="shared" si="26"/>
        <v>104582797.03656946</v>
      </c>
      <c r="N239" s="25">
        <f t="shared" si="26"/>
        <v>105776184.51721099</v>
      </c>
      <c r="O239" s="25">
        <f t="shared" si="26"/>
        <v>135372840.88102099</v>
      </c>
      <c r="P239" s="25">
        <f t="shared" si="26"/>
        <v>148582723.54941028</v>
      </c>
      <c r="Q239" s="25">
        <f t="shared" si="26"/>
        <v>164282756.196031</v>
      </c>
      <c r="R239" s="25">
        <f t="shared" si="26"/>
        <v>173551045.36105618</v>
      </c>
      <c r="S239" s="25">
        <f t="shared" si="26"/>
        <v>177885694.95791954</v>
      </c>
      <c r="T239" s="25">
        <f t="shared" si="26"/>
        <v>149831513.85508409</v>
      </c>
      <c r="U239" s="25">
        <f t="shared" si="26"/>
        <v>186085427.29991889</v>
      </c>
      <c r="V239" s="25">
        <f t="shared" si="26"/>
        <v>164768260.88476095</v>
      </c>
      <c r="W239" s="25">
        <f t="shared" si="26"/>
        <v>42499759.782201052</v>
      </c>
      <c r="X239" s="25">
        <f t="shared" si="26"/>
        <v>10518907.671401918</v>
      </c>
      <c r="Y239" s="25">
        <f t="shared" si="26"/>
        <v>7180030.7496517412</v>
      </c>
      <c r="Z239" s="25">
        <f t="shared" si="26"/>
        <v>6811039.7848258708</v>
      </c>
      <c r="AA239" s="25">
        <f t="shared" si="26"/>
        <v>6823077.7507462688</v>
      </c>
      <c r="AB239" s="25">
        <f t="shared" si="26"/>
        <v>6836161.7518905476</v>
      </c>
      <c r="AC239" s="25">
        <f t="shared" si="26"/>
        <v>2892677.8183333329</v>
      </c>
      <c r="AD239" s="25">
        <f t="shared" si="26"/>
        <v>2936861.2</v>
      </c>
      <c r="AE239" s="25">
        <f t="shared" si="26"/>
        <v>2979573.415</v>
      </c>
      <c r="AF239" s="25">
        <f t="shared" si="26"/>
        <v>3019022.6733333329</v>
      </c>
      <c r="AG239" s="25">
        <f t="shared" si="26"/>
        <v>3057248.74</v>
      </c>
      <c r="AH239" s="25">
        <f t="shared" si="26"/>
        <v>3089470.1716666664</v>
      </c>
    </row>
    <row r="240" spans="2:34" x14ac:dyDescent="0.3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3">
      <c r="B241" s="7" t="s">
        <v>155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" thickBot="1" x14ac:dyDescent="0.35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24" customFormat="1" ht="15" thickBot="1" x14ac:dyDescent="0.35">
      <c r="B243" s="23" t="s">
        <v>84</v>
      </c>
      <c r="D243" s="25">
        <f>D211</f>
        <v>50764265.476614729</v>
      </c>
      <c r="E243" s="25">
        <f t="shared" ref="E243:AH243" si="30">E211</f>
        <v>50774337.539247289</v>
      </c>
      <c r="F243" s="25">
        <f t="shared" si="30"/>
        <v>50335231.889878154</v>
      </c>
      <c r="G243" s="25">
        <f t="shared" si="30"/>
        <v>52856121.30412057</v>
      </c>
      <c r="H243" s="25">
        <f t="shared" si="30"/>
        <v>69969918.250373557</v>
      </c>
      <c r="I243" s="25">
        <f t="shared" si="30"/>
        <v>68257614.967450723</v>
      </c>
      <c r="J243" s="25">
        <f t="shared" si="30"/>
        <v>54723842.706776053</v>
      </c>
      <c r="K243" s="25">
        <f t="shared" si="30"/>
        <v>53185019.472065121</v>
      </c>
      <c r="L243" s="25">
        <f t="shared" si="30"/>
        <v>38358186.250233114</v>
      </c>
      <c r="M243" s="25">
        <f t="shared" si="30"/>
        <v>36289140.125531644</v>
      </c>
      <c r="N243" s="25">
        <f t="shared" si="30"/>
        <v>31847542.07414145</v>
      </c>
      <c r="O243" s="25">
        <f t="shared" si="30"/>
        <v>29878049.329418853</v>
      </c>
      <c r="P243" s="25">
        <f t="shared" si="30"/>
        <v>27224650.822669961</v>
      </c>
      <c r="Q243" s="25">
        <f t="shared" si="30"/>
        <v>28389437.100745611</v>
      </c>
      <c r="R243" s="25">
        <f t="shared" si="30"/>
        <v>29041953.411824565</v>
      </c>
      <c r="S243" s="25">
        <f t="shared" si="30"/>
        <v>34928665.468587726</v>
      </c>
      <c r="T243" s="25">
        <f t="shared" si="30"/>
        <v>74784905.956905723</v>
      </c>
      <c r="U243" s="25">
        <f t="shared" si="30"/>
        <v>94070115.624735251</v>
      </c>
      <c r="V243" s="25">
        <f t="shared" si="30"/>
        <v>129988736.12009519</v>
      </c>
      <c r="W243" s="25">
        <f t="shared" si="30"/>
        <v>244473057.03895932</v>
      </c>
      <c r="X243" s="25">
        <f t="shared" si="30"/>
        <v>268834027.91079444</v>
      </c>
      <c r="Y243" s="25">
        <f t="shared" si="30"/>
        <v>243482508.59073868</v>
      </c>
      <c r="Z243" s="25">
        <f t="shared" si="30"/>
        <v>265683552.45220169</v>
      </c>
      <c r="AA243" s="25">
        <f t="shared" si="30"/>
        <v>267449255.31556958</v>
      </c>
      <c r="AB243" s="25">
        <f t="shared" si="30"/>
        <v>252260511.73202878</v>
      </c>
      <c r="AC243" s="25">
        <f t="shared" si="30"/>
        <v>254784837.78433856</v>
      </c>
      <c r="AD243" s="25">
        <f t="shared" si="30"/>
        <v>252649060.60826117</v>
      </c>
      <c r="AE243" s="25">
        <f t="shared" si="30"/>
        <v>255763567.71337724</v>
      </c>
      <c r="AF243" s="25">
        <f t="shared" si="30"/>
        <v>253520237.87101316</v>
      </c>
      <c r="AG243" s="25">
        <f t="shared" si="30"/>
        <v>257067992.06900519</v>
      </c>
      <c r="AH243" s="25">
        <f t="shared" si="30"/>
        <v>259612793.86153063</v>
      </c>
    </row>
    <row r="244" spans="2:34" x14ac:dyDescent="0.3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3">
      <c r="B245" s="7" t="s">
        <v>155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" thickBot="1" x14ac:dyDescent="0.35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24" customFormat="1" ht="15" thickBot="1" x14ac:dyDescent="0.35">
      <c r="B247" s="23" t="s">
        <v>10</v>
      </c>
      <c r="D247" s="24">
        <f t="shared" ref="D247:AH247" si="34">$C225*D212</f>
        <v>23016345.02235572</v>
      </c>
      <c r="E247" s="24">
        <f t="shared" si="34"/>
        <v>22585963.239165686</v>
      </c>
      <c r="F247" s="24">
        <f t="shared" si="34"/>
        <v>22122731.982950319</v>
      </c>
      <c r="G247" s="24">
        <f t="shared" si="34"/>
        <v>21331937.092768393</v>
      </c>
      <c r="H247" s="24">
        <f t="shared" si="34"/>
        <v>20960173.434599504</v>
      </c>
      <c r="I247" s="24">
        <f t="shared" si="34"/>
        <v>20563309.493522257</v>
      </c>
      <c r="J247" s="24">
        <f t="shared" si="34"/>
        <v>22336228.052101273</v>
      </c>
      <c r="K247" s="24">
        <f t="shared" si="34"/>
        <v>21907844.0673116</v>
      </c>
      <c r="L247" s="24">
        <f t="shared" si="34"/>
        <v>21931751.465510674</v>
      </c>
      <c r="M247" s="24">
        <f t="shared" si="34"/>
        <v>21807943.872771926</v>
      </c>
      <c r="N247" s="24">
        <f t="shared" si="34"/>
        <v>21070828.734517541</v>
      </c>
      <c r="O247" s="24">
        <f t="shared" si="34"/>
        <v>21258930.92776316</v>
      </c>
      <c r="P247" s="24">
        <f t="shared" si="34"/>
        <v>2151717.1985833338</v>
      </c>
      <c r="Q247" s="24">
        <f t="shared" si="34"/>
        <v>2055746.1026666667</v>
      </c>
      <c r="R247" s="24">
        <f t="shared" si="34"/>
        <v>2090957.487666667</v>
      </c>
      <c r="S247" s="24">
        <f t="shared" si="34"/>
        <v>2076008.7929166669</v>
      </c>
      <c r="T247" s="24">
        <f t="shared" si="34"/>
        <v>1962935.2077500003</v>
      </c>
      <c r="U247" s="24">
        <f t="shared" si="34"/>
        <v>2420563.8957500001</v>
      </c>
      <c r="V247" s="24">
        <f t="shared" si="34"/>
        <v>2439458.1621666667</v>
      </c>
      <c r="W247" s="24">
        <f t="shared" si="34"/>
        <v>2395566.3095833338</v>
      </c>
      <c r="X247" s="24">
        <f t="shared" si="34"/>
        <v>5569093.2494999999</v>
      </c>
      <c r="Y247" s="24">
        <f t="shared" si="34"/>
        <v>7045392.1558552645</v>
      </c>
      <c r="Z247" s="24">
        <f t="shared" si="34"/>
        <v>7086573.4450307023</v>
      </c>
      <c r="AA247" s="24">
        <f t="shared" si="34"/>
        <v>7195724.6102500008</v>
      </c>
      <c r="AB247" s="24">
        <f t="shared" si="34"/>
        <v>6885289.9389517549</v>
      </c>
      <c r="AC247" s="24">
        <f t="shared" si="34"/>
        <v>6974115.3475921061</v>
      </c>
      <c r="AD247" s="24">
        <f t="shared" si="34"/>
        <v>7060217.5141184218</v>
      </c>
      <c r="AE247" s="24">
        <f t="shared" si="34"/>
        <v>6692018.1383289481</v>
      </c>
      <c r="AF247" s="24">
        <f t="shared" si="34"/>
        <v>6737449.4233508771</v>
      </c>
      <c r="AG247" s="24">
        <f t="shared" si="34"/>
        <v>6794867.1551798247</v>
      </c>
      <c r="AH247" s="24">
        <f t="shared" si="34"/>
        <v>6857607.4892368419</v>
      </c>
    </row>
    <row r="248" spans="2:34" x14ac:dyDescent="0.3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3">
      <c r="B249" s="7" t="s">
        <v>155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" thickBot="1" x14ac:dyDescent="0.35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24" customFormat="1" ht="15" thickBot="1" x14ac:dyDescent="0.35">
      <c r="B251" s="23" t="s">
        <v>149</v>
      </c>
      <c r="D251" s="24">
        <f t="shared" ref="D251:AH251" si="38">$C225*D213</f>
        <v>342758695.46779001</v>
      </c>
      <c r="E251" s="24">
        <f t="shared" si="38"/>
        <v>346404533.84962791</v>
      </c>
      <c r="F251" s="24">
        <f t="shared" si="38"/>
        <v>302608043.61163944</v>
      </c>
      <c r="G251" s="24">
        <f t="shared" si="38"/>
        <v>289158605.75561082</v>
      </c>
      <c r="H251" s="24">
        <f t="shared" si="38"/>
        <v>287241499.82494414</v>
      </c>
      <c r="I251" s="24">
        <f t="shared" si="38"/>
        <v>282741805.42506039</v>
      </c>
      <c r="J251" s="24">
        <f t="shared" si="38"/>
        <v>267670644.20541641</v>
      </c>
      <c r="K251" s="24">
        <f t="shared" si="38"/>
        <v>250580870.60594818</v>
      </c>
      <c r="L251" s="24">
        <f t="shared" si="38"/>
        <v>248539933.35356328</v>
      </c>
      <c r="M251" s="24">
        <f t="shared" si="38"/>
        <v>256094886.59564543</v>
      </c>
      <c r="N251" s="24">
        <f t="shared" si="38"/>
        <v>258860938.22515541</v>
      </c>
      <c r="O251" s="24">
        <f t="shared" si="38"/>
        <v>256253272.4160341</v>
      </c>
      <c r="P251" s="24">
        <f t="shared" si="38"/>
        <v>158859613.48096263</v>
      </c>
      <c r="Q251" s="24">
        <f t="shared" si="38"/>
        <v>156410998.47589552</v>
      </c>
      <c r="R251" s="24">
        <f t="shared" si="38"/>
        <v>152884608.65728733</v>
      </c>
      <c r="S251" s="24">
        <f t="shared" si="38"/>
        <v>100438749.8800187</v>
      </c>
      <c r="T251" s="24">
        <f t="shared" si="38"/>
        <v>71449583.63495785</v>
      </c>
      <c r="U251" s="24">
        <f t="shared" si="38"/>
        <v>73293456.580281451</v>
      </c>
      <c r="V251" s="24">
        <f t="shared" si="38"/>
        <v>73101280.406092882</v>
      </c>
      <c r="W251" s="24">
        <f t="shared" si="38"/>
        <v>72463972.831903726</v>
      </c>
      <c r="X251" s="24">
        <f t="shared" si="38"/>
        <v>67663173.88394776</v>
      </c>
      <c r="Y251" s="24">
        <f t="shared" si="38"/>
        <v>68259566.670606643</v>
      </c>
      <c r="Z251" s="24">
        <f t="shared" si="38"/>
        <v>71955385.650588542</v>
      </c>
      <c r="AA251" s="24">
        <f t="shared" si="38"/>
        <v>72426026.041623309</v>
      </c>
      <c r="AB251" s="24">
        <f t="shared" si="38"/>
        <v>68148001.069169462</v>
      </c>
      <c r="AC251" s="24">
        <f t="shared" si="38"/>
        <v>66571616.650144748</v>
      </c>
      <c r="AD251" s="24">
        <f t="shared" si="38"/>
        <v>63798439.253131576</v>
      </c>
      <c r="AE251" s="24">
        <f t="shared" si="38"/>
        <v>63929685.091249987</v>
      </c>
      <c r="AF251" s="24">
        <f t="shared" si="38"/>
        <v>63682652.819499999</v>
      </c>
      <c r="AG251" s="24">
        <f t="shared" si="38"/>
        <v>63523714.605999999</v>
      </c>
      <c r="AH251" s="24">
        <f t="shared" si="38"/>
        <v>63356147.769749992</v>
      </c>
    </row>
    <row r="252" spans="2:34" x14ac:dyDescent="0.3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" thickBot="1" x14ac:dyDescent="0.35">
      <c r="B253" s="7" t="s">
        <v>156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24" customFormat="1" ht="15" thickBot="1" x14ac:dyDescent="0.35">
      <c r="B254" s="23" t="s">
        <v>21</v>
      </c>
      <c r="D254" s="25">
        <f t="shared" ref="D254:AH254" si="41">D214</f>
        <v>4569986.5263157897</v>
      </c>
      <c r="E254" s="25">
        <f t="shared" si="41"/>
        <v>2613786.0340789473</v>
      </c>
      <c r="F254" s="25">
        <f t="shared" si="41"/>
        <v>2314794.7413157895</v>
      </c>
      <c r="G254" s="25">
        <f t="shared" si="41"/>
        <v>4993056.5542105269</v>
      </c>
      <c r="H254" s="25">
        <f t="shared" si="41"/>
        <v>6731549.5777631579</v>
      </c>
      <c r="I254" s="25">
        <f t="shared" si="41"/>
        <v>5829500.5882894741</v>
      </c>
      <c r="J254" s="25">
        <f t="shared" si="41"/>
        <v>2388879.1685526315</v>
      </c>
      <c r="K254" s="25">
        <f t="shared" si="41"/>
        <v>2682333.9976315787</v>
      </c>
      <c r="L254" s="25">
        <f t="shared" si="41"/>
        <v>5503855.038947368</v>
      </c>
      <c r="M254" s="25">
        <f t="shared" si="41"/>
        <v>6149962.5543421051</v>
      </c>
      <c r="N254" s="25">
        <f t="shared" si="41"/>
        <v>2755123.0750000002</v>
      </c>
      <c r="O254" s="25">
        <f t="shared" si="41"/>
        <v>3016433.5149999997</v>
      </c>
      <c r="P254" s="25">
        <f t="shared" si="41"/>
        <v>2770511.5999999996</v>
      </c>
      <c r="Q254" s="25">
        <f t="shared" si="41"/>
        <v>2616817.8899999997</v>
      </c>
      <c r="R254" s="25">
        <f t="shared" si="41"/>
        <v>0</v>
      </c>
      <c r="S254" s="25">
        <f t="shared" si="41"/>
        <v>0</v>
      </c>
      <c r="T254" s="25">
        <f t="shared" si="41"/>
        <v>0</v>
      </c>
      <c r="U254" s="25">
        <f t="shared" si="41"/>
        <v>0</v>
      </c>
      <c r="V254" s="25">
        <f t="shared" si="41"/>
        <v>0</v>
      </c>
      <c r="W254" s="25">
        <f t="shared" si="41"/>
        <v>2577182.4</v>
      </c>
      <c r="X254" s="25">
        <f t="shared" si="41"/>
        <v>2545600.65</v>
      </c>
      <c r="Y254" s="25">
        <f t="shared" si="41"/>
        <v>5826576.9305263162</v>
      </c>
      <c r="Z254" s="25">
        <f t="shared" si="41"/>
        <v>5816636.375</v>
      </c>
      <c r="AA254" s="25">
        <f t="shared" si="41"/>
        <v>5854584.8755263165</v>
      </c>
      <c r="AB254" s="25">
        <f t="shared" si="41"/>
        <v>5896821.9957894739</v>
      </c>
      <c r="AC254" s="25">
        <f t="shared" si="41"/>
        <v>5926170.5989473686</v>
      </c>
      <c r="AD254" s="25">
        <f t="shared" si="41"/>
        <v>5954082.8915789481</v>
      </c>
      <c r="AE254" s="25">
        <f t="shared" si="41"/>
        <v>5991783.4488157891</v>
      </c>
      <c r="AF254" s="25">
        <f t="shared" si="41"/>
        <v>6035049.5778947361</v>
      </c>
      <c r="AG254" s="25">
        <f t="shared" si="41"/>
        <v>6086680.1910526324</v>
      </c>
      <c r="AH254" s="25">
        <f t="shared" si="41"/>
        <v>6145863.4007894751</v>
      </c>
    </row>
    <row r="255" spans="2:34" ht="15" thickBot="1" x14ac:dyDescent="0.35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24" customFormat="1" ht="15" thickBot="1" x14ac:dyDescent="0.35">
      <c r="B256" s="23" t="s">
        <v>16</v>
      </c>
      <c r="D256" s="24">
        <f t="shared" ref="D256:AH256" si="43">$C225*D215</f>
        <v>6158222.6619736841</v>
      </c>
      <c r="E256" s="24">
        <f t="shared" si="43"/>
        <v>12453410.210276315</v>
      </c>
      <c r="F256" s="24">
        <f t="shared" si="43"/>
        <v>23916405.311815791</v>
      </c>
      <c r="G256" s="24">
        <f t="shared" si="43"/>
        <v>25689493.923934214</v>
      </c>
      <c r="H256" s="24">
        <f t="shared" si="43"/>
        <v>37745305.151342094</v>
      </c>
      <c r="I256" s="24">
        <f t="shared" si="43"/>
        <v>48831078.884934209</v>
      </c>
      <c r="J256" s="24">
        <f t="shared" si="43"/>
        <v>54085300.185342111</v>
      </c>
      <c r="K256" s="24">
        <f t="shared" si="43"/>
        <v>67496577.863144726</v>
      </c>
      <c r="L256" s="24">
        <f t="shared" si="43"/>
        <v>75088805.02243422</v>
      </c>
      <c r="M256" s="24">
        <f t="shared" si="43"/>
        <v>134065428.34748685</v>
      </c>
      <c r="N256" s="24">
        <f t="shared" si="43"/>
        <v>136106626.44473246</v>
      </c>
      <c r="O256" s="24">
        <f t="shared" si="43"/>
        <v>142829656.00082603</v>
      </c>
      <c r="P256" s="24">
        <f t="shared" si="43"/>
        <v>157087421.03855264</v>
      </c>
      <c r="Q256" s="24">
        <f t="shared" si="43"/>
        <v>166351402.07810089</v>
      </c>
      <c r="R256" s="24">
        <f t="shared" si="43"/>
        <v>193042386.40974414</v>
      </c>
      <c r="S256" s="24">
        <f t="shared" si="43"/>
        <v>257546661.08006582</v>
      </c>
      <c r="T256" s="24">
        <f t="shared" si="43"/>
        <v>287403962.41421145</v>
      </c>
      <c r="U256" s="24">
        <f t="shared" si="43"/>
        <v>293433303.82753831</v>
      </c>
      <c r="V256" s="24">
        <f t="shared" si="43"/>
        <v>302982825.69309908</v>
      </c>
      <c r="W256" s="24">
        <f t="shared" si="43"/>
        <v>308177821.74668276</v>
      </c>
      <c r="X256" s="24">
        <f t="shared" si="43"/>
        <v>295918253.04801607</v>
      </c>
      <c r="Y256" s="24">
        <f>$C225*Y215</f>
        <v>278060214.63434213</v>
      </c>
      <c r="Z256" s="24">
        <f t="shared" si="43"/>
        <v>303801740.35737705</v>
      </c>
      <c r="AA256" s="24">
        <f t="shared" si="43"/>
        <v>308844966.00231403</v>
      </c>
      <c r="AB256" s="24">
        <f t="shared" si="43"/>
        <v>294634212.94739461</v>
      </c>
      <c r="AC256" s="24">
        <f t="shared" si="43"/>
        <v>294942374.71382898</v>
      </c>
      <c r="AD256" s="24">
        <f t="shared" si="43"/>
        <v>290180150.20963156</v>
      </c>
      <c r="AE256" s="24">
        <f t="shared" si="43"/>
        <v>293525541.60252637</v>
      </c>
      <c r="AF256" s="24">
        <f t="shared" si="43"/>
        <v>290818601.21918428</v>
      </c>
      <c r="AG256" s="24">
        <f t="shared" si="43"/>
        <v>294389398.16839474</v>
      </c>
      <c r="AH256" s="24">
        <f t="shared" si="43"/>
        <v>297626581.2915132</v>
      </c>
    </row>
    <row r="257" spans="2:34" x14ac:dyDescent="0.3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3">
      <c r="B258" s="7" t="s">
        <v>155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3">
      <c r="B259" s="7" t="s">
        <v>156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3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" thickBot="1" x14ac:dyDescent="0.35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27" customFormat="1" ht="15" thickBot="1" x14ac:dyDescent="0.35">
      <c r="B262" s="26" t="s">
        <v>18</v>
      </c>
    </row>
    <row r="263" spans="2:34" ht="15" thickBot="1" x14ac:dyDescent="0.35">
      <c r="B263" s="28"/>
    </row>
    <row r="264" spans="2:34" s="24" customFormat="1" ht="15" thickBot="1" x14ac:dyDescent="0.35">
      <c r="B264" s="23" t="s">
        <v>25</v>
      </c>
      <c r="D264" s="24">
        <f t="shared" ref="D264:AH264" si="49">$C225*D217</f>
        <v>0</v>
      </c>
      <c r="E264" s="24">
        <f t="shared" si="49"/>
        <v>0</v>
      </c>
      <c r="F264" s="24">
        <f t="shared" si="49"/>
        <v>0</v>
      </c>
      <c r="G264" s="24">
        <f t="shared" si="49"/>
        <v>0</v>
      </c>
      <c r="H264" s="24">
        <f t="shared" si="49"/>
        <v>0</v>
      </c>
      <c r="I264" s="24">
        <f t="shared" si="49"/>
        <v>0</v>
      </c>
      <c r="J264" s="24">
        <f t="shared" si="49"/>
        <v>592425.67999999993</v>
      </c>
      <c r="K264" s="24">
        <f t="shared" si="49"/>
        <v>629461.44799999997</v>
      </c>
      <c r="L264" s="24">
        <f t="shared" si="49"/>
        <v>1720459.4825000004</v>
      </c>
      <c r="M264" s="24">
        <f t="shared" si="49"/>
        <v>1982664.8297499998</v>
      </c>
      <c r="N264" s="24">
        <f t="shared" si="49"/>
        <v>1755958.9850000003</v>
      </c>
      <c r="O264" s="24">
        <f t="shared" si="49"/>
        <v>1575423.4924999999</v>
      </c>
      <c r="P264" s="24">
        <f t="shared" si="49"/>
        <v>1312526.996</v>
      </c>
      <c r="Q264" s="24">
        <f t="shared" si="49"/>
        <v>1156925.0373421051</v>
      </c>
      <c r="R264" s="24">
        <f t="shared" si="49"/>
        <v>921980.11191337719</v>
      </c>
      <c r="S264" s="24">
        <f t="shared" si="49"/>
        <v>15548199.954756754</v>
      </c>
      <c r="T264" s="24">
        <f t="shared" si="49"/>
        <v>50116308.227560356</v>
      </c>
      <c r="U264" s="24">
        <f t="shared" si="49"/>
        <v>56835411.427591875</v>
      </c>
      <c r="V264" s="24">
        <f t="shared" si="49"/>
        <v>71562172.852060661</v>
      </c>
      <c r="W264" s="24">
        <f t="shared" si="49"/>
        <v>90281596.793742657</v>
      </c>
      <c r="X264" s="24">
        <f t="shared" si="49"/>
        <v>87843336.109295309</v>
      </c>
      <c r="Y264" s="24">
        <f t="shared" si="49"/>
        <v>92156951.532235399</v>
      </c>
      <c r="Z264" s="24">
        <f t="shared" si="49"/>
        <v>123102063.86598659</v>
      </c>
      <c r="AA264" s="24">
        <f t="shared" si="49"/>
        <v>143900083.9556033</v>
      </c>
      <c r="AB264" s="24">
        <f t="shared" si="49"/>
        <v>143351345.04634282</v>
      </c>
      <c r="AC264" s="24">
        <f t="shared" si="49"/>
        <v>143100762.34842792</v>
      </c>
      <c r="AD264" s="24">
        <f t="shared" si="49"/>
        <v>141013145.87288186</v>
      </c>
      <c r="AE264" s="24">
        <f t="shared" si="49"/>
        <v>143591479.97921395</v>
      </c>
      <c r="AF264" s="24">
        <f t="shared" si="49"/>
        <v>141367873.41087139</v>
      </c>
      <c r="AG264" s="24">
        <f t="shared" si="49"/>
        <v>143888005.36557484</v>
      </c>
      <c r="AH264" s="24">
        <f t="shared" si="49"/>
        <v>146251573.40648168</v>
      </c>
    </row>
    <row r="265" spans="2:34" x14ac:dyDescent="0.3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3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3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" thickBot="1" x14ac:dyDescent="0.35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24" customFormat="1" ht="15" thickBot="1" x14ac:dyDescent="0.35">
      <c r="B269" s="23" t="s">
        <v>23</v>
      </c>
      <c r="D269" s="24">
        <f t="shared" ref="D269:AD269" si="54">$C226*D218</f>
        <v>0</v>
      </c>
      <c r="E269" s="24">
        <f t="shared" si="54"/>
        <v>0</v>
      </c>
      <c r="F269" s="24">
        <f t="shared" si="54"/>
        <v>0</v>
      </c>
      <c r="G269" s="24">
        <f t="shared" si="54"/>
        <v>0</v>
      </c>
      <c r="H269" s="24">
        <f t="shared" si="54"/>
        <v>0</v>
      </c>
      <c r="I269" s="24">
        <f t="shared" si="54"/>
        <v>0</v>
      </c>
      <c r="J269" s="24">
        <f t="shared" si="54"/>
        <v>0</v>
      </c>
      <c r="K269" s="24">
        <f t="shared" si="54"/>
        <v>0</v>
      </c>
      <c r="L269" s="24">
        <f t="shared" si="54"/>
        <v>0</v>
      </c>
      <c r="M269" s="24">
        <f t="shared" si="54"/>
        <v>0</v>
      </c>
      <c r="N269" s="24">
        <f t="shared" si="54"/>
        <v>0</v>
      </c>
      <c r="O269" s="24">
        <f t="shared" si="54"/>
        <v>0</v>
      </c>
      <c r="P269" s="24">
        <f t="shared" si="54"/>
        <v>0</v>
      </c>
      <c r="Q269" s="24">
        <f t="shared" si="54"/>
        <v>0</v>
      </c>
      <c r="R269" s="24">
        <f t="shared" si="54"/>
        <v>0</v>
      </c>
      <c r="S269" s="24">
        <f t="shared" si="54"/>
        <v>0</v>
      </c>
      <c r="T269" s="24">
        <f t="shared" si="54"/>
        <v>288789165.2713502</v>
      </c>
      <c r="U269" s="24">
        <f t="shared" si="54"/>
        <v>413172887.01000875</v>
      </c>
      <c r="V269" s="24">
        <f t="shared" si="54"/>
        <v>410003657.12216377</v>
      </c>
      <c r="W269" s="24">
        <f t="shared" si="54"/>
        <v>417436366.80762458</v>
      </c>
      <c r="X269" s="24">
        <f t="shared" si="54"/>
        <v>401241154.03786778</v>
      </c>
      <c r="Y269" s="24">
        <f>$C226*Y218</f>
        <v>394562665.8401103</v>
      </c>
      <c r="Z269" s="24">
        <f t="shared" si="54"/>
        <v>423244183.59993792</v>
      </c>
      <c r="AA269" s="24">
        <f t="shared" si="54"/>
        <v>430032156.14306992</v>
      </c>
      <c r="AB269" s="24">
        <f t="shared" si="54"/>
        <v>414082770.96558297</v>
      </c>
      <c r="AC269" s="24">
        <f t="shared" si="54"/>
        <v>415234701.58905321</v>
      </c>
      <c r="AD269" s="24">
        <f t="shared" si="54"/>
        <v>399623580.7166121</v>
      </c>
      <c r="AE269" s="24">
        <f>AVERAGE(AC269:AD269)</f>
        <v>407429141.15283263</v>
      </c>
      <c r="AF269" s="24">
        <f t="shared" ref="AF269:AH269" si="55">AVERAGE(AD269:AE269)</f>
        <v>403526360.93472236</v>
      </c>
      <c r="AG269" s="24">
        <f t="shared" si="55"/>
        <v>405477751.04377747</v>
      </c>
      <c r="AH269" s="24">
        <f t="shared" si="55"/>
        <v>404502055.98924994</v>
      </c>
    </row>
    <row r="270" spans="2:34" x14ac:dyDescent="0.3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3">
      <c r="B271" s="13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3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3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3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3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3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" thickBot="1" x14ac:dyDescent="0.35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24" customFormat="1" ht="15" thickBot="1" x14ac:dyDescent="0.35">
      <c r="B278" s="23" t="s">
        <v>130</v>
      </c>
      <c r="D278" s="24">
        <f>$C226*D219</f>
        <v>0</v>
      </c>
      <c r="E278" s="24">
        <f t="shared" ref="E278:AH278" si="64">$C226*E219</f>
        <v>0</v>
      </c>
      <c r="F278" s="24">
        <f t="shared" si="64"/>
        <v>0</v>
      </c>
      <c r="G278" s="24">
        <f t="shared" si="64"/>
        <v>0</v>
      </c>
      <c r="H278" s="24">
        <f t="shared" si="64"/>
        <v>0</v>
      </c>
      <c r="I278" s="24">
        <f t="shared" si="64"/>
        <v>0</v>
      </c>
      <c r="J278" s="24">
        <f t="shared" si="64"/>
        <v>0</v>
      </c>
      <c r="K278" s="24">
        <f t="shared" si="64"/>
        <v>0</v>
      </c>
      <c r="L278" s="24">
        <f t="shared" si="64"/>
        <v>8492.9684210526339</v>
      </c>
      <c r="M278" s="24">
        <f t="shared" si="64"/>
        <v>13529.605894736844</v>
      </c>
      <c r="N278" s="24">
        <f t="shared" si="64"/>
        <v>6307.051973310884</v>
      </c>
      <c r="O278" s="24">
        <f t="shared" si="64"/>
        <v>13785.83154327792</v>
      </c>
      <c r="P278" s="24">
        <f t="shared" si="64"/>
        <v>54753.650945065521</v>
      </c>
      <c r="Q278" s="24">
        <f t="shared" si="64"/>
        <v>163206.84247285913</v>
      </c>
      <c r="R278" s="24">
        <f t="shared" si="64"/>
        <v>314932.11507194396</v>
      </c>
      <c r="S278" s="24">
        <f t="shared" si="64"/>
        <v>463188.16864553868</v>
      </c>
      <c r="T278" s="24">
        <f t="shared" si="64"/>
        <v>1391091.5439465046</v>
      </c>
      <c r="U278" s="24">
        <f t="shared" si="64"/>
        <v>2239020.75506764</v>
      </c>
      <c r="V278" s="24">
        <f t="shared" si="64"/>
        <v>6263745.028251281</v>
      </c>
      <c r="W278" s="24">
        <f t="shared" si="64"/>
        <v>9248364.4510664716</v>
      </c>
      <c r="X278" s="24">
        <f t="shared" si="64"/>
        <v>10810783.66698347</v>
      </c>
      <c r="Y278" s="24">
        <f t="shared" si="64"/>
        <v>17089388.749203499</v>
      </c>
      <c r="Z278" s="24">
        <f t="shared" si="64"/>
        <v>16901851.376106206</v>
      </c>
      <c r="AA278" s="24">
        <f t="shared" si="64"/>
        <v>24713978.951873932</v>
      </c>
      <c r="AB278" s="24">
        <f t="shared" si="64"/>
        <v>65564538.652931139</v>
      </c>
      <c r="AC278" s="24">
        <f t="shared" si="64"/>
        <v>83403544.681806788</v>
      </c>
      <c r="AD278" s="24">
        <f t="shared" si="64"/>
        <v>58233396.360563003</v>
      </c>
      <c r="AE278" s="24">
        <f t="shared" si="64"/>
        <v>38013277.207676649</v>
      </c>
      <c r="AF278" s="24">
        <f t="shared" si="64"/>
        <v>38131590.777497351</v>
      </c>
      <c r="AG278" s="24">
        <f t="shared" si="64"/>
        <v>30357420.180054598</v>
      </c>
      <c r="AH278" s="24">
        <f t="shared" si="64"/>
        <v>31534690.498127222</v>
      </c>
    </row>
    <row r="279" spans="2:34" x14ac:dyDescent="0.3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3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3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" thickBot="1" x14ac:dyDescent="0.35">
      <c r="B282" s="17" t="s">
        <v>143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24" customFormat="1" ht="15" thickBot="1" x14ac:dyDescent="0.35">
      <c r="B283" s="23" t="s">
        <v>132</v>
      </c>
      <c r="D283" s="24">
        <f t="shared" ref="D283:AH283" si="69">$C225*D220</f>
        <v>22977633.269298248</v>
      </c>
      <c r="E283" s="24">
        <f t="shared" si="69"/>
        <v>25790697.107324563</v>
      </c>
      <c r="F283" s="24">
        <f t="shared" si="69"/>
        <v>74528478.938209474</v>
      </c>
      <c r="G283" s="24">
        <f t="shared" si="69"/>
        <v>82305659.564322919</v>
      </c>
      <c r="H283" s="24">
        <f t="shared" si="69"/>
        <v>90372067.772089839</v>
      </c>
      <c r="I283" s="24">
        <f t="shared" si="69"/>
        <v>94290261.488411486</v>
      </c>
      <c r="J283" s="24">
        <f t="shared" si="69"/>
        <v>92281643.198060125</v>
      </c>
      <c r="K283" s="24">
        <f t="shared" si="69"/>
        <v>94477398.424237266</v>
      </c>
      <c r="L283" s="24">
        <f t="shared" si="69"/>
        <v>113108184.34837635</v>
      </c>
      <c r="M283" s="24">
        <f t="shared" si="69"/>
        <v>126625327.07085901</v>
      </c>
      <c r="N283" s="24">
        <f t="shared" si="69"/>
        <v>121960080.33810781</v>
      </c>
      <c r="O283" s="24">
        <f t="shared" si="69"/>
        <v>172975627.97461841</v>
      </c>
      <c r="P283" s="24">
        <f t="shared" si="69"/>
        <v>135970414.82088032</v>
      </c>
      <c r="Q283" s="24">
        <f t="shared" si="69"/>
        <v>135432243.90849674</v>
      </c>
      <c r="R283" s="24">
        <f t="shared" si="69"/>
        <v>131673495.1797737</v>
      </c>
      <c r="S283" s="24">
        <f t="shared" si="69"/>
        <v>79698596.504038274</v>
      </c>
      <c r="T283" s="24">
        <f t="shared" si="69"/>
        <v>54602863.874079816</v>
      </c>
      <c r="U283" s="24">
        <f t="shared" si="69"/>
        <v>57270441.237388603</v>
      </c>
      <c r="V283" s="24">
        <f t="shared" si="69"/>
        <v>62588800.720532462</v>
      </c>
      <c r="W283" s="24">
        <f t="shared" si="69"/>
        <v>65887652.718449421</v>
      </c>
      <c r="X283" s="24">
        <f t="shared" si="69"/>
        <v>66301088.320557907</v>
      </c>
      <c r="Y283" s="24">
        <f t="shared" si="69"/>
        <v>65452807.358494878</v>
      </c>
      <c r="Z283" s="24">
        <f t="shared" si="69"/>
        <v>73507231.928842098</v>
      </c>
      <c r="AA283" s="24">
        <f t="shared" si="69"/>
        <v>78044591.712610826</v>
      </c>
      <c r="AB283" s="24">
        <f t="shared" si="69"/>
        <v>73530740.276428953</v>
      </c>
      <c r="AC283" s="24">
        <f t="shared" si="69"/>
        <v>72650734.809197366</v>
      </c>
      <c r="AD283" s="24">
        <f t="shared" si="69"/>
        <v>70781675.329460517</v>
      </c>
      <c r="AE283" s="24">
        <f t="shared" si="69"/>
        <v>71699191.767065793</v>
      </c>
      <c r="AF283" s="24">
        <f t="shared" si="69"/>
        <v>70201955.95860526</v>
      </c>
      <c r="AG283" s="24">
        <f t="shared" si="69"/>
        <v>71047043.627855256</v>
      </c>
      <c r="AH283" s="24">
        <f t="shared" si="69"/>
        <v>71451386.809868425</v>
      </c>
    </row>
    <row r="284" spans="2:34" x14ac:dyDescent="0.3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" thickBot="1" x14ac:dyDescent="0.35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24" customFormat="1" ht="15" thickBot="1" x14ac:dyDescent="0.35">
      <c r="B286" s="23" t="s">
        <v>37</v>
      </c>
      <c r="D286" s="25">
        <f t="shared" ref="D286:AD286" si="72">D221</f>
        <v>804259.78947368416</v>
      </c>
      <c r="E286" s="25">
        <f t="shared" si="72"/>
        <v>814409.56736842101</v>
      </c>
      <c r="F286" s="25">
        <f t="shared" si="72"/>
        <v>791281.72789473692</v>
      </c>
      <c r="G286" s="25">
        <f t="shared" si="72"/>
        <v>745679.86605263175</v>
      </c>
      <c r="H286" s="25">
        <f t="shared" si="72"/>
        <v>797608.27776315797</v>
      </c>
      <c r="I286" s="25">
        <f t="shared" si="72"/>
        <v>793505.3601315791</v>
      </c>
      <c r="J286" s="25">
        <f t="shared" si="72"/>
        <v>807322.46184210526</v>
      </c>
      <c r="K286" s="25">
        <f t="shared" si="72"/>
        <v>15497985.037631581</v>
      </c>
      <c r="L286" s="25">
        <f t="shared" si="72"/>
        <v>23015253.727710523</v>
      </c>
      <c r="M286" s="25">
        <f t="shared" si="72"/>
        <v>29554012.882236842</v>
      </c>
      <c r="N286" s="25">
        <f t="shared" si="72"/>
        <v>28143333.279144734</v>
      </c>
      <c r="O286" s="25">
        <f t="shared" si="72"/>
        <v>27963363.659868423</v>
      </c>
      <c r="P286" s="25">
        <f t="shared" si="72"/>
        <v>287270.77894736844</v>
      </c>
      <c r="Q286" s="25">
        <f t="shared" si="72"/>
        <v>295912.22842105263</v>
      </c>
      <c r="R286" s="25">
        <f t="shared" si="72"/>
        <v>313516.50986842107</v>
      </c>
      <c r="S286" s="25">
        <f t="shared" si="72"/>
        <v>300997.51578947366</v>
      </c>
      <c r="T286" s="25">
        <f t="shared" si="72"/>
        <v>430151.70526315796</v>
      </c>
      <c r="U286" s="25">
        <f t="shared" si="72"/>
        <v>1240330.3978947368</v>
      </c>
      <c r="V286" s="25">
        <f t="shared" si="72"/>
        <v>1797781.6965789474</v>
      </c>
      <c r="W286" s="25">
        <f t="shared" si="72"/>
        <v>1041960.3836842106</v>
      </c>
      <c r="X286" s="25">
        <f t="shared" si="72"/>
        <v>903155.61315789458</v>
      </c>
      <c r="Y286" s="25">
        <f t="shared" si="72"/>
        <v>927637.83394736843</v>
      </c>
      <c r="Z286" s="25">
        <f t="shared" si="72"/>
        <v>777066.97697368416</v>
      </c>
      <c r="AA286" s="25">
        <f t="shared" si="72"/>
        <v>630153.08855263167</v>
      </c>
      <c r="AB286" s="25">
        <f t="shared" si="72"/>
        <v>3543.6963157894734</v>
      </c>
      <c r="AC286" s="25">
        <f t="shared" si="72"/>
        <v>3783.6457894736841</v>
      </c>
      <c r="AD286" s="25">
        <f t="shared" si="72"/>
        <v>4031.9913157894744</v>
      </c>
      <c r="AE286" s="25">
        <f>AVERAGE(AC286:AD286)</f>
        <v>3907.8185526315792</v>
      </c>
      <c r="AF286" s="25">
        <f t="shared" ref="AF286:AH286" si="73">AVERAGE(AD286:AE286)</f>
        <v>3969.9049342105268</v>
      </c>
      <c r="AG286" s="25">
        <f t="shared" si="73"/>
        <v>3938.8617434210528</v>
      </c>
      <c r="AH286" s="25">
        <f t="shared" si="73"/>
        <v>3954.38333881579</v>
      </c>
    </row>
    <row r="287" spans="2:34" x14ac:dyDescent="0.3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3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" thickBot="1" x14ac:dyDescent="0.35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30" customFormat="1" ht="15" thickBot="1" x14ac:dyDescent="0.35">
      <c r="B290" s="29" t="s">
        <v>4</v>
      </c>
      <c r="D290" s="31">
        <f t="shared" ref="D290:AH290" si="77">D222*$C$226</f>
        <v>0</v>
      </c>
      <c r="E290" s="31">
        <f t="shared" si="77"/>
        <v>0</v>
      </c>
      <c r="F290" s="31">
        <f t="shared" si="77"/>
        <v>0</v>
      </c>
      <c r="G290" s="31">
        <f t="shared" si="77"/>
        <v>0</v>
      </c>
      <c r="H290" s="31">
        <f t="shared" si="77"/>
        <v>0</v>
      </c>
      <c r="I290" s="31">
        <f t="shared" si="77"/>
        <v>0</v>
      </c>
      <c r="J290" s="31">
        <f t="shared" si="77"/>
        <v>2726906.2863157899</v>
      </c>
      <c r="K290" s="31">
        <f t="shared" si="77"/>
        <v>6982736.0920578958</v>
      </c>
      <c r="L290" s="31">
        <f t="shared" si="77"/>
        <v>1391270.7722605264</v>
      </c>
      <c r="M290" s="31">
        <f t="shared" si="77"/>
        <v>3906719.7085421062</v>
      </c>
      <c r="N290" s="31">
        <f t="shared" si="77"/>
        <v>3158218.1567605264</v>
      </c>
      <c r="O290" s="31">
        <f t="shared" si="77"/>
        <v>5340618.692857895</v>
      </c>
      <c r="P290" s="31">
        <f t="shared" si="77"/>
        <v>10594160.103236843</v>
      </c>
      <c r="Q290" s="31">
        <f t="shared" si="77"/>
        <v>19111559.236497637</v>
      </c>
      <c r="R290" s="31">
        <f t="shared" si="77"/>
        <v>31627006.773100667</v>
      </c>
      <c r="S290" s="31">
        <f t="shared" si="77"/>
        <v>40047992.528240137</v>
      </c>
      <c r="T290" s="31">
        <f t="shared" si="77"/>
        <v>49807731.391002625</v>
      </c>
      <c r="U290" s="31">
        <f t="shared" si="77"/>
        <v>59998083.181180671</v>
      </c>
      <c r="V290" s="31">
        <f t="shared" si="77"/>
        <v>83783618.322586983</v>
      </c>
      <c r="W290" s="31">
        <f t="shared" si="77"/>
        <v>113873099.70590834</v>
      </c>
      <c r="X290" s="31">
        <f t="shared" si="77"/>
        <v>128035181.23244892</v>
      </c>
      <c r="Y290" s="31">
        <f t="shared" si="77"/>
        <v>128231103.03100766</v>
      </c>
      <c r="Z290" s="31">
        <f t="shared" si="77"/>
        <v>149779874.46255931</v>
      </c>
      <c r="AA290" s="31">
        <f t="shared" si="77"/>
        <v>156376255.86047167</v>
      </c>
      <c r="AB290" s="31">
        <f t="shared" si="77"/>
        <v>167695532.9248164</v>
      </c>
      <c r="AC290" s="31">
        <f t="shared" si="77"/>
        <v>177901458.8585726</v>
      </c>
      <c r="AD290" s="31">
        <f t="shared" si="77"/>
        <v>185087093.96972051</v>
      </c>
      <c r="AE290" s="31">
        <f t="shared" si="77"/>
        <v>188597559.99176079</v>
      </c>
      <c r="AF290" s="31">
        <f t="shared" si="77"/>
        <v>186619995.0985921</v>
      </c>
      <c r="AG290" s="31">
        <f t="shared" si="77"/>
        <v>188645659.03682899</v>
      </c>
      <c r="AH290" s="31">
        <f t="shared" si="77"/>
        <v>190622554.0397763</v>
      </c>
    </row>
    <row r="291" spans="2:34" x14ac:dyDescent="0.3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3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" thickBot="1" x14ac:dyDescent="0.35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30" customFormat="1" ht="15" thickBot="1" x14ac:dyDescent="0.35">
      <c r="B294" s="29" t="s">
        <v>145</v>
      </c>
      <c r="D294" s="31">
        <f t="shared" ref="D294:AH294" si="81">D223*$C$225</f>
        <v>0</v>
      </c>
      <c r="E294" s="31">
        <f t="shared" si="81"/>
        <v>0</v>
      </c>
      <c r="F294" s="31">
        <f t="shared" si="81"/>
        <v>0</v>
      </c>
      <c r="G294" s="31">
        <f t="shared" si="81"/>
        <v>0</v>
      </c>
      <c r="H294" s="31">
        <f t="shared" si="81"/>
        <v>0</v>
      </c>
      <c r="I294" s="31">
        <f t="shared" si="81"/>
        <v>0</v>
      </c>
      <c r="J294" s="31">
        <f t="shared" si="81"/>
        <v>0</v>
      </c>
      <c r="K294" s="31">
        <f t="shared" si="81"/>
        <v>0</v>
      </c>
      <c r="L294" s="31">
        <f t="shared" si="81"/>
        <v>6930.694736842107</v>
      </c>
      <c r="M294" s="31">
        <f t="shared" si="81"/>
        <v>1888576.667915222</v>
      </c>
      <c r="N294" s="31">
        <f t="shared" si="81"/>
        <v>1737490.0510733631</v>
      </c>
      <c r="O294" s="31">
        <f t="shared" si="81"/>
        <v>10260276.193137994</v>
      </c>
      <c r="P294" s="31">
        <f t="shared" si="81"/>
        <v>25462369.960992083</v>
      </c>
      <c r="Q294" s="31">
        <f t="shared" si="81"/>
        <v>45287016.999522917</v>
      </c>
      <c r="R294" s="31">
        <f t="shared" si="81"/>
        <v>72844350.00487785</v>
      </c>
      <c r="S294" s="31">
        <f t="shared" si="81"/>
        <v>98732022.3340431</v>
      </c>
      <c r="T294" s="31">
        <f t="shared" si="81"/>
        <v>118364379.48980543</v>
      </c>
      <c r="U294" s="31">
        <f t="shared" si="81"/>
        <v>140059942.83472636</v>
      </c>
      <c r="V294" s="31">
        <f t="shared" si="81"/>
        <v>150181753.04222625</v>
      </c>
      <c r="W294" s="31">
        <f t="shared" si="81"/>
        <v>160118755.327104</v>
      </c>
      <c r="X294" s="31">
        <f t="shared" si="81"/>
        <v>155993015.96107277</v>
      </c>
      <c r="Y294" s="31">
        <f t="shared" si="81"/>
        <v>176880256.33290988</v>
      </c>
      <c r="Z294" s="31">
        <f t="shared" si="81"/>
        <v>205695706.20549178</v>
      </c>
      <c r="AA294" s="31">
        <f t="shared" si="81"/>
        <v>230082012.48636305</v>
      </c>
      <c r="AB294" s="31">
        <f t="shared" si="81"/>
        <v>226532296.39728108</v>
      </c>
      <c r="AC294" s="31">
        <f t="shared" si="81"/>
        <v>243098535.28306666</v>
      </c>
      <c r="AD294" s="31">
        <f t="shared" si="81"/>
        <v>241017239.88728809</v>
      </c>
      <c r="AE294" s="31">
        <f t="shared" si="81"/>
        <v>244498228.04704562</v>
      </c>
      <c r="AF294" s="31">
        <f t="shared" si="81"/>
        <v>239069128.65535381</v>
      </c>
      <c r="AG294" s="31">
        <f t="shared" si="81"/>
        <v>240641027.85264659</v>
      </c>
      <c r="AH294" s="31">
        <f t="shared" si="81"/>
        <v>242257676.25056997</v>
      </c>
    </row>
    <row r="295" spans="2:34" x14ac:dyDescent="0.3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3">
      <c r="B296" s="7" t="s">
        <v>142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3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3">
      <c r="AD302" s="28"/>
      <c r="AE302" s="28"/>
      <c r="AF302" s="28"/>
      <c r="AG302" s="28"/>
      <c r="AH302" s="28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D55" sqref="D55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2" x14ac:dyDescent="0.3"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</row>
    <row r="2" spans="1:12" x14ac:dyDescent="0.3">
      <c r="A2" s="35" t="s">
        <v>137</v>
      </c>
      <c r="B2" s="36">
        <v>14777182.228013201</v>
      </c>
      <c r="C2" s="36">
        <v>37949221.241086259</v>
      </c>
      <c r="D2" s="36">
        <v>17547795.842103511</v>
      </c>
      <c r="E2" s="36">
        <v>21303104.688398462</v>
      </c>
      <c r="F2" s="36">
        <v>22347712.522483818</v>
      </c>
      <c r="G2" s="36">
        <v>20946969.555763159</v>
      </c>
      <c r="H2" s="36">
        <v>19884769.205236845</v>
      </c>
      <c r="I2" s="36">
        <v>20824130.238903508</v>
      </c>
      <c r="J2" s="36">
        <v>21884645.404903509</v>
      </c>
      <c r="K2" s="36">
        <v>22913488.673833333</v>
      </c>
      <c r="L2" s="44"/>
    </row>
    <row r="3" spans="1:12" x14ac:dyDescent="0.3">
      <c r="A3" s="35" t="s">
        <v>82</v>
      </c>
      <c r="B3" s="36">
        <v>331279149.41895598</v>
      </c>
      <c r="C3" s="36">
        <v>227385022.03396031</v>
      </c>
      <c r="D3" s="36">
        <v>278835990.6812675</v>
      </c>
      <c r="E3" s="36">
        <v>251625699.27542749</v>
      </c>
      <c r="F3" s="36">
        <v>267811068.36687306</v>
      </c>
      <c r="G3" s="36">
        <v>370337279.74940479</v>
      </c>
      <c r="H3" s="36">
        <v>240424168.59249011</v>
      </c>
      <c r="I3" s="36">
        <v>376781790.09281218</v>
      </c>
      <c r="J3" s="36">
        <v>278873915.36341274</v>
      </c>
      <c r="K3" s="36">
        <v>312878955.40801585</v>
      </c>
    </row>
    <row r="4" spans="1:12" x14ac:dyDescent="0.3">
      <c r="A4" s="35" t="s">
        <v>7</v>
      </c>
      <c r="B4" s="36">
        <v>26052155.976207186</v>
      </c>
      <c r="C4" s="36">
        <v>26626398.679317039</v>
      </c>
      <c r="D4" s="36">
        <v>25785425.000522137</v>
      </c>
      <c r="E4" s="36">
        <v>25268100.541441102</v>
      </c>
      <c r="F4" s="36">
        <v>23536241.102126151</v>
      </c>
      <c r="G4" s="36">
        <v>16205415.982412282</v>
      </c>
      <c r="H4" s="36">
        <v>18650429.621702172</v>
      </c>
      <c r="I4" s="36">
        <v>8909629.4530639108</v>
      </c>
      <c r="J4" s="36">
        <v>10718459.86807644</v>
      </c>
      <c r="K4" s="36">
        <v>12977658.734872598</v>
      </c>
    </row>
    <row r="5" spans="1:12" x14ac:dyDescent="0.3">
      <c r="A5" s="37" t="s">
        <v>86</v>
      </c>
      <c r="B5" s="38">
        <v>7180030.7496517412</v>
      </c>
      <c r="C5" s="38">
        <v>6811039.7848258708</v>
      </c>
      <c r="D5" s="38">
        <v>6823077.7507462688</v>
      </c>
      <c r="E5" s="38">
        <v>6836161.7518905476</v>
      </c>
      <c r="F5" s="38">
        <v>2892677.8183333329</v>
      </c>
      <c r="G5" s="38">
        <v>2936861.2</v>
      </c>
      <c r="H5" s="38">
        <v>2979573.415</v>
      </c>
      <c r="I5" s="38">
        <v>3019022.6733333329</v>
      </c>
      <c r="J5" s="38">
        <v>3057248.74</v>
      </c>
      <c r="K5" s="38">
        <v>3089470.1716666664</v>
      </c>
    </row>
    <row r="6" spans="1:12" x14ac:dyDescent="0.3">
      <c r="A6" s="37" t="s">
        <v>84</v>
      </c>
      <c r="B6" s="38">
        <v>243482508.59073868</v>
      </c>
      <c r="C6" s="38">
        <v>265683552.45220169</v>
      </c>
      <c r="D6" s="38">
        <v>267449255.31556958</v>
      </c>
      <c r="E6" s="38">
        <v>252260511.73202878</v>
      </c>
      <c r="F6" s="38">
        <v>254784837.78433856</v>
      </c>
      <c r="G6" s="38">
        <v>252649060.60826117</v>
      </c>
      <c r="H6" s="38">
        <v>255763567.71337724</v>
      </c>
      <c r="I6" s="38">
        <v>253520237.87101316</v>
      </c>
      <c r="J6" s="38">
        <v>257067992.06900519</v>
      </c>
      <c r="K6" s="38">
        <v>259612793.86153063</v>
      </c>
    </row>
    <row r="7" spans="1:12" x14ac:dyDescent="0.3">
      <c r="A7" s="37" t="s">
        <v>73</v>
      </c>
      <c r="B7" s="38">
        <v>6404901.9598684218</v>
      </c>
      <c r="C7" s="38">
        <v>6442339.4954824559</v>
      </c>
      <c r="D7" s="38">
        <v>6541567.8275000006</v>
      </c>
      <c r="E7" s="38">
        <v>6259354.4899561405</v>
      </c>
      <c r="F7" s="38">
        <v>6340104.8614473687</v>
      </c>
      <c r="G7" s="38">
        <v>6418379.5582894739</v>
      </c>
      <c r="H7" s="38">
        <v>6083652.8530263156</v>
      </c>
      <c r="I7" s="38">
        <v>6124954.0212280694</v>
      </c>
      <c r="J7" s="38">
        <v>6177151.9592543859</v>
      </c>
      <c r="K7" s="38">
        <v>6234188.6265789466</v>
      </c>
    </row>
    <row r="8" spans="1:12" x14ac:dyDescent="0.3">
      <c r="A8" s="37" t="s">
        <v>74</v>
      </c>
      <c r="B8" s="38">
        <v>62054151.5187333</v>
      </c>
      <c r="C8" s="38">
        <v>65413986.955080487</v>
      </c>
      <c r="D8" s="38">
        <v>65841841.856021188</v>
      </c>
      <c r="E8" s="38">
        <v>61952728.244699508</v>
      </c>
      <c r="F8" s="38">
        <v>60519651.500131585</v>
      </c>
      <c r="G8" s="38">
        <v>57998581.139210522</v>
      </c>
      <c r="H8" s="38">
        <v>58117895.537499987</v>
      </c>
      <c r="I8" s="38">
        <v>57893320.744999997</v>
      </c>
      <c r="J8" s="38">
        <v>57748831.459999993</v>
      </c>
      <c r="K8" s="38">
        <v>57596497.972499989</v>
      </c>
    </row>
    <row r="9" spans="1:12" x14ac:dyDescent="0.3">
      <c r="A9" s="37" t="s">
        <v>77</v>
      </c>
      <c r="B9" s="38">
        <v>5826576.9305263162</v>
      </c>
      <c r="C9" s="38">
        <v>5816636.375</v>
      </c>
      <c r="D9" s="38">
        <v>5854584.8755263165</v>
      </c>
      <c r="E9" s="38">
        <v>5896821.9957894739</v>
      </c>
      <c r="F9" s="38">
        <v>5926170.5989473686</v>
      </c>
      <c r="G9" s="38">
        <v>5954082.8915789481</v>
      </c>
      <c r="H9" s="38">
        <v>5991783.4488157891</v>
      </c>
      <c r="I9" s="38">
        <v>6035049.5778947361</v>
      </c>
      <c r="J9" s="38">
        <v>6086680.1910526324</v>
      </c>
      <c r="K9" s="38">
        <v>6145863.4007894751</v>
      </c>
    </row>
    <row r="10" spans="1:12" x14ac:dyDescent="0.3">
      <c r="A10" s="37" t="s">
        <v>1</v>
      </c>
      <c r="B10" s="38">
        <v>252782013.30394739</v>
      </c>
      <c r="C10" s="38">
        <v>276183400.32488823</v>
      </c>
      <c r="D10" s="38">
        <v>280768150.91119456</v>
      </c>
      <c r="E10" s="38">
        <v>267849284.49763146</v>
      </c>
      <c r="F10" s="38">
        <v>268129431.55802631</v>
      </c>
      <c r="G10" s="38">
        <v>263800136.55421048</v>
      </c>
      <c r="H10" s="38">
        <v>266841401.45684212</v>
      </c>
      <c r="I10" s="38">
        <v>264380546.56289476</v>
      </c>
      <c r="J10" s="38">
        <v>267626725.60763156</v>
      </c>
      <c r="K10" s="38">
        <v>270569619.35592109</v>
      </c>
    </row>
    <row r="11" spans="1:12" x14ac:dyDescent="0.3">
      <c r="A11" s="39" t="s">
        <v>140</v>
      </c>
      <c r="B11" s="38">
        <v>0</v>
      </c>
      <c r="C11" s="38">
        <v>0</v>
      </c>
      <c r="D11" s="38">
        <v>0</v>
      </c>
      <c r="E11" s="38">
        <v>278213.56657894736</v>
      </c>
      <c r="F11" s="38">
        <v>280005.61210526316</v>
      </c>
      <c r="G11" s="38">
        <v>283015.81947368424</v>
      </c>
      <c r="H11" s="38">
        <v>286417.42355263163</v>
      </c>
      <c r="I11" s="38">
        <v>0</v>
      </c>
      <c r="J11" s="38">
        <v>0</v>
      </c>
      <c r="K11" s="38">
        <v>0</v>
      </c>
    </row>
    <row r="12" spans="1:12" x14ac:dyDescent="0.3">
      <c r="A12" s="39" t="s">
        <v>79</v>
      </c>
      <c r="B12" s="38">
        <v>83779046.847486719</v>
      </c>
      <c r="C12" s="38">
        <v>111910967.15089689</v>
      </c>
      <c r="D12" s="38">
        <v>130818258.14145753</v>
      </c>
      <c r="E12" s="38">
        <v>130319404.58758436</v>
      </c>
      <c r="F12" s="38">
        <v>130091602.13493446</v>
      </c>
      <c r="G12" s="38">
        <v>128193768.97534713</v>
      </c>
      <c r="H12" s="38">
        <v>130537709.07201266</v>
      </c>
      <c r="I12" s="38">
        <v>128516248.55533761</v>
      </c>
      <c r="J12" s="38">
        <v>130807277.60506803</v>
      </c>
      <c r="K12" s="38">
        <v>132955975.82407425</v>
      </c>
    </row>
    <row r="13" spans="1:12" x14ac:dyDescent="0.3">
      <c r="A13" s="39" t="s">
        <v>158</v>
      </c>
      <c r="B13" s="38">
        <v>438402962.04456699</v>
      </c>
      <c r="C13" s="38">
        <v>470271315.11104214</v>
      </c>
      <c r="D13" s="38">
        <v>477813506.82563323</v>
      </c>
      <c r="E13" s="38">
        <v>460091967.73953664</v>
      </c>
      <c r="F13" s="38">
        <v>461371890.65450358</v>
      </c>
      <c r="G13" s="38">
        <v>444026200.79623568</v>
      </c>
      <c r="H13" s="38">
        <v>0</v>
      </c>
      <c r="I13" s="38">
        <v>0</v>
      </c>
      <c r="J13" s="38">
        <v>0</v>
      </c>
      <c r="K13" s="38">
        <v>0</v>
      </c>
    </row>
    <row r="14" spans="1:12" x14ac:dyDescent="0.3">
      <c r="A14" s="40" t="s">
        <v>5</v>
      </c>
      <c r="B14" s="41">
        <v>18988209.721337222</v>
      </c>
      <c r="C14" s="41">
        <v>18779834.86234023</v>
      </c>
      <c r="D14" s="41">
        <v>27459976.613193259</v>
      </c>
      <c r="E14" s="41">
        <v>72849487.392145708</v>
      </c>
      <c r="F14" s="41">
        <v>92670605.202007547</v>
      </c>
      <c r="G14" s="41">
        <v>64703773.733958893</v>
      </c>
      <c r="H14" s="41">
        <v>42236974.675196275</v>
      </c>
      <c r="I14" s="41">
        <v>42368434.197219275</v>
      </c>
      <c r="J14" s="41">
        <v>33730466.86672733</v>
      </c>
      <c r="K14" s="41">
        <v>35038544.997919135</v>
      </c>
    </row>
    <row r="15" spans="1:12" x14ac:dyDescent="0.3">
      <c r="A15" s="39" t="s">
        <v>78</v>
      </c>
      <c r="B15" s="38">
        <v>59502552.144086249</v>
      </c>
      <c r="C15" s="38">
        <v>66824756.298947357</v>
      </c>
      <c r="D15" s="38">
        <v>70949628.8296462</v>
      </c>
      <c r="E15" s="38">
        <v>66846127.524026312</v>
      </c>
      <c r="F15" s="38">
        <v>66046122.553815782</v>
      </c>
      <c r="G15" s="38">
        <v>64346977.572236829</v>
      </c>
      <c r="H15" s="38">
        <v>65181083.424605265</v>
      </c>
      <c r="I15" s="38">
        <v>63819959.962368414</v>
      </c>
      <c r="J15" s="38">
        <v>64588221.479868405</v>
      </c>
      <c r="K15" s="38">
        <v>64955806.190789476</v>
      </c>
    </row>
    <row r="16" spans="1:12" x14ac:dyDescent="0.3">
      <c r="A16" s="39" t="s">
        <v>105</v>
      </c>
      <c r="B16" s="38">
        <v>927637.83394736843</v>
      </c>
      <c r="C16" s="38">
        <v>777066.97697368416</v>
      </c>
      <c r="D16" s="38">
        <v>630153.08855263167</v>
      </c>
      <c r="E16" s="38">
        <v>3543.6963157894734</v>
      </c>
      <c r="F16" s="38">
        <v>3783.6457894736841</v>
      </c>
      <c r="G16" s="38">
        <v>4031.9913157894744</v>
      </c>
      <c r="H16" s="38">
        <v>0</v>
      </c>
      <c r="I16" s="38">
        <v>0</v>
      </c>
      <c r="J16" s="38">
        <v>0</v>
      </c>
      <c r="K16" s="38">
        <v>0</v>
      </c>
    </row>
    <row r="17" spans="1:12" x14ac:dyDescent="0.3">
      <c r="A17" s="40" t="s">
        <v>144</v>
      </c>
      <c r="B17" s="41">
        <v>142479003.36778629</v>
      </c>
      <c r="C17" s="41">
        <v>166422082.736177</v>
      </c>
      <c r="D17" s="41">
        <v>173751395.40052408</v>
      </c>
      <c r="E17" s="41">
        <v>186328369.91646266</v>
      </c>
      <c r="F17" s="41">
        <v>197668287.62063622</v>
      </c>
      <c r="G17" s="41">
        <v>205652326.63302279</v>
      </c>
      <c r="H17" s="41">
        <v>209552844.43528977</v>
      </c>
      <c r="I17" s="41">
        <v>207355550.10954678</v>
      </c>
      <c r="J17" s="41">
        <v>209606287.81869888</v>
      </c>
      <c r="K17" s="41">
        <v>211802837.82197365</v>
      </c>
    </row>
    <row r="18" spans="1:12" x14ac:dyDescent="0.3">
      <c r="A18" s="40" t="s">
        <v>6</v>
      </c>
      <c r="B18" s="41">
        <v>160800233.02991807</v>
      </c>
      <c r="C18" s="41">
        <v>186996096.55044705</v>
      </c>
      <c r="D18" s="41">
        <v>209165465.89669368</v>
      </c>
      <c r="E18" s="41">
        <v>205938451.27025551</v>
      </c>
      <c r="F18" s="41">
        <v>220998668.43915194</v>
      </c>
      <c r="G18" s="41">
        <v>219106581.71571612</v>
      </c>
      <c r="H18" s="41">
        <v>222271116.40640509</v>
      </c>
      <c r="I18" s="41">
        <v>217335571.50486726</v>
      </c>
      <c r="J18" s="41">
        <v>218764570.77513307</v>
      </c>
      <c r="K18" s="41">
        <v>220234251.13688153</v>
      </c>
      <c r="L18" s="46"/>
    </row>
    <row r="20" spans="1:12" x14ac:dyDescent="0.3">
      <c r="B20" s="32">
        <v>1</v>
      </c>
      <c r="C20" s="32">
        <v>2</v>
      </c>
      <c r="D20" s="32">
        <v>3</v>
      </c>
      <c r="E20" s="32">
        <v>4</v>
      </c>
      <c r="F20" s="32">
        <v>5</v>
      </c>
      <c r="G20" s="32">
        <v>6</v>
      </c>
      <c r="H20" s="32">
        <v>7</v>
      </c>
      <c r="I20" s="32">
        <v>8</v>
      </c>
      <c r="J20" s="32">
        <v>9</v>
      </c>
      <c r="K20" s="32">
        <v>10</v>
      </c>
    </row>
    <row r="21" spans="1:12" x14ac:dyDescent="0.3">
      <c r="A21" s="35" t="s">
        <v>34</v>
      </c>
      <c r="B21" s="44">
        <f>+B2+B3+B4</f>
        <v>372108487.6231764</v>
      </c>
      <c r="C21" s="44">
        <f t="shared" ref="C21:K21" si="0">+C2+C3+C4</f>
        <v>291960641.95436364</v>
      </c>
      <c r="D21" s="44">
        <f t="shared" si="0"/>
        <v>322169211.52389312</v>
      </c>
      <c r="E21" s="44">
        <f t="shared" si="0"/>
        <v>298196904.50526702</v>
      </c>
      <c r="F21" s="44">
        <f t="shared" si="0"/>
        <v>313695021.99148297</v>
      </c>
      <c r="G21" s="44">
        <f t="shared" si="0"/>
        <v>407489665.28758025</v>
      </c>
      <c r="H21" s="44">
        <f t="shared" si="0"/>
        <v>278959367.41942912</v>
      </c>
      <c r="I21" s="44">
        <f t="shared" si="0"/>
        <v>406515549.78477961</v>
      </c>
      <c r="J21" s="44">
        <f t="shared" si="0"/>
        <v>311477020.63639271</v>
      </c>
      <c r="K21" s="44">
        <f t="shared" si="0"/>
        <v>348770102.81672174</v>
      </c>
    </row>
    <row r="22" spans="1:12" x14ac:dyDescent="0.3">
      <c r="A22" s="35" t="s">
        <v>119</v>
      </c>
      <c r="B22" s="44">
        <f>+B4</f>
        <v>26052155.976207186</v>
      </c>
      <c r="C22" s="44">
        <f t="shared" ref="C22:K22" si="1">+C4</f>
        <v>26626398.679317039</v>
      </c>
      <c r="D22" s="44">
        <f t="shared" si="1"/>
        <v>25785425.000522137</v>
      </c>
      <c r="E22" s="44">
        <f t="shared" si="1"/>
        <v>25268100.541441102</v>
      </c>
      <c r="F22" s="44">
        <f t="shared" si="1"/>
        <v>23536241.102126151</v>
      </c>
      <c r="G22" s="44">
        <f t="shared" si="1"/>
        <v>16205415.982412282</v>
      </c>
      <c r="H22" s="44">
        <f t="shared" si="1"/>
        <v>18650429.621702172</v>
      </c>
      <c r="I22" s="44">
        <f t="shared" si="1"/>
        <v>8909629.4530639108</v>
      </c>
      <c r="J22" s="44">
        <f t="shared" si="1"/>
        <v>10718459.86807644</v>
      </c>
      <c r="K22" s="44">
        <f t="shared" si="1"/>
        <v>12977658.734872598</v>
      </c>
    </row>
    <row r="23" spans="1:12" x14ac:dyDescent="0.3">
      <c r="A23" s="35" t="s">
        <v>121</v>
      </c>
      <c r="B23" s="44">
        <f>+B3+B4</f>
        <v>357331305.39516318</v>
      </c>
      <c r="C23" s="44">
        <f t="shared" ref="C23:K23" si="2">+C3+C4</f>
        <v>254011420.71327734</v>
      </c>
      <c r="D23" s="44">
        <f t="shared" si="2"/>
        <v>304621415.68178964</v>
      </c>
      <c r="E23" s="44">
        <f t="shared" si="2"/>
        <v>276893799.8168686</v>
      </c>
      <c r="F23" s="44">
        <f t="shared" si="2"/>
        <v>291347309.46899921</v>
      </c>
      <c r="G23" s="44">
        <f t="shared" si="2"/>
        <v>386542695.73181707</v>
      </c>
      <c r="H23" s="44">
        <f t="shared" si="2"/>
        <v>259074598.21419227</v>
      </c>
      <c r="I23" s="44">
        <f t="shared" si="2"/>
        <v>385691419.54587609</v>
      </c>
      <c r="J23" s="44">
        <f t="shared" si="2"/>
        <v>289592375.23148918</v>
      </c>
      <c r="K23" s="44">
        <f t="shared" si="2"/>
        <v>325856614.14288843</v>
      </c>
    </row>
    <row r="24" spans="1:12" x14ac:dyDescent="0.3">
      <c r="A24" s="37" t="s">
        <v>95</v>
      </c>
      <c r="B24" s="43">
        <f>+B6+B7+B8+B9+B10+B11</f>
        <v>570550152.30381417</v>
      </c>
      <c r="C24" s="43">
        <f t="shared" ref="C24:K24" si="3">+C6+C7+C8+C9+C10+C11</f>
        <v>619539915.60265291</v>
      </c>
      <c r="D24" s="43">
        <f t="shared" si="3"/>
        <v>626455400.78581166</v>
      </c>
      <c r="E24" s="43">
        <f t="shared" si="3"/>
        <v>594496914.5266844</v>
      </c>
      <c r="F24" s="43">
        <f t="shared" si="3"/>
        <v>595980201.9149965</v>
      </c>
      <c r="G24" s="43">
        <f t="shared" si="3"/>
        <v>587103256.57102442</v>
      </c>
      <c r="H24" s="43">
        <f t="shared" si="3"/>
        <v>593084718.43311405</v>
      </c>
      <c r="I24" s="43">
        <f t="shared" si="3"/>
        <v>587954108.77803075</v>
      </c>
      <c r="J24" s="43">
        <f t="shared" si="3"/>
        <v>594707381.28694367</v>
      </c>
      <c r="K24" s="43">
        <f t="shared" si="3"/>
        <v>600158963.2173202</v>
      </c>
    </row>
    <row r="25" spans="1:12" x14ac:dyDescent="0.3">
      <c r="A25" s="37" t="s">
        <v>8</v>
      </c>
      <c r="B25" s="43">
        <f>+B5+B6+B7+B8+B9+B10+B11</f>
        <v>577730183.05346584</v>
      </c>
      <c r="C25" s="43">
        <f t="shared" ref="C25:K25" si="4">+C5+C6+C7+C8+C9+C10+C11</f>
        <v>626350955.38747883</v>
      </c>
      <c r="D25" s="43">
        <f t="shared" si="4"/>
        <v>633278478.53655791</v>
      </c>
      <c r="E25" s="43">
        <f t="shared" si="4"/>
        <v>601333076.27857494</v>
      </c>
      <c r="F25" s="43">
        <f t="shared" si="4"/>
        <v>598872879.73332977</v>
      </c>
      <c r="G25" s="43">
        <f t="shared" si="4"/>
        <v>590040117.77102435</v>
      </c>
      <c r="H25" s="43">
        <f t="shared" si="4"/>
        <v>596064291.84811401</v>
      </c>
      <c r="I25" s="43">
        <f t="shared" si="4"/>
        <v>590973131.45136404</v>
      </c>
      <c r="J25" s="43">
        <f t="shared" si="4"/>
        <v>597764630.02694368</v>
      </c>
      <c r="K25" s="43">
        <f t="shared" si="4"/>
        <v>603248433.38898683</v>
      </c>
    </row>
    <row r="26" spans="1:12" x14ac:dyDescent="0.3">
      <c r="A26" s="37" t="s">
        <v>139</v>
      </c>
      <c r="B26" s="43">
        <f>+B8+B9+B10+B11</f>
        <v>320662741.75320697</v>
      </c>
      <c r="C26" s="43">
        <f t="shared" ref="C26:K26" si="5">+C8+C9+C10+C11</f>
        <v>347414023.65496874</v>
      </c>
      <c r="D26" s="43">
        <f t="shared" si="5"/>
        <v>352464577.64274204</v>
      </c>
      <c r="E26" s="43">
        <f t="shared" si="5"/>
        <v>335977048.30469936</v>
      </c>
      <c r="F26" s="43">
        <f t="shared" si="5"/>
        <v>334855259.26921052</v>
      </c>
      <c r="G26" s="43">
        <f t="shared" si="5"/>
        <v>328035816.40447366</v>
      </c>
      <c r="H26" s="43">
        <f t="shared" si="5"/>
        <v>331237497.86671054</v>
      </c>
      <c r="I26" s="43">
        <f t="shared" si="5"/>
        <v>328308916.88578951</v>
      </c>
      <c r="J26" s="43">
        <f t="shared" si="5"/>
        <v>331462237.25868416</v>
      </c>
      <c r="K26" s="43">
        <f t="shared" si="5"/>
        <v>334311980.72921056</v>
      </c>
    </row>
    <row r="27" spans="1:12" x14ac:dyDescent="0.3">
      <c r="A27" s="37" t="s">
        <v>138</v>
      </c>
      <c r="B27" s="43">
        <f>+B15+B10+B11</f>
        <v>312284565.44803363</v>
      </c>
      <c r="C27" s="43">
        <f t="shared" ref="C27:K27" si="6">+C15+C10+C11</f>
        <v>343008156.62383556</v>
      </c>
      <c r="D27" s="43">
        <f t="shared" si="6"/>
        <v>351717779.74084079</v>
      </c>
      <c r="E27" s="43">
        <f t="shared" si="6"/>
        <v>334973625.58823669</v>
      </c>
      <c r="F27" s="43">
        <f t="shared" si="6"/>
        <v>334455559.72394735</v>
      </c>
      <c r="G27" s="43">
        <f t="shared" si="6"/>
        <v>328430129.945921</v>
      </c>
      <c r="H27" s="43">
        <f t="shared" si="6"/>
        <v>332308902.30500001</v>
      </c>
      <c r="I27" s="43">
        <f t="shared" si="6"/>
        <v>328200506.52526319</v>
      </c>
      <c r="J27" s="43">
        <f t="shared" si="6"/>
        <v>332214947.08749998</v>
      </c>
      <c r="K27" s="43">
        <f t="shared" si="6"/>
        <v>335525425.54671055</v>
      </c>
    </row>
    <row r="28" spans="1:12" x14ac:dyDescent="0.3">
      <c r="A28" s="37" t="s">
        <v>105</v>
      </c>
      <c r="B28" s="43">
        <f>+B9+B10+B11+B16</f>
        <v>259536228.06842107</v>
      </c>
      <c r="C28" s="43">
        <f t="shared" ref="C28:K28" si="7">+C9+C10+C11+C16</f>
        <v>282777103.67686194</v>
      </c>
      <c r="D28" s="43">
        <f t="shared" si="7"/>
        <v>287252888.87527353</v>
      </c>
      <c r="E28" s="43">
        <f t="shared" si="7"/>
        <v>274027863.75631565</v>
      </c>
      <c r="F28" s="43">
        <f t="shared" si="7"/>
        <v>274339391.41486835</v>
      </c>
      <c r="G28" s="43">
        <f t="shared" si="7"/>
        <v>270041267.25657892</v>
      </c>
      <c r="H28" s="43">
        <f t="shared" si="7"/>
        <v>273119602.32921052</v>
      </c>
      <c r="I28" s="43">
        <f t="shared" si="7"/>
        <v>270415596.14078951</v>
      </c>
      <c r="J28" s="43">
        <f t="shared" si="7"/>
        <v>273713405.79868418</v>
      </c>
      <c r="K28" s="43">
        <f t="shared" si="7"/>
        <v>276715482.75671059</v>
      </c>
    </row>
    <row r="29" spans="1:12" x14ac:dyDescent="0.3">
      <c r="A29" s="37" t="s">
        <v>79</v>
      </c>
      <c r="B29" s="43">
        <f>+B11+B12+B13</f>
        <v>522182008.89205372</v>
      </c>
      <c r="C29" s="43">
        <f t="shared" ref="C29:K29" si="8">+C11+C12+C13</f>
        <v>582182282.26193905</v>
      </c>
      <c r="D29" s="43">
        <f t="shared" si="8"/>
        <v>608631764.96709073</v>
      </c>
      <c r="E29" s="43">
        <f t="shared" si="8"/>
        <v>590689585.8937</v>
      </c>
      <c r="F29" s="43">
        <f t="shared" si="8"/>
        <v>591743498.40154326</v>
      </c>
      <c r="G29" s="43">
        <f t="shared" si="8"/>
        <v>572502985.59105647</v>
      </c>
      <c r="H29" s="43">
        <f t="shared" si="8"/>
        <v>130824126.4955653</v>
      </c>
      <c r="I29" s="43">
        <f t="shared" si="8"/>
        <v>128516248.55533761</v>
      </c>
      <c r="J29" s="43">
        <f t="shared" si="8"/>
        <v>130807277.60506803</v>
      </c>
      <c r="K29" s="43">
        <f t="shared" si="8"/>
        <v>132955975.82407425</v>
      </c>
    </row>
    <row r="30" spans="1:12" x14ac:dyDescent="0.3">
      <c r="A30" s="45" t="s">
        <v>5</v>
      </c>
      <c r="B30" s="46">
        <f>+B14</f>
        <v>18988209.721337222</v>
      </c>
      <c r="C30" s="46">
        <f t="shared" ref="C30:K30" si="9">+C14</f>
        <v>18779834.86234023</v>
      </c>
      <c r="D30" s="46">
        <f t="shared" si="9"/>
        <v>27459976.613193259</v>
      </c>
      <c r="E30" s="46">
        <f t="shared" si="9"/>
        <v>72849487.392145708</v>
      </c>
      <c r="F30" s="46">
        <f t="shared" si="9"/>
        <v>92670605.202007547</v>
      </c>
      <c r="G30" s="46">
        <f t="shared" si="9"/>
        <v>64703773.733958893</v>
      </c>
      <c r="H30" s="46">
        <f t="shared" si="9"/>
        <v>42236974.675196275</v>
      </c>
      <c r="I30" s="46">
        <f t="shared" si="9"/>
        <v>42368434.197219275</v>
      </c>
      <c r="J30" s="46">
        <f t="shared" si="9"/>
        <v>33730466.86672733</v>
      </c>
      <c r="K30" s="46">
        <f t="shared" si="9"/>
        <v>35038544.997919135</v>
      </c>
    </row>
    <row r="31" spans="1:12" x14ac:dyDescent="0.3">
      <c r="A31" s="45" t="s">
        <v>144</v>
      </c>
      <c r="B31" s="46">
        <f>+B17</f>
        <v>142479003.36778629</v>
      </c>
      <c r="C31" s="46">
        <f t="shared" ref="C31:K31" si="10">+C17</f>
        <v>166422082.736177</v>
      </c>
      <c r="D31" s="46">
        <f t="shared" si="10"/>
        <v>173751395.40052408</v>
      </c>
      <c r="E31" s="46">
        <f t="shared" si="10"/>
        <v>186328369.91646266</v>
      </c>
      <c r="F31" s="46">
        <f t="shared" si="10"/>
        <v>197668287.62063622</v>
      </c>
      <c r="G31" s="46">
        <f t="shared" si="10"/>
        <v>205652326.63302279</v>
      </c>
      <c r="H31" s="46">
        <f t="shared" si="10"/>
        <v>209552844.43528977</v>
      </c>
      <c r="I31" s="46">
        <f t="shared" si="10"/>
        <v>207355550.10954678</v>
      </c>
      <c r="J31" s="46">
        <f t="shared" si="10"/>
        <v>209606287.81869888</v>
      </c>
      <c r="K31" s="46">
        <f t="shared" si="10"/>
        <v>211802837.82197365</v>
      </c>
    </row>
    <row r="32" spans="1:12" x14ac:dyDescent="0.3">
      <c r="A32" s="45" t="s">
        <v>6</v>
      </c>
      <c r="B32" s="46">
        <f>+B18</f>
        <v>160800233.02991807</v>
      </c>
      <c r="C32" s="46">
        <f t="shared" ref="C32:K32" si="11">+C18</f>
        <v>186996096.55044705</v>
      </c>
      <c r="D32" s="46">
        <f t="shared" si="11"/>
        <v>209165465.89669368</v>
      </c>
      <c r="E32" s="46">
        <f t="shared" si="11"/>
        <v>205938451.27025551</v>
      </c>
      <c r="F32" s="46">
        <f t="shared" si="11"/>
        <v>220998668.43915194</v>
      </c>
      <c r="G32" s="46">
        <f t="shared" si="11"/>
        <v>219106581.71571612</v>
      </c>
      <c r="H32" s="46">
        <f t="shared" si="11"/>
        <v>222271116.40640509</v>
      </c>
      <c r="I32" s="46">
        <f t="shared" si="11"/>
        <v>217335571.50486726</v>
      </c>
      <c r="J32" s="46">
        <f t="shared" si="11"/>
        <v>218764570.77513307</v>
      </c>
      <c r="K32" s="46">
        <f t="shared" si="11"/>
        <v>220234251.13688153</v>
      </c>
    </row>
    <row r="34" spans="1:11" x14ac:dyDescent="0.3">
      <c r="A34" s="33" t="s">
        <v>34</v>
      </c>
      <c r="B34" s="42">
        <f>+ROUND(B21/100000,0)*100000</f>
        <v>372100000</v>
      </c>
      <c r="C34" s="42">
        <f t="shared" ref="C34:K34" si="12">+ROUND(C21/100000,0)*100000</f>
        <v>292000000</v>
      </c>
      <c r="D34" s="42">
        <f t="shared" si="12"/>
        <v>322200000</v>
      </c>
      <c r="E34" s="42">
        <f t="shared" si="12"/>
        <v>298200000</v>
      </c>
      <c r="F34" s="42">
        <f t="shared" si="12"/>
        <v>313700000</v>
      </c>
      <c r="G34" s="42">
        <f t="shared" si="12"/>
        <v>407500000</v>
      </c>
      <c r="H34" s="42">
        <f t="shared" si="12"/>
        <v>279000000</v>
      </c>
      <c r="I34" s="42">
        <f t="shared" si="12"/>
        <v>406500000</v>
      </c>
      <c r="J34" s="42">
        <f t="shared" si="12"/>
        <v>311500000</v>
      </c>
      <c r="K34" s="42">
        <f t="shared" si="12"/>
        <v>348800000</v>
      </c>
    </row>
    <row r="35" spans="1:11" x14ac:dyDescent="0.3">
      <c r="A35" s="33" t="s">
        <v>119</v>
      </c>
      <c r="B35" s="42">
        <f t="shared" ref="B35:K35" si="13">+ROUND(B22/100000,0)*100000</f>
        <v>26100000</v>
      </c>
      <c r="C35" s="42">
        <f t="shared" si="13"/>
        <v>26600000</v>
      </c>
      <c r="D35" s="42">
        <f t="shared" si="13"/>
        <v>25800000</v>
      </c>
      <c r="E35" s="42">
        <f t="shared" si="13"/>
        <v>25300000</v>
      </c>
      <c r="F35" s="42">
        <f t="shared" si="13"/>
        <v>23500000</v>
      </c>
      <c r="G35" s="42">
        <f t="shared" si="13"/>
        <v>16200000</v>
      </c>
      <c r="H35" s="42">
        <f t="shared" si="13"/>
        <v>18700000</v>
      </c>
      <c r="I35" s="42">
        <f t="shared" si="13"/>
        <v>8900000</v>
      </c>
      <c r="J35" s="42">
        <f t="shared" si="13"/>
        <v>10700000</v>
      </c>
      <c r="K35" s="42">
        <f t="shared" si="13"/>
        <v>13000000</v>
      </c>
    </row>
    <row r="36" spans="1:11" x14ac:dyDescent="0.3">
      <c r="A36" s="33" t="s">
        <v>121</v>
      </c>
      <c r="B36" s="42">
        <f t="shared" ref="B36:K36" si="14">+ROUND(B23/100000,0)*100000</f>
        <v>357300000</v>
      </c>
      <c r="C36" s="42">
        <f t="shared" si="14"/>
        <v>254000000</v>
      </c>
      <c r="D36" s="42">
        <f t="shared" si="14"/>
        <v>304600000</v>
      </c>
      <c r="E36" s="42">
        <f t="shared" si="14"/>
        <v>276900000</v>
      </c>
      <c r="F36" s="42">
        <f t="shared" si="14"/>
        <v>291300000</v>
      </c>
      <c r="G36" s="42">
        <f t="shared" si="14"/>
        <v>386500000</v>
      </c>
      <c r="H36" s="42">
        <f t="shared" si="14"/>
        <v>259100000</v>
      </c>
      <c r="I36" s="42">
        <f t="shared" si="14"/>
        <v>385700000</v>
      </c>
      <c r="J36" s="42">
        <f t="shared" si="14"/>
        <v>289600000</v>
      </c>
      <c r="K36" s="42">
        <f t="shared" si="14"/>
        <v>325900000</v>
      </c>
    </row>
    <row r="37" spans="1:11" x14ac:dyDescent="0.3">
      <c r="A37" s="33" t="s">
        <v>95</v>
      </c>
      <c r="B37" s="42">
        <f t="shared" ref="B37:K37" si="15">+ROUND(B24/100000,0)*100000</f>
        <v>570600000</v>
      </c>
      <c r="C37" s="42">
        <f t="shared" si="15"/>
        <v>619500000</v>
      </c>
      <c r="D37" s="42">
        <f t="shared" si="15"/>
        <v>626500000</v>
      </c>
      <c r="E37" s="42">
        <f t="shared" si="15"/>
        <v>594500000</v>
      </c>
      <c r="F37" s="42">
        <f t="shared" si="15"/>
        <v>596000000</v>
      </c>
      <c r="G37" s="42">
        <f t="shared" si="15"/>
        <v>587100000</v>
      </c>
      <c r="H37" s="42">
        <f t="shared" si="15"/>
        <v>593100000</v>
      </c>
      <c r="I37" s="42">
        <f t="shared" si="15"/>
        <v>588000000</v>
      </c>
      <c r="J37" s="42">
        <f t="shared" si="15"/>
        <v>594700000</v>
      </c>
      <c r="K37" s="42">
        <f t="shared" si="15"/>
        <v>600200000</v>
      </c>
    </row>
    <row r="38" spans="1:11" x14ac:dyDescent="0.3">
      <c r="A38" s="33" t="s">
        <v>8</v>
      </c>
      <c r="B38" s="42">
        <f t="shared" ref="B38:K38" si="16">+ROUND(B25/100000,0)*100000</f>
        <v>577700000</v>
      </c>
      <c r="C38" s="42">
        <f t="shared" si="16"/>
        <v>626400000</v>
      </c>
      <c r="D38" s="42">
        <f t="shared" si="16"/>
        <v>633300000</v>
      </c>
      <c r="E38" s="42">
        <f t="shared" si="16"/>
        <v>601300000</v>
      </c>
      <c r="F38" s="42">
        <f t="shared" si="16"/>
        <v>598900000</v>
      </c>
      <c r="G38" s="42">
        <f t="shared" si="16"/>
        <v>590000000</v>
      </c>
      <c r="H38" s="42">
        <f t="shared" si="16"/>
        <v>596100000</v>
      </c>
      <c r="I38" s="42">
        <f t="shared" si="16"/>
        <v>591000000</v>
      </c>
      <c r="J38" s="42">
        <f t="shared" si="16"/>
        <v>597800000</v>
      </c>
      <c r="K38" s="42">
        <f t="shared" si="16"/>
        <v>603200000</v>
      </c>
    </row>
    <row r="39" spans="1:11" x14ac:dyDescent="0.3">
      <c r="A39" s="33" t="s">
        <v>139</v>
      </c>
      <c r="B39" s="42">
        <f t="shared" ref="B39:K39" si="17">+ROUND(B26/100000,0)*100000</f>
        <v>320700000</v>
      </c>
      <c r="C39" s="42">
        <f t="shared" si="17"/>
        <v>347400000</v>
      </c>
      <c r="D39" s="42">
        <f t="shared" si="17"/>
        <v>352500000</v>
      </c>
      <c r="E39" s="42">
        <f t="shared" si="17"/>
        <v>336000000</v>
      </c>
      <c r="F39" s="42">
        <f t="shared" si="17"/>
        <v>334900000</v>
      </c>
      <c r="G39" s="42">
        <f t="shared" si="17"/>
        <v>328000000</v>
      </c>
      <c r="H39" s="42">
        <f t="shared" si="17"/>
        <v>331200000</v>
      </c>
      <c r="I39" s="42">
        <f t="shared" si="17"/>
        <v>328300000</v>
      </c>
      <c r="J39" s="42">
        <f t="shared" si="17"/>
        <v>331500000</v>
      </c>
      <c r="K39" s="42">
        <f t="shared" si="17"/>
        <v>334300000</v>
      </c>
    </row>
    <row r="40" spans="1:11" x14ac:dyDescent="0.3">
      <c r="A40" s="33" t="s">
        <v>138</v>
      </c>
      <c r="B40" s="42">
        <f t="shared" ref="B40:K40" si="18">+ROUND(B27/100000,0)*100000</f>
        <v>312300000</v>
      </c>
      <c r="C40" s="42">
        <f t="shared" si="18"/>
        <v>343000000</v>
      </c>
      <c r="D40" s="42">
        <f t="shared" si="18"/>
        <v>351700000</v>
      </c>
      <c r="E40" s="42">
        <f t="shared" si="18"/>
        <v>335000000</v>
      </c>
      <c r="F40" s="42">
        <f t="shared" si="18"/>
        <v>334500000</v>
      </c>
      <c r="G40" s="42">
        <f t="shared" si="18"/>
        <v>328400000</v>
      </c>
      <c r="H40" s="42">
        <f t="shared" si="18"/>
        <v>332300000</v>
      </c>
      <c r="I40" s="42">
        <f t="shared" si="18"/>
        <v>328200000</v>
      </c>
      <c r="J40" s="42">
        <f t="shared" si="18"/>
        <v>332200000</v>
      </c>
      <c r="K40" s="42">
        <f t="shared" si="18"/>
        <v>335500000</v>
      </c>
    </row>
    <row r="41" spans="1:11" x14ac:dyDescent="0.3">
      <c r="A41" s="33" t="s">
        <v>105</v>
      </c>
      <c r="B41" s="42">
        <f t="shared" ref="B41:K41" si="19">+ROUND(B28/100000,0)*100000</f>
        <v>259500000</v>
      </c>
      <c r="C41" s="42">
        <f t="shared" si="19"/>
        <v>282800000</v>
      </c>
      <c r="D41" s="42">
        <f t="shared" si="19"/>
        <v>287300000</v>
      </c>
      <c r="E41" s="42">
        <f t="shared" si="19"/>
        <v>274000000</v>
      </c>
      <c r="F41" s="42">
        <f t="shared" si="19"/>
        <v>274300000</v>
      </c>
      <c r="G41" s="42">
        <f t="shared" si="19"/>
        <v>270000000</v>
      </c>
      <c r="H41" s="42">
        <f t="shared" si="19"/>
        <v>273100000</v>
      </c>
      <c r="I41" s="42">
        <f t="shared" si="19"/>
        <v>270400000</v>
      </c>
      <c r="J41" s="42">
        <f t="shared" si="19"/>
        <v>273700000</v>
      </c>
      <c r="K41" s="42">
        <f t="shared" si="19"/>
        <v>276700000</v>
      </c>
    </row>
    <row r="42" spans="1:11" x14ac:dyDescent="0.3">
      <c r="A42" s="33" t="s">
        <v>79</v>
      </c>
      <c r="B42" s="42">
        <f t="shared" ref="B42:K42" si="20">+ROUND(B29/100000,0)*100000</f>
        <v>522200000</v>
      </c>
      <c r="C42" s="42">
        <f t="shared" si="20"/>
        <v>582200000</v>
      </c>
      <c r="D42" s="42">
        <f t="shared" si="20"/>
        <v>608600000</v>
      </c>
      <c r="E42" s="42">
        <f t="shared" si="20"/>
        <v>590700000</v>
      </c>
      <c r="F42" s="42">
        <f t="shared" si="20"/>
        <v>591700000</v>
      </c>
      <c r="G42" s="42">
        <f t="shared" si="20"/>
        <v>572500000</v>
      </c>
      <c r="H42" s="42">
        <f t="shared" si="20"/>
        <v>130800000</v>
      </c>
      <c r="I42" s="42">
        <f t="shared" si="20"/>
        <v>128500000</v>
      </c>
      <c r="J42" s="42">
        <f t="shared" si="20"/>
        <v>130800000</v>
      </c>
      <c r="K42" s="42">
        <f t="shared" si="20"/>
        <v>133000000</v>
      </c>
    </row>
    <row r="43" spans="1:11" x14ac:dyDescent="0.3">
      <c r="A43" s="33" t="s">
        <v>5</v>
      </c>
      <c r="B43" s="42">
        <f t="shared" ref="B43:K43" si="21">+ROUND(B30/100000,0)*100000</f>
        <v>19000000</v>
      </c>
      <c r="C43" s="42">
        <f t="shared" si="21"/>
        <v>18800000</v>
      </c>
      <c r="D43" s="42">
        <f t="shared" si="21"/>
        <v>27500000</v>
      </c>
      <c r="E43" s="42">
        <f t="shared" si="21"/>
        <v>72800000</v>
      </c>
      <c r="F43" s="42">
        <f t="shared" si="21"/>
        <v>92700000</v>
      </c>
      <c r="G43" s="42">
        <f t="shared" si="21"/>
        <v>64700000</v>
      </c>
      <c r="H43" s="42">
        <f t="shared" si="21"/>
        <v>42200000</v>
      </c>
      <c r="I43" s="42">
        <f t="shared" si="21"/>
        <v>42400000</v>
      </c>
      <c r="J43" s="42">
        <f t="shared" si="21"/>
        <v>33700000</v>
      </c>
      <c r="K43" s="42">
        <f t="shared" si="21"/>
        <v>35000000</v>
      </c>
    </row>
    <row r="44" spans="1:11" x14ac:dyDescent="0.3">
      <c r="A44" s="33" t="s">
        <v>144</v>
      </c>
      <c r="B44" s="42">
        <f t="shared" ref="B44:K44" si="22">+ROUND(B31/100000,0)*100000</f>
        <v>142500000</v>
      </c>
      <c r="C44" s="42">
        <f t="shared" si="22"/>
        <v>166400000</v>
      </c>
      <c r="D44" s="42">
        <f t="shared" si="22"/>
        <v>173800000</v>
      </c>
      <c r="E44" s="42">
        <f t="shared" si="22"/>
        <v>186300000</v>
      </c>
      <c r="F44" s="42">
        <f t="shared" si="22"/>
        <v>197700000</v>
      </c>
      <c r="G44" s="42">
        <f t="shared" si="22"/>
        <v>205700000</v>
      </c>
      <c r="H44" s="42">
        <f t="shared" si="22"/>
        <v>209600000</v>
      </c>
      <c r="I44" s="42">
        <f t="shared" si="22"/>
        <v>207400000</v>
      </c>
      <c r="J44" s="42">
        <f t="shared" si="22"/>
        <v>209600000</v>
      </c>
      <c r="K44" s="42">
        <f t="shared" si="22"/>
        <v>211800000</v>
      </c>
    </row>
    <row r="45" spans="1:11" x14ac:dyDescent="0.3">
      <c r="A45" s="33" t="s">
        <v>6</v>
      </c>
      <c r="B45" s="42">
        <f>+ROUND(B32/100000,0)*100000</f>
        <v>160800000</v>
      </c>
      <c r="C45" s="42">
        <f t="shared" ref="C45:K45" si="23">+ROUND(C32/100000,0)*100000</f>
        <v>187000000</v>
      </c>
      <c r="D45" s="42">
        <f t="shared" si="23"/>
        <v>209200000</v>
      </c>
      <c r="E45" s="42">
        <f t="shared" si="23"/>
        <v>205900000</v>
      </c>
      <c r="F45" s="42">
        <f t="shared" si="23"/>
        <v>221000000</v>
      </c>
      <c r="G45" s="42">
        <f t="shared" si="23"/>
        <v>219100000</v>
      </c>
      <c r="H45" s="42">
        <f t="shared" si="23"/>
        <v>222300000</v>
      </c>
      <c r="I45" s="42">
        <f t="shared" si="23"/>
        <v>217300000</v>
      </c>
      <c r="J45" s="42">
        <f t="shared" si="23"/>
        <v>218800000</v>
      </c>
      <c r="K45" s="42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P33"/>
  <sheetViews>
    <sheetView tabSelected="1" topLeftCell="A3" zoomScale="90" zoomScaleNormal="90" workbookViewId="0">
      <selection activeCell="J18" sqref="J18"/>
    </sheetView>
  </sheetViews>
  <sheetFormatPr defaultRowHeight="14.4" x14ac:dyDescent="0.3"/>
  <cols>
    <col min="1" max="1" width="11.88671875" bestFit="1" customWidth="1"/>
    <col min="2" max="2" width="14.5546875" bestFit="1" customWidth="1"/>
    <col min="3" max="11" width="13.33203125" bestFit="1" customWidth="1"/>
    <col min="12" max="12" width="15.5546875" bestFit="1" customWidth="1"/>
    <col min="13" max="13" width="13.88671875" bestFit="1" customWidth="1"/>
    <col min="14" max="14" width="13.33203125" bestFit="1" customWidth="1"/>
    <col min="15" max="16" width="13.88671875" bestFit="1" customWidth="1"/>
  </cols>
  <sheetData>
    <row r="1" spans="1:16" x14ac:dyDescent="0.3"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N1" s="32">
        <v>13</v>
      </c>
      <c r="O1" s="32">
        <v>14</v>
      </c>
      <c r="P1" s="32">
        <v>15</v>
      </c>
    </row>
    <row r="2" spans="1:16" x14ac:dyDescent="0.3">
      <c r="A2" s="33" t="s">
        <v>34</v>
      </c>
      <c r="B2" s="34">
        <v>346093156.91142017</v>
      </c>
      <c r="C2" s="34">
        <v>377569075.49554682</v>
      </c>
      <c r="D2" s="34">
        <v>407486189.34885675</v>
      </c>
      <c r="E2" s="34">
        <v>271512168.5566923</v>
      </c>
      <c r="F2" s="34">
        <v>386591128.94754279</v>
      </c>
      <c r="G2" s="34">
        <v>290515853.351013</v>
      </c>
      <c r="H2" s="34">
        <v>326808173.359317</v>
      </c>
      <c r="I2" s="34">
        <v>309745678</v>
      </c>
      <c r="J2" s="34">
        <v>355154446</v>
      </c>
      <c r="K2" s="34">
        <v>404534728</v>
      </c>
      <c r="L2" s="34">
        <v>345940456.97688699</v>
      </c>
      <c r="M2" s="34">
        <v>345638529.191405</v>
      </c>
      <c r="N2" s="34">
        <v>345336601.40592301</v>
      </c>
      <c r="O2" s="34">
        <v>345034673.62044102</v>
      </c>
      <c r="P2" s="34">
        <v>344732745.83495897</v>
      </c>
    </row>
    <row r="3" spans="1:16" x14ac:dyDescent="0.3">
      <c r="A3" s="33" t="s">
        <v>119</v>
      </c>
      <c r="B3" s="34">
        <v>276893799.8168686</v>
      </c>
      <c r="C3" s="34">
        <v>291347309.46899921</v>
      </c>
      <c r="D3" s="34">
        <v>386542695.73181707</v>
      </c>
      <c r="E3" s="34">
        <v>259074598.21419227</v>
      </c>
      <c r="F3" s="34">
        <v>385691419.54587609</v>
      </c>
      <c r="G3" s="34">
        <v>289592375.23148918</v>
      </c>
      <c r="H3" s="34">
        <v>325856614.14288843</v>
      </c>
      <c r="I3" s="34">
        <v>319424309</v>
      </c>
      <c r="J3" s="34">
        <v>304423724</v>
      </c>
      <c r="K3" s="34">
        <v>374617409</v>
      </c>
      <c r="L3" s="34">
        <v>346003173.88780701</v>
      </c>
      <c r="M3" s="34">
        <v>350486219.06464201</v>
      </c>
      <c r="N3" s="34">
        <v>354969264.24147701</v>
      </c>
      <c r="O3" s="34">
        <v>359452309.41831201</v>
      </c>
      <c r="P3" s="34">
        <v>363935354.59514701</v>
      </c>
    </row>
    <row r="4" spans="1:16" x14ac:dyDescent="0.3">
      <c r="A4" s="33" t="s">
        <v>121</v>
      </c>
      <c r="B4" s="34">
        <v>251625699.27542749</v>
      </c>
      <c r="C4" s="34">
        <v>267811068.36687306</v>
      </c>
      <c r="D4" s="34">
        <v>370337279.74940479</v>
      </c>
      <c r="E4" s="34">
        <v>240424168.59249011</v>
      </c>
      <c r="F4" s="34">
        <v>376781790.09281218</v>
      </c>
      <c r="G4" s="34">
        <v>278873915.36341274</v>
      </c>
      <c r="H4" s="34">
        <v>312878955.40801585</v>
      </c>
      <c r="I4" s="34">
        <v>283922913</v>
      </c>
      <c r="J4" s="34">
        <v>256648802</v>
      </c>
      <c r="K4" s="34">
        <v>271626491</v>
      </c>
      <c r="L4" s="34">
        <v>284068305.38228297</v>
      </c>
      <c r="M4" s="34">
        <v>282791068.49090898</v>
      </c>
      <c r="N4" s="34">
        <v>281513831.59953398</v>
      </c>
      <c r="O4" s="34">
        <v>280236594.70815998</v>
      </c>
      <c r="P4" s="34">
        <v>278959357.81678498</v>
      </c>
    </row>
    <row r="5" spans="1:16" x14ac:dyDescent="0.3">
      <c r="A5" s="33" t="s">
        <v>95</v>
      </c>
      <c r="B5" s="34">
        <v>570550152.30381417</v>
      </c>
      <c r="C5" s="34">
        <v>619539915.60265291</v>
      </c>
      <c r="D5" s="34">
        <v>626455400.78581166</v>
      </c>
      <c r="E5" s="34">
        <v>594496914.52668428</v>
      </c>
      <c r="F5" s="34">
        <v>595980201.91499639</v>
      </c>
      <c r="G5" s="34">
        <v>587103256.5710243</v>
      </c>
      <c r="H5" s="34">
        <v>593084718.43311405</v>
      </c>
      <c r="I5" s="34">
        <v>588242927.32803082</v>
      </c>
      <c r="J5" s="34">
        <v>594999405.74266744</v>
      </c>
      <c r="K5" s="34">
        <v>600453889.03830707</v>
      </c>
      <c r="L5" s="34">
        <v>593529816.91394198</v>
      </c>
      <c r="M5" s="34">
        <v>592882387.58471096</v>
      </c>
      <c r="N5" s="34">
        <v>592234958.255481</v>
      </c>
      <c r="O5" s="34">
        <v>591587528.92624998</v>
      </c>
      <c r="P5" s="34">
        <v>590940099.59702003</v>
      </c>
    </row>
    <row r="6" spans="1:16" x14ac:dyDescent="0.3">
      <c r="A6" s="33" t="s">
        <v>8</v>
      </c>
      <c r="B6" s="34">
        <v>577730183.05346596</v>
      </c>
      <c r="C6" s="34">
        <v>626350955.38747883</v>
      </c>
      <c r="D6" s="34">
        <v>633278478.53655791</v>
      </c>
      <c r="E6" s="34">
        <v>601333076.27857482</v>
      </c>
      <c r="F6" s="34">
        <v>598872879.73332977</v>
      </c>
      <c r="G6" s="34">
        <v>590040117.77102435</v>
      </c>
      <c r="H6" s="34">
        <v>596064291.84811401</v>
      </c>
      <c r="I6" s="34">
        <v>591261950.00136411</v>
      </c>
      <c r="J6" s="34">
        <v>598056654.48266745</v>
      </c>
      <c r="K6" s="34">
        <v>603543359.20997369</v>
      </c>
      <c r="L6" s="34">
        <v>594971085.335096</v>
      </c>
      <c r="M6" s="34">
        <v>593756156.37233996</v>
      </c>
      <c r="N6" s="34">
        <v>592541227.40958405</v>
      </c>
      <c r="O6" s="34">
        <v>591326298.44682801</v>
      </c>
      <c r="P6" s="34">
        <v>590111369.48407102</v>
      </c>
    </row>
    <row r="7" spans="1:16" x14ac:dyDescent="0.3">
      <c r="A7" s="33" t="s">
        <v>139</v>
      </c>
      <c r="B7" s="34">
        <v>320662741.75320703</v>
      </c>
      <c r="C7" s="34">
        <v>347414023.65496874</v>
      </c>
      <c r="D7" s="34">
        <v>352464577.64274204</v>
      </c>
      <c r="E7" s="34">
        <v>335977048.30469936</v>
      </c>
      <c r="F7" s="34">
        <v>334855259.26921052</v>
      </c>
      <c r="G7" s="34">
        <v>328035816.40447366</v>
      </c>
      <c r="H7" s="34">
        <v>331237497.86671048</v>
      </c>
      <c r="I7" s="34">
        <v>328597735.43578953</v>
      </c>
      <c r="J7" s="34">
        <v>331754261.71440786</v>
      </c>
      <c r="K7" s="34">
        <v>334606906.55019742</v>
      </c>
      <c r="L7" s="34">
        <v>330410815.00549102</v>
      </c>
      <c r="M7" s="34">
        <v>329656311.03201002</v>
      </c>
      <c r="N7" s="34">
        <v>328901807.05852801</v>
      </c>
      <c r="O7" s="34">
        <v>328147303.08504599</v>
      </c>
      <c r="P7" s="34">
        <v>327392799.11156499</v>
      </c>
    </row>
    <row r="8" spans="1:16" x14ac:dyDescent="0.3">
      <c r="A8" s="33" t="s">
        <v>138</v>
      </c>
      <c r="B8" s="34">
        <v>59502552.144086249</v>
      </c>
      <c r="C8" s="34">
        <v>66824756.298947357</v>
      </c>
      <c r="D8" s="34">
        <v>70949628.8296462</v>
      </c>
      <c r="E8" s="34">
        <v>67124341.090605259</v>
      </c>
      <c r="F8" s="34">
        <v>66326128.165921047</v>
      </c>
      <c r="G8" s="34">
        <v>64629993.391710512</v>
      </c>
      <c r="H8" s="34">
        <v>65467500.848157898</v>
      </c>
      <c r="I8" s="34">
        <v>64108778.512368411</v>
      </c>
      <c r="J8" s="34">
        <v>64880245.935592085</v>
      </c>
      <c r="K8" s="34">
        <v>65250732.011776313</v>
      </c>
      <c r="L8" s="34">
        <v>65414837.0288072</v>
      </c>
      <c r="M8" s="34">
        <v>65398177.266248301</v>
      </c>
      <c r="N8" s="34">
        <v>65381517.503689401</v>
      </c>
      <c r="O8" s="34">
        <v>65364857.741130501</v>
      </c>
      <c r="P8" s="34">
        <v>65348197.978571601</v>
      </c>
    </row>
    <row r="9" spans="1:16" x14ac:dyDescent="0.3">
      <c r="A9" s="33" t="s">
        <v>105</v>
      </c>
      <c r="B9" s="34">
        <v>522182008.89205372</v>
      </c>
      <c r="C9" s="34">
        <v>582182282.26193905</v>
      </c>
      <c r="D9" s="34">
        <v>608631764.96709073</v>
      </c>
      <c r="E9" s="34">
        <v>590689585.8937</v>
      </c>
      <c r="F9" s="34">
        <v>591743498.40154326</v>
      </c>
      <c r="G9" s="34">
        <v>572502985.59105659</v>
      </c>
      <c r="H9" s="34">
        <v>130824126.4955653</v>
      </c>
      <c r="I9" s="34">
        <v>128805067.1053376</v>
      </c>
      <c r="J9" s="34">
        <v>131099302.06079172</v>
      </c>
      <c r="K9" s="34">
        <v>133250901.64506109</v>
      </c>
      <c r="L9" s="34">
        <v>135497591.476787</v>
      </c>
      <c r="M9" s="34">
        <v>137720508.746649</v>
      </c>
      <c r="N9" s="34">
        <v>139943426.01651001</v>
      </c>
      <c r="O9" s="34">
        <v>142166343.28637201</v>
      </c>
      <c r="P9" s="34">
        <v>144389260.556234</v>
      </c>
    </row>
    <row r="10" spans="1:16" x14ac:dyDescent="0.3">
      <c r="A10" s="33" t="s">
        <v>127</v>
      </c>
      <c r="B10" s="34">
        <v>522182008.89205372</v>
      </c>
      <c r="C10" s="34">
        <v>582182282.26193905</v>
      </c>
      <c r="D10" s="34">
        <v>608631764.96709073</v>
      </c>
      <c r="E10" s="34">
        <v>590689585.8937</v>
      </c>
      <c r="F10" s="34">
        <v>591743498.40154326</v>
      </c>
      <c r="G10" s="34">
        <v>572502985.59105659</v>
      </c>
      <c r="H10" s="34">
        <v>151396626.4955653</v>
      </c>
      <c r="I10" s="34">
        <v>215227035.9723376</v>
      </c>
      <c r="J10" s="34">
        <v>243358292.50179172</v>
      </c>
      <c r="K10" s="34">
        <v>251394162.53006107</v>
      </c>
      <c r="L10" s="34">
        <v>121699026.583433</v>
      </c>
      <c r="M10" s="34">
        <v>189646606.83667499</v>
      </c>
      <c r="N10" s="34">
        <v>187323799.510021</v>
      </c>
      <c r="O10" s="34">
        <v>185000992.18336701</v>
      </c>
      <c r="P10" s="34">
        <v>182678184.856713</v>
      </c>
    </row>
    <row r="11" spans="1:16" x14ac:dyDescent="0.3">
      <c r="A11" t="s">
        <v>5</v>
      </c>
      <c r="B11" s="34">
        <v>18988209.721337222</v>
      </c>
      <c r="C11" s="34">
        <v>18779834.86234023</v>
      </c>
      <c r="D11" s="34">
        <v>27459976.613193259</v>
      </c>
      <c r="E11" s="34">
        <v>72849487.392145708</v>
      </c>
      <c r="F11" s="34">
        <v>92670605.202007547</v>
      </c>
      <c r="G11" s="34">
        <v>64703773.733958893</v>
      </c>
      <c r="H11" s="34">
        <v>42236974.675196275</v>
      </c>
      <c r="I11" s="34">
        <v>42368434.197219275</v>
      </c>
      <c r="J11" s="34">
        <v>33730466.86672733</v>
      </c>
      <c r="K11" s="34">
        <v>35038544.997919135</v>
      </c>
      <c r="L11" s="34">
        <v>51677476.153577201</v>
      </c>
      <c r="M11" s="34">
        <v>52912902.576735802</v>
      </c>
      <c r="N11" s="34">
        <v>54148328.9998945</v>
      </c>
      <c r="O11" s="34">
        <v>55383755.423053198</v>
      </c>
      <c r="P11" s="34">
        <v>56619181.846211798</v>
      </c>
    </row>
    <row r="12" spans="1:16" x14ac:dyDescent="0.3">
      <c r="A12" t="s">
        <v>144</v>
      </c>
      <c r="B12" s="34">
        <v>142479003.36778629</v>
      </c>
      <c r="C12" s="34">
        <v>166422082.736177</v>
      </c>
      <c r="D12" s="34">
        <v>173751395.40052408</v>
      </c>
      <c r="E12" s="34">
        <v>186328369.91646266</v>
      </c>
      <c r="F12" s="34">
        <v>197668287.62063622</v>
      </c>
      <c r="G12" s="34">
        <v>205652326.63302279</v>
      </c>
      <c r="H12" s="34">
        <v>209552844.43528977</v>
      </c>
      <c r="I12" s="34">
        <v>207355550.10954678</v>
      </c>
      <c r="J12" s="34">
        <v>209606287.81869888</v>
      </c>
      <c r="K12" s="34">
        <v>211802837.82197365</v>
      </c>
      <c r="L12" s="34">
        <v>230124637.97865599</v>
      </c>
      <c r="M12" s="34">
        <v>237226954.23186401</v>
      </c>
      <c r="N12" s="34">
        <v>244329270.48507199</v>
      </c>
      <c r="O12" s="34">
        <v>251431586.73828</v>
      </c>
      <c r="P12" s="34">
        <v>258533902.99148801</v>
      </c>
    </row>
    <row r="13" spans="1:16" x14ac:dyDescent="0.3">
      <c r="A13" t="s">
        <v>6</v>
      </c>
      <c r="B13" s="34">
        <v>160800233.02991807</v>
      </c>
      <c r="C13" s="34">
        <v>186996096.55044705</v>
      </c>
      <c r="D13" s="34">
        <v>209165465.89669368</v>
      </c>
      <c r="E13" s="34">
        <v>205938451.27025551</v>
      </c>
      <c r="F13" s="34">
        <v>220998668.43915194</v>
      </c>
      <c r="G13" s="34">
        <v>219106581.71571612</v>
      </c>
      <c r="H13" s="34">
        <v>222271116.40640509</v>
      </c>
      <c r="I13" s="34">
        <v>217335571.50486726</v>
      </c>
      <c r="J13" s="34">
        <v>218764570.77513307</v>
      </c>
      <c r="K13" s="34">
        <v>220234251.13688153</v>
      </c>
      <c r="L13" s="34">
        <v>236335831.314592</v>
      </c>
      <c r="M13" s="34">
        <v>241458509.61314601</v>
      </c>
      <c r="N13" s="34">
        <v>246581187.911699</v>
      </c>
      <c r="O13" s="34">
        <v>251703866.210253</v>
      </c>
      <c r="P13" s="34">
        <v>256826544.508807</v>
      </c>
    </row>
    <row r="15" spans="1:16" x14ac:dyDescent="0.3"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spans="1:16" x14ac:dyDescent="0.3"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spans="2:11" x14ac:dyDescent="0.3">
      <c r="B17" s="47"/>
      <c r="E17" s="47"/>
      <c r="H17" s="47"/>
      <c r="K17" s="47"/>
    </row>
    <row r="18" spans="2:11" x14ac:dyDescent="0.3">
      <c r="B18" s="47"/>
      <c r="C18" s="47"/>
      <c r="D18" s="47"/>
      <c r="E18" s="47"/>
      <c r="F18" s="47"/>
      <c r="G18" s="47"/>
      <c r="H18" s="47"/>
      <c r="I18" s="47"/>
      <c r="J18" s="47"/>
      <c r="K18" s="47"/>
    </row>
    <row r="20" spans="2:11" x14ac:dyDescent="0.3">
      <c r="B20" s="47"/>
    </row>
    <row r="21" spans="2:11" x14ac:dyDescent="0.3">
      <c r="B21" s="47"/>
    </row>
    <row r="22" spans="2:11" x14ac:dyDescent="0.3">
      <c r="B22" s="47"/>
    </row>
    <row r="33" spans="11:11" x14ac:dyDescent="0.3">
      <c r="K33" t="s">
        <v>159</v>
      </c>
    </row>
  </sheetData>
  <autoFilter ref="A1:K13" xr:uid="{9E6D5A8F-84A7-44FF-8A0A-25164FF4904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vaccine-antigen list</vt:lpstr>
      <vt:lpstr>total_capacity_calcs</vt:lpstr>
      <vt:lpstr>Medium_Demand_calc</vt:lpstr>
      <vt:lpstr>Medium_Demand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cp:lastPrinted>2024-09-30T16:30:09Z</cp:lastPrinted>
  <dcterms:created xsi:type="dcterms:W3CDTF">2023-08-30T20:34:45Z</dcterms:created>
  <dcterms:modified xsi:type="dcterms:W3CDTF">2025-12-03T13:00:25Z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