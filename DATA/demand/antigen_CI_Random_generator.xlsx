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demand/"/>
    </mc:Choice>
  </mc:AlternateContent>
  <xr:revisionPtr revIDLastSave="590" documentId="11_4A5645C871AEA98286DE389EAFF8EF0F542BC54D" xr6:coauthVersionLast="47" xr6:coauthVersionMax="47" xr10:uidLastSave="{2937F37B-86E6-431C-A5C2-8E05EA8207B0}"/>
  <bookViews>
    <workbookView xWindow="13550" yWindow="-110" windowWidth="38620" windowHeight="21100" activeTab="1" xr2:uid="{00000000-000D-0000-FFFF-FFFF00000000}"/>
  </bookViews>
  <sheets>
    <sheet name="Diphtheria" sheetId="1" r:id="rId1"/>
    <sheet name="Pertussis" sheetId="2" r:id="rId2"/>
    <sheet name="Polio" sheetId="3" r:id="rId3"/>
    <sheet name="Tetanus" sheetId="4" r:id="rId4"/>
    <sheet name="Rotavirus" sheetId="5" r:id="rId5"/>
    <sheet name="PCV" sheetId="6" r:id="rId6"/>
    <sheet name="Measles" sheetId="7" r:id="rId7"/>
    <sheet name="Mumps" sheetId="8" r:id="rId8"/>
    <sheet name="Rubella" sheetId="9" r:id="rId9"/>
    <sheet name="Hepatitis_B" sheetId="10" r:id="rId10"/>
    <sheet name="Hib" sheetId="11" r:id="rId11"/>
    <sheet name="HPV" sheetId="12" r:id="rId12"/>
    <sheet name="Scenario_data" sheetId="13" r:id="rId1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2" l="1"/>
  <c r="D11" i="12"/>
  <c r="C10" i="12"/>
  <c r="D10" i="12"/>
  <c r="C9" i="12"/>
  <c r="D9" i="12"/>
  <c r="C8" i="12"/>
  <c r="D8" i="12"/>
  <c r="C7" i="12"/>
  <c r="G11" i="13"/>
  <c r="G24" i="13"/>
  <c r="C6" i="12"/>
  <c r="F11" i="13"/>
  <c r="F24" i="13"/>
  <c r="C5" i="12"/>
  <c r="E11" i="13"/>
  <c r="E24" i="13"/>
  <c r="C4" i="12"/>
  <c r="C3" i="12"/>
  <c r="D3" i="12"/>
  <c r="C2" i="12"/>
  <c r="D2" i="12"/>
  <c r="C13" i="11"/>
  <c r="B13" i="11"/>
  <c r="A13" i="11"/>
  <c r="C11" i="11"/>
  <c r="K9" i="13"/>
  <c r="K22" i="13"/>
  <c r="C10" i="11"/>
  <c r="J9" i="13"/>
  <c r="J22" i="13"/>
  <c r="C9" i="11"/>
  <c r="I9" i="13"/>
  <c r="I22" i="13"/>
  <c r="C8" i="11"/>
  <c r="C7" i="11"/>
  <c r="G9" i="13"/>
  <c r="G22" i="13"/>
  <c r="C6" i="11"/>
  <c r="C5" i="11"/>
  <c r="D5" i="11"/>
  <c r="D4" i="11"/>
  <c r="C4" i="11"/>
  <c r="D9" i="13"/>
  <c r="D22" i="13"/>
  <c r="C3" i="11"/>
  <c r="D3" i="11"/>
  <c r="C2" i="11"/>
  <c r="D2" i="11"/>
  <c r="C11" i="10"/>
  <c r="C10" i="10"/>
  <c r="D10" i="10"/>
  <c r="C9" i="10"/>
  <c r="D9" i="10"/>
  <c r="C8" i="10"/>
  <c r="D8" i="10"/>
  <c r="C7" i="10"/>
  <c r="D7" i="10"/>
  <c r="D6" i="10"/>
  <c r="C6" i="10"/>
  <c r="C5" i="10"/>
  <c r="C4" i="10"/>
  <c r="C3" i="10"/>
  <c r="C2" i="10"/>
  <c r="C11" i="9"/>
  <c r="C10" i="9"/>
  <c r="C9" i="9"/>
  <c r="D8" i="9"/>
  <c r="C8" i="9"/>
  <c r="C7" i="9"/>
  <c r="C6" i="9"/>
  <c r="D6" i="9"/>
  <c r="C5" i="9"/>
  <c r="C4" i="9"/>
  <c r="C3" i="9"/>
  <c r="D3" i="9"/>
  <c r="C2" i="9"/>
  <c r="C11" i="8"/>
  <c r="D11" i="8"/>
  <c r="D10" i="8"/>
  <c r="C10" i="8"/>
  <c r="J3" i="13"/>
  <c r="J16" i="13"/>
  <c r="C9" i="8"/>
  <c r="D9" i="8"/>
  <c r="C8" i="8"/>
  <c r="D8" i="8"/>
  <c r="C7" i="8"/>
  <c r="G3" i="13"/>
  <c r="G16" i="13"/>
  <c r="C6" i="8"/>
  <c r="F3" i="13"/>
  <c r="F16" i="13"/>
  <c r="C5" i="8"/>
  <c r="E3" i="13"/>
  <c r="E16" i="13"/>
  <c r="C4" i="8"/>
  <c r="D3" i="13"/>
  <c r="D16" i="13"/>
  <c r="C3" i="8"/>
  <c r="C3" i="13"/>
  <c r="C16" i="13"/>
  <c r="D2" i="8"/>
  <c r="C2" i="8"/>
  <c r="B3" i="13"/>
  <c r="B16" i="13"/>
  <c r="C11" i="7"/>
  <c r="C10" i="7"/>
  <c r="D10" i="7"/>
  <c r="C9" i="7"/>
  <c r="C8" i="7"/>
  <c r="D8" i="7"/>
  <c r="C7" i="7"/>
  <c r="D7" i="7"/>
  <c r="C6" i="7"/>
  <c r="D6" i="7"/>
  <c r="C5" i="7"/>
  <c r="D5" i="7"/>
  <c r="D4" i="7"/>
  <c r="C4" i="7"/>
  <c r="C3" i="7"/>
  <c r="D3" i="7"/>
  <c r="C2" i="7"/>
  <c r="D2" i="7"/>
  <c r="C11" i="6"/>
  <c r="D11" i="6"/>
  <c r="C10" i="6"/>
  <c r="D10" i="6"/>
  <c r="C9" i="6"/>
  <c r="D9" i="6"/>
  <c r="C8" i="6"/>
  <c r="D8" i="6"/>
  <c r="C7" i="6"/>
  <c r="D7" i="6"/>
  <c r="D6" i="6"/>
  <c r="C6" i="6"/>
  <c r="C5" i="6"/>
  <c r="D5" i="6"/>
  <c r="C4" i="6"/>
  <c r="D4" i="6"/>
  <c r="C3" i="6"/>
  <c r="C2" i="6"/>
  <c r="B13" i="5"/>
  <c r="A13" i="5"/>
  <c r="C11" i="5"/>
  <c r="K12" i="13"/>
  <c r="K25" i="13"/>
  <c r="D10" i="5"/>
  <c r="C10" i="5"/>
  <c r="J12" i="13"/>
  <c r="J25" i="13"/>
  <c r="C9" i="5"/>
  <c r="I12" i="13"/>
  <c r="I25" i="13"/>
  <c r="C8" i="5"/>
  <c r="H12" i="13"/>
  <c r="H25" i="13"/>
  <c r="D7" i="5"/>
  <c r="C7" i="5"/>
  <c r="G12" i="13"/>
  <c r="G25" i="13"/>
  <c r="C6" i="5"/>
  <c r="F12" i="13"/>
  <c r="F25" i="13"/>
  <c r="C5" i="5"/>
  <c r="D5" i="5"/>
  <c r="C4" i="5"/>
  <c r="D4" i="5"/>
  <c r="C3" i="5"/>
  <c r="D3" i="5"/>
  <c r="D2" i="5"/>
  <c r="C2" i="5"/>
  <c r="B12" i="13"/>
  <c r="B25" i="13"/>
  <c r="C11" i="4"/>
  <c r="D11" i="4"/>
  <c r="C10" i="4"/>
  <c r="D10" i="4"/>
  <c r="D9" i="4"/>
  <c r="C9" i="4"/>
  <c r="I6" i="13"/>
  <c r="I19" i="13"/>
  <c r="C8" i="4"/>
  <c r="H6" i="13"/>
  <c r="H19" i="13"/>
  <c r="C7" i="4"/>
  <c r="G6" i="13"/>
  <c r="G19" i="13"/>
  <c r="C6" i="4"/>
  <c r="F6" i="13"/>
  <c r="F19" i="13"/>
  <c r="C5" i="4"/>
  <c r="E6" i="13"/>
  <c r="E19" i="13"/>
  <c r="D4" i="4"/>
  <c r="C4" i="4"/>
  <c r="D6" i="13"/>
  <c r="D19" i="13"/>
  <c r="C3" i="4"/>
  <c r="C6" i="13"/>
  <c r="C19" i="13"/>
  <c r="C2" i="4"/>
  <c r="D2" i="4"/>
  <c r="D11" i="3"/>
  <c r="C11" i="3"/>
  <c r="C10" i="3"/>
  <c r="J10" i="13"/>
  <c r="J23" i="13"/>
  <c r="C9" i="3"/>
  <c r="D9" i="3"/>
  <c r="C8" i="3"/>
  <c r="D8" i="3"/>
  <c r="C7" i="3"/>
  <c r="D7" i="3"/>
  <c r="D6" i="3"/>
  <c r="C6" i="3"/>
  <c r="C5" i="3"/>
  <c r="D5" i="3"/>
  <c r="C4" i="3"/>
  <c r="D4" i="3"/>
  <c r="D3" i="3"/>
  <c r="C3" i="3"/>
  <c r="C10" i="13"/>
  <c r="C23" i="13"/>
  <c r="C2" i="3"/>
  <c r="D2" i="3"/>
  <c r="C11" i="2"/>
  <c r="C10" i="2"/>
  <c r="J7" i="13"/>
  <c r="J20" i="13"/>
  <c r="C9" i="2"/>
  <c r="D9" i="2"/>
  <c r="D8" i="2"/>
  <c r="C8" i="2"/>
  <c r="C7" i="2"/>
  <c r="D7" i="2"/>
  <c r="C6" i="2"/>
  <c r="D6" i="2"/>
  <c r="D5" i="2"/>
  <c r="C5" i="2"/>
  <c r="E7" i="13"/>
  <c r="E20" i="13"/>
  <c r="C4" i="2"/>
  <c r="C3" i="2"/>
  <c r="D3" i="2"/>
  <c r="C2" i="2"/>
  <c r="D2" i="2"/>
  <c r="C11" i="1"/>
  <c r="K5" i="13"/>
  <c r="K18" i="13"/>
  <c r="D10" i="1"/>
  <c r="C10" i="1"/>
  <c r="J5" i="13"/>
  <c r="J18" i="13"/>
  <c r="C9" i="1"/>
  <c r="D9" i="1"/>
  <c r="C8" i="1"/>
  <c r="D8" i="1"/>
  <c r="D7" i="1"/>
  <c r="C7" i="1"/>
  <c r="C6" i="1"/>
  <c r="D6" i="1"/>
  <c r="C5" i="1"/>
  <c r="D5" i="1"/>
  <c r="C4" i="1"/>
  <c r="D4" i="1"/>
  <c r="C3" i="1"/>
  <c r="C5" i="13"/>
  <c r="C18" i="13"/>
  <c r="D2" i="1"/>
  <c r="C2" i="1"/>
  <c r="B5" i="13"/>
  <c r="B18" i="13"/>
  <c r="K10" i="13"/>
  <c r="K23" i="13"/>
  <c r="H7" i="13"/>
  <c r="H20" i="13"/>
  <c r="I2" i="13"/>
  <c r="I15" i="13"/>
  <c r="K2" i="13"/>
  <c r="K15" i="13"/>
  <c r="E4" i="13"/>
  <c r="E17" i="13"/>
  <c r="K7" i="13"/>
  <c r="K20" i="13"/>
  <c r="G4" i="13"/>
  <c r="G17" i="13"/>
  <c r="H4" i="13"/>
  <c r="H17" i="13"/>
  <c r="D11" i="13"/>
  <c r="D24" i="13"/>
  <c r="F10" i="13"/>
  <c r="F23" i="13"/>
  <c r="D2" i="13"/>
  <c r="D15" i="13"/>
  <c r="F9" i="13"/>
  <c r="F22" i="13"/>
  <c r="D7" i="13"/>
  <c r="D20" i="13"/>
  <c r="H9" i="13"/>
  <c r="H22" i="13"/>
  <c r="B2" i="13"/>
  <c r="B15" i="13"/>
  <c r="H3" i="13"/>
  <c r="H16" i="13"/>
  <c r="D5" i="13"/>
  <c r="D18" i="13"/>
  <c r="J6" i="13"/>
  <c r="J19" i="13"/>
  <c r="B10" i="13"/>
  <c r="B23" i="13"/>
  <c r="H11" i="13"/>
  <c r="H24" i="13"/>
  <c r="D4" i="12"/>
  <c r="C2" i="13"/>
  <c r="C15" i="13"/>
  <c r="I3" i="13"/>
  <c r="I16" i="13"/>
  <c r="E5" i="13"/>
  <c r="E18" i="13"/>
  <c r="K6" i="13"/>
  <c r="K19" i="13"/>
  <c r="I11" i="13"/>
  <c r="I24" i="13"/>
  <c r="F5" i="13"/>
  <c r="F18" i="13"/>
  <c r="B7" i="13"/>
  <c r="B20" i="13"/>
  <c r="H8" i="13"/>
  <c r="H21" i="13"/>
  <c r="D10" i="13"/>
  <c r="D23" i="13"/>
  <c r="J11" i="13"/>
  <c r="J24" i="13"/>
  <c r="D5" i="12"/>
  <c r="E2" i="13"/>
  <c r="E15" i="13"/>
  <c r="K3" i="13"/>
  <c r="K16" i="13"/>
  <c r="G5" i="13"/>
  <c r="G18" i="13"/>
  <c r="C7" i="13"/>
  <c r="C20" i="13"/>
  <c r="E10" i="13"/>
  <c r="E23" i="13"/>
  <c r="K11" i="13"/>
  <c r="K24" i="13"/>
  <c r="D11" i="1"/>
  <c r="D2" i="9"/>
  <c r="I4" i="13"/>
  <c r="I17" i="13"/>
  <c r="D2" i="10"/>
  <c r="E8" i="13"/>
  <c r="E21" i="13"/>
  <c r="D4" i="2"/>
  <c r="D10" i="3"/>
  <c r="D8" i="4"/>
  <c r="D6" i="5"/>
  <c r="D3" i="6"/>
  <c r="D9" i="7"/>
  <c r="D7" i="8"/>
  <c r="D5" i="9"/>
  <c r="D3" i="10"/>
  <c r="D11" i="10"/>
  <c r="D9" i="11"/>
  <c r="F2" i="13"/>
  <c r="F15" i="13"/>
  <c r="H5" i="13"/>
  <c r="H18" i="13"/>
  <c r="D6" i="12"/>
  <c r="G2" i="13"/>
  <c r="G15" i="13"/>
  <c r="C4" i="13"/>
  <c r="C17" i="13"/>
  <c r="I5" i="13"/>
  <c r="I18" i="13"/>
  <c r="K8" i="13"/>
  <c r="K21" i="13"/>
  <c r="G10" i="13"/>
  <c r="G23" i="13"/>
  <c r="C12" i="13"/>
  <c r="C25" i="13"/>
  <c r="D3" i="8"/>
  <c r="D6" i="11"/>
  <c r="D10" i="2"/>
  <c r="D5" i="8"/>
  <c r="D4" i="9"/>
  <c r="H2" i="13"/>
  <c r="H15" i="13"/>
  <c r="F7" i="13"/>
  <c r="F20" i="13"/>
  <c r="B9" i="13"/>
  <c r="B22" i="13"/>
  <c r="H10" i="13"/>
  <c r="H23" i="13"/>
  <c r="D12" i="13"/>
  <c r="D25" i="13"/>
  <c r="J13" i="13"/>
  <c r="J26" i="13"/>
  <c r="D7" i="12"/>
  <c r="G7" i="13"/>
  <c r="G20" i="13"/>
  <c r="C9" i="13"/>
  <c r="C22" i="13"/>
  <c r="I10" i="13"/>
  <c r="I23" i="13"/>
  <c r="E12" i="13"/>
  <c r="E25" i="13"/>
  <c r="D10" i="9"/>
  <c r="D11" i="7"/>
  <c r="D7" i="9"/>
  <c r="D5" i="10"/>
  <c r="D11" i="11"/>
  <c r="J2" i="13"/>
  <c r="J15" i="13"/>
  <c r="B6" i="13"/>
  <c r="B19" i="13"/>
  <c r="D3" i="1"/>
  <c r="D5" i="4"/>
  <c r="D11" i="5"/>
  <c r="D6" i="4"/>
  <c r="C13" i="5"/>
  <c r="D11" i="9"/>
  <c r="D7" i="11"/>
  <c r="D11" i="2"/>
  <c r="D7" i="4"/>
  <c r="D2" i="6"/>
  <c r="B13" i="13"/>
  <c r="B26" i="13"/>
  <c r="D6" i="8"/>
  <c r="D8" i="11"/>
  <c r="D4" i="10"/>
  <c r="D10" i="11"/>
  <c r="D8" i="5"/>
  <c r="D3" i="4"/>
  <c r="D9" i="5"/>
  <c r="I7" i="13"/>
  <c r="I20" i="13"/>
  <c r="E9" i="13"/>
  <c r="E22" i="13"/>
  <c r="D9" i="9"/>
  <c r="D4" i="8"/>
  <c r="B11" i="13"/>
  <c r="B24" i="13"/>
  <c r="C11" i="13"/>
  <c r="C24" i="13"/>
  <c r="K13" i="13"/>
  <c r="K26" i="13"/>
  <c r="E13" i="13"/>
  <c r="E26" i="13"/>
  <c r="D8" i="13"/>
  <c r="D21" i="13"/>
  <c r="H13" i="13"/>
  <c r="H26" i="13"/>
  <c r="J8" i="13"/>
  <c r="J21" i="13"/>
  <c r="C8" i="13"/>
  <c r="C21" i="13"/>
  <c r="F4" i="13"/>
  <c r="F17" i="13"/>
  <c r="G13" i="13"/>
  <c r="G26" i="13"/>
  <c r="G8" i="13"/>
  <c r="G21" i="13"/>
  <c r="D4" i="13"/>
  <c r="D17" i="13"/>
  <c r="B8" i="13"/>
  <c r="B21" i="13"/>
  <c r="F13" i="13"/>
  <c r="F26" i="13"/>
  <c r="I8" i="13"/>
  <c r="I21" i="13"/>
  <c r="B4" i="13"/>
  <c r="B17" i="13"/>
  <c r="K4" i="13"/>
  <c r="K17" i="13"/>
  <c r="F8" i="13"/>
  <c r="F21" i="13"/>
  <c r="I13" i="13"/>
  <c r="I26" i="13"/>
  <c r="D13" i="13"/>
  <c r="D26" i="13"/>
  <c r="J4" i="13"/>
  <c r="J17" i="13"/>
  <c r="C13" i="13"/>
  <c r="C26" i="13"/>
</calcChain>
</file>

<file path=xl/sharedStrings.xml><?xml version="1.0" encoding="utf-8"?>
<sst xmlns="http://schemas.openxmlformats.org/spreadsheetml/2006/main" count="73" uniqueCount="17">
  <si>
    <t>Lower</t>
  </si>
  <si>
    <t>Upper</t>
  </si>
  <si>
    <t>sd</t>
  </si>
  <si>
    <t>Antigen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</si>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</sst>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1" fontId="0" fillId="0" borderId="0" xfId="0" applyNumberFormat="1"/>
    <xf numFmtId="0" fontId="0" fillId="0" borderId="4" xfId="0" applyBorder="1"/>
    <xf numFmtId="0" fontId="4" fillId="0" borderId="4" xfId="0" applyFont="1" applyBorder="1"/>
    <xf numFmtId="11" fontId="4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Scenario_data!$A$15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Scenario_data!$B$15:$K$15</c:f>
              <c:numCache>
                <c:formatCode>0.00E+00</c:formatCode>
                <c:ptCount val="10"/>
                <c:pt idx="0">
                  <c:v>346398627.64330411</c:v>
                </c:pt>
                <c:pt idx="1">
                  <c:v>609788409.3365891</c:v>
                </c:pt>
                <c:pt idx="2">
                  <c:v>525550757.40149248</c:v>
                </c:pt>
                <c:pt idx="3">
                  <c:v>518535636.92032444</c:v>
                </c:pt>
                <c:pt idx="4">
                  <c:v>678867528.27629232</c:v>
                </c:pt>
                <c:pt idx="5">
                  <c:v>613151699.66175199</c:v>
                </c:pt>
                <c:pt idx="6">
                  <c:v>745938422.0467608</c:v>
                </c:pt>
                <c:pt idx="7">
                  <c:v>981655245.73239946</c:v>
                </c:pt>
                <c:pt idx="8">
                  <c:v>758121639.38688612</c:v>
                </c:pt>
                <c:pt idx="9">
                  <c:v>1054136692.0376759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B-466B-BE2B-F7F1DF82D6E7}"/>
            </c:ext>
          </c:extLst>
        </c:ser>
        <c:ser>
          <c:idx val="1"/>
          <c:order val="1"/>
          <c:tx>
            <c:strRef>
              <c:f>Scenario_data!$A$16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Scenario_data!$B$16:$K$16</c:f>
              <c:numCache>
                <c:formatCode>0.00E+00</c:formatCode>
                <c:ptCount val="10"/>
                <c:pt idx="0">
                  <c:v>20840110.913639396</c:v>
                </c:pt>
                <c:pt idx="1">
                  <c:v>33003198.189924993</c:v>
                </c:pt>
                <c:pt idx="2">
                  <c:v>37564948.897706904</c:v>
                </c:pt>
                <c:pt idx="3">
                  <c:v>38297819.090270177</c:v>
                </c:pt>
                <c:pt idx="4">
                  <c:v>43196820.504247271</c:v>
                </c:pt>
                <c:pt idx="5">
                  <c:v>40800099.727116153</c:v>
                </c:pt>
                <c:pt idx="6">
                  <c:v>55512117.873587593</c:v>
                </c:pt>
                <c:pt idx="7">
                  <c:v>42130742.493162677</c:v>
                </c:pt>
                <c:pt idx="8">
                  <c:v>51577977.658602305</c:v>
                </c:pt>
                <c:pt idx="9">
                  <c:v>62584548.099562094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B-466B-BE2B-F7F1DF82D6E7}"/>
            </c:ext>
          </c:extLst>
        </c:ser>
        <c:ser>
          <c:idx val="2"/>
          <c:order val="2"/>
          <c:tx>
            <c:strRef>
              <c:f>Scenario_data!$A$17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Scenario_data!$B$17:$K$17</c:f>
              <c:numCache>
                <c:formatCode>0.00E+00</c:formatCode>
                <c:ptCount val="10"/>
                <c:pt idx="0">
                  <c:v>272373463.40747488</c:v>
                </c:pt>
                <c:pt idx="1">
                  <c:v>483516328.73493004</c:v>
                </c:pt>
                <c:pt idx="2">
                  <c:v>289119898.10361594</c:v>
                </c:pt>
                <c:pt idx="3">
                  <c:v>414059893.41429448</c:v>
                </c:pt>
                <c:pt idx="4">
                  <c:v>432718696.23840481</c:v>
                </c:pt>
                <c:pt idx="5">
                  <c:v>648180888.19893277</c:v>
                </c:pt>
                <c:pt idx="6">
                  <c:v>734672167.46613932</c:v>
                </c:pt>
                <c:pt idx="7">
                  <c:v>821487018.30194342</c:v>
                </c:pt>
                <c:pt idx="8">
                  <c:v>817668241.94867456</c:v>
                </c:pt>
                <c:pt idx="9">
                  <c:v>695484711.98491108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B-466B-BE2B-F7F1DF82D6E7}"/>
            </c:ext>
          </c:extLst>
        </c:ser>
        <c:ser>
          <c:idx val="3"/>
          <c:order val="3"/>
          <c:tx>
            <c:strRef>
              <c:f>Scenario_data!$A$18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Scenario_data!$B$18:$K$18</c:f>
              <c:numCache>
                <c:formatCode>0.00E+00</c:formatCode>
                <c:ptCount val="10"/>
                <c:pt idx="0">
                  <c:v>652096368.2216897</c:v>
                </c:pt>
                <c:pt idx="1">
                  <c:v>674341526.85532749</c:v>
                </c:pt>
                <c:pt idx="2">
                  <c:v>717706771.55113971</c:v>
                </c:pt>
                <c:pt idx="3">
                  <c:v>934898423.3402555</c:v>
                </c:pt>
                <c:pt idx="4">
                  <c:v>910992813.42327571</c:v>
                </c:pt>
                <c:pt idx="5">
                  <c:v>1182799454.738198</c:v>
                </c:pt>
                <c:pt idx="6">
                  <c:v>1384125950.1142042</c:v>
                </c:pt>
                <c:pt idx="7">
                  <c:v>1604956477.0636852</c:v>
                </c:pt>
                <c:pt idx="8">
                  <c:v>1648666503.6256371</c:v>
                </c:pt>
                <c:pt idx="9">
                  <c:v>2003485736.807965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AB-466B-BE2B-F7F1DF82D6E7}"/>
            </c:ext>
          </c:extLst>
        </c:ser>
        <c:ser>
          <c:idx val="4"/>
          <c:order val="4"/>
          <c:tx>
            <c:strRef>
              <c:f>Scenario_data!$A$19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Scenario_data!$B$19:$K$19</c:f>
              <c:numCache>
                <c:formatCode>0.00E+00</c:formatCode>
                <c:ptCount val="10"/>
                <c:pt idx="0">
                  <c:v>580321768.84763432</c:v>
                </c:pt>
                <c:pt idx="1">
                  <c:v>618409157.36515844</c:v>
                </c:pt>
                <c:pt idx="2">
                  <c:v>646864171.13713646</c:v>
                </c:pt>
                <c:pt idx="3">
                  <c:v>675476437.66133559</c:v>
                </c:pt>
                <c:pt idx="4">
                  <c:v>707358024.11453915</c:v>
                </c:pt>
                <c:pt idx="5">
                  <c:v>705923805.05312788</c:v>
                </c:pt>
                <c:pt idx="6">
                  <c:v>677684598.1991353</c:v>
                </c:pt>
                <c:pt idx="7">
                  <c:v>756577838.53838158</c:v>
                </c:pt>
                <c:pt idx="8">
                  <c:v>712522135.88390744</c:v>
                </c:pt>
                <c:pt idx="9">
                  <c:v>744577945.9480027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AB-466B-BE2B-F7F1DF82D6E7}"/>
            </c:ext>
          </c:extLst>
        </c:ser>
        <c:ser>
          <c:idx val="5"/>
          <c:order val="5"/>
          <c:tx>
            <c:strRef>
              <c:f>Scenario_data!$A$20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Scenario_data!$B$20:$K$20</c:f>
              <c:numCache>
                <c:formatCode>0.00E+00</c:formatCode>
                <c:ptCount val="10"/>
                <c:pt idx="0">
                  <c:v>377099079.522255</c:v>
                </c:pt>
                <c:pt idx="1">
                  <c:v>349743008.42086285</c:v>
                </c:pt>
                <c:pt idx="2">
                  <c:v>358828924.65739149</c:v>
                </c:pt>
                <c:pt idx="3">
                  <c:v>384166685.06519914</c:v>
                </c:pt>
                <c:pt idx="4">
                  <c:v>321018131.2935856</c:v>
                </c:pt>
                <c:pt idx="5">
                  <c:v>371783799.60341054</c:v>
                </c:pt>
                <c:pt idx="6">
                  <c:v>361224164.75770944</c:v>
                </c:pt>
                <c:pt idx="7">
                  <c:v>379838866.49923599</c:v>
                </c:pt>
                <c:pt idx="8">
                  <c:v>397507726.06506461</c:v>
                </c:pt>
                <c:pt idx="9">
                  <c:v>400664505.44185388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AB-466B-BE2B-F7F1DF82D6E7}"/>
            </c:ext>
          </c:extLst>
        </c:ser>
        <c:ser>
          <c:idx val="6"/>
          <c:order val="6"/>
          <c:tx>
            <c:strRef>
              <c:f>Scenario_data!$A$21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Scenario_data!$B$21:$K$21</c:f>
              <c:numCache>
                <c:formatCode>0.00E+00</c:formatCode>
                <c:ptCount val="10"/>
                <c:pt idx="0">
                  <c:v>390859091.0957067</c:v>
                </c:pt>
                <c:pt idx="1">
                  <c:v>385955632.35852683</c:v>
                </c:pt>
                <c:pt idx="2">
                  <c:v>323629206.30780774</c:v>
                </c:pt>
                <c:pt idx="3">
                  <c:v>424663649.35197407</c:v>
                </c:pt>
                <c:pt idx="4">
                  <c:v>373482318.40589166</c:v>
                </c:pt>
                <c:pt idx="5">
                  <c:v>358036029.12115455</c:v>
                </c:pt>
                <c:pt idx="6">
                  <c:v>480866833.4064604</c:v>
                </c:pt>
                <c:pt idx="7">
                  <c:v>476777441.9324975</c:v>
                </c:pt>
                <c:pt idx="8">
                  <c:v>438033992.66444403</c:v>
                </c:pt>
                <c:pt idx="9">
                  <c:v>424575883.86303997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AB-466B-BE2B-F7F1DF82D6E7}"/>
            </c:ext>
          </c:extLst>
        </c:ser>
        <c:ser>
          <c:idx val="7"/>
          <c:order val="7"/>
          <c:tx>
            <c:strRef>
              <c:f>Scenario_data!$A$22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Scenario_data!$B$22:$K$22</c:f>
              <c:numCache>
                <c:formatCode>0.00E+00</c:formatCode>
                <c:ptCount val="10"/>
                <c:pt idx="0">
                  <c:v>300732688.74825186</c:v>
                </c:pt>
                <c:pt idx="1">
                  <c:v>301138426.85186619</c:v>
                </c:pt>
                <c:pt idx="2">
                  <c:v>352704690.37444395</c:v>
                </c:pt>
                <c:pt idx="3">
                  <c:v>346461019.72448152</c:v>
                </c:pt>
                <c:pt idx="4">
                  <c:v>357200804.05163914</c:v>
                </c:pt>
                <c:pt idx="5">
                  <c:v>312268189.61223459</c:v>
                </c:pt>
                <c:pt idx="6">
                  <c:v>360212222.90886766</c:v>
                </c:pt>
                <c:pt idx="7">
                  <c:v>375709755.60838896</c:v>
                </c:pt>
                <c:pt idx="8">
                  <c:v>397730594.11381888</c:v>
                </c:pt>
                <c:pt idx="9">
                  <c:v>425669766.29332536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AB-466B-BE2B-F7F1DF82D6E7}"/>
            </c:ext>
          </c:extLst>
        </c:ser>
        <c:ser>
          <c:idx val="8"/>
          <c:order val="8"/>
          <c:tx>
            <c:strRef>
              <c:f>Scenario_data!$A$23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Scenario_data!$B$23:$K$23</c:f>
              <c:numCache>
                <c:formatCode>0.00E+00</c:formatCode>
                <c:ptCount val="10"/>
                <c:pt idx="0">
                  <c:v>587059615.91624844</c:v>
                </c:pt>
                <c:pt idx="1">
                  <c:v>711589396.21656442</c:v>
                </c:pt>
                <c:pt idx="2">
                  <c:v>695287580.72666001</c:v>
                </c:pt>
                <c:pt idx="3">
                  <c:v>768463061.4913609</c:v>
                </c:pt>
                <c:pt idx="4">
                  <c:v>718238764.86178637</c:v>
                </c:pt>
                <c:pt idx="5">
                  <c:v>753604437.83078837</c:v>
                </c:pt>
                <c:pt idx="6">
                  <c:v>839210342.65936148</c:v>
                </c:pt>
                <c:pt idx="7">
                  <c:v>804551762.56089425</c:v>
                </c:pt>
                <c:pt idx="8">
                  <c:v>881493869.87954855</c:v>
                </c:pt>
                <c:pt idx="9">
                  <c:v>859201436.88993907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AB-466B-BE2B-F7F1DF82D6E7}"/>
            </c:ext>
          </c:extLst>
        </c:ser>
        <c:ser>
          <c:idx val="9"/>
          <c:order val="9"/>
          <c:tx>
            <c:strRef>
              <c:f>Scenario_data!$A$24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Scenario_data!$B$24:$K$24</c:f>
              <c:numCache>
                <c:formatCode>0.00E+00</c:formatCode>
                <c:ptCount val="10"/>
                <c:pt idx="0">
                  <c:v>27250263.793651372</c:v>
                </c:pt>
                <c:pt idx="1">
                  <c:v>33604048.931154117</c:v>
                </c:pt>
                <c:pt idx="2">
                  <c:v>42521002.697570607</c:v>
                </c:pt>
                <c:pt idx="3">
                  <c:v>46309572.189586237</c:v>
                </c:pt>
                <c:pt idx="4">
                  <c:v>55327907.464503817</c:v>
                </c:pt>
                <c:pt idx="5">
                  <c:v>59490904.512177654</c:v>
                </c:pt>
                <c:pt idx="6">
                  <c:v>65506111.644410707</c:v>
                </c:pt>
                <c:pt idx="7">
                  <c:v>71881059.651827395</c:v>
                </c:pt>
                <c:pt idx="8">
                  <c:v>79714888.524668857</c:v>
                </c:pt>
                <c:pt idx="9">
                  <c:v>87510069.202634826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AB-466B-BE2B-F7F1DF82D6E7}"/>
            </c:ext>
          </c:extLst>
        </c:ser>
        <c:ser>
          <c:idx val="10"/>
          <c:order val="10"/>
          <c:tx>
            <c:strRef>
              <c:f>Scenario_data!$A$25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Scenario_data!$B$25:$K$25</c:f>
              <c:numCache>
                <c:formatCode>0.00E+00</c:formatCode>
                <c:ptCount val="10"/>
                <c:pt idx="0">
                  <c:v>203184261.34051713</c:v>
                </c:pt>
                <c:pt idx="1">
                  <c:v>193888232.76516005</c:v>
                </c:pt>
                <c:pt idx="2">
                  <c:v>237913229.93208605</c:v>
                </c:pt>
                <c:pt idx="3">
                  <c:v>244389697.47415298</c:v>
                </c:pt>
                <c:pt idx="4">
                  <c:v>349629111.22157079</c:v>
                </c:pt>
                <c:pt idx="5">
                  <c:v>427250110.0740537</c:v>
                </c:pt>
                <c:pt idx="6">
                  <c:v>457142117.25461364</c:v>
                </c:pt>
                <c:pt idx="7">
                  <c:v>507144865.37986726</c:v>
                </c:pt>
                <c:pt idx="8">
                  <c:v>647901558.97098541</c:v>
                </c:pt>
                <c:pt idx="9">
                  <c:v>737219212.85431552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AB-466B-BE2B-F7F1DF82D6E7}"/>
            </c:ext>
          </c:extLst>
        </c:ser>
        <c:ser>
          <c:idx val="11"/>
          <c:order val="11"/>
          <c:tx>
            <c:strRef>
              <c:f>Scenario_data!$A$26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Scenario_data!$B$26:$K$26</c:f>
              <c:numCache>
                <c:formatCode>0.00E+00</c:formatCode>
                <c:ptCount val="10"/>
                <c:pt idx="0">
                  <c:v>211403260.01881739</c:v>
                </c:pt>
                <c:pt idx="1">
                  <c:v>251439115.74413413</c:v>
                </c:pt>
                <c:pt idx="2">
                  <c:v>270272253.56533325</c:v>
                </c:pt>
                <c:pt idx="3">
                  <c:v>317723220.10685098</c:v>
                </c:pt>
                <c:pt idx="4">
                  <c:v>337170221.39178747</c:v>
                </c:pt>
                <c:pt idx="5">
                  <c:v>365214546.95532507</c:v>
                </c:pt>
                <c:pt idx="6">
                  <c:v>395976114.41627443</c:v>
                </c:pt>
                <c:pt idx="7">
                  <c:v>449048557.10372937</c:v>
                </c:pt>
                <c:pt idx="8">
                  <c:v>495827019.50174165</c:v>
                </c:pt>
                <c:pt idx="9">
                  <c:v>418569031.30105716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AB-466B-BE2B-F7F1DF82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306912"/>
        <c:axId val="336304992"/>
      </c:lineChart>
      <c:catAx>
        <c:axId val="3363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4992"/>
        <c:crosses val="autoZero"/>
        <c:auto val="1"/>
        <c:lblAlgn val="ctr"/>
        <c:lblOffset val="100"/>
        <c:noMultiLvlLbl val="0"/>
      </c:catAx>
      <c:valAx>
        <c:axId val="3363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382977</xdr:colOff>
      <xdr:row>1</xdr:row>
      <xdr:rowOff>21206</xdr:rowOff>
    </xdr:from>
    <xdr:to>
      <xdr:col>23</xdr:col>
      <xdr:colOff>530345</xdr:colOff>
      <xdr:row>28</xdr:row>
      <xdr:rowOff>39118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0FB706-E6A6-1FC0-80DD-FCCB3E905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C16" sqref="C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545886518.23867655</v>
      </c>
      <c r="B2">
        <v>777076702.64843607</v>
      </c>
      <c r="C2">
        <f t="shared" ref="C2:C11" si="0">AVERAGE(A2:B2)</f>
        <v>661481610.44355631</v>
      </c>
      <c r="D2" s="4">
        <f>(B2-C2)/1.96</f>
        <v>58977087.859632529</v>
      </c>
    </row>
    <row r="3" spans="1:4" x14ac:dyDescent="0.25">
      <c r="A3">
        <v>508228721.08986032</v>
      </c>
      <c r="B3">
        <v>902179583.3433063</v>
      </c>
      <c r="C3">
        <f t="shared" si="0"/>
        <v>705204152.21658325</v>
      </c>
      <c r="D3" s="4">
        <f t="shared" ref="D3:D11" si="1">(B3-C3)/1.96</f>
        <v>100497668.94220564</v>
      </c>
    </row>
    <row r="4" spans="1:4" x14ac:dyDescent="0.25">
      <c r="A4">
        <v>472845159.87652242</v>
      </c>
      <c r="B4">
        <v>1048139752.510308</v>
      </c>
      <c r="C4">
        <f t="shared" si="0"/>
        <v>760492456.19341516</v>
      </c>
      <c r="D4" s="4">
        <f t="shared" si="1"/>
        <v>146758824.65147597</v>
      </c>
    </row>
    <row r="5" spans="1:4" x14ac:dyDescent="0.25">
      <c r="A5">
        <v>437709524.92591959</v>
      </c>
      <c r="B5">
        <v>1223877877.9551761</v>
      </c>
      <c r="C5">
        <f t="shared" si="0"/>
        <v>830793701.44054782</v>
      </c>
      <c r="D5" s="4">
        <f t="shared" si="1"/>
        <v>200553151.28297362</v>
      </c>
    </row>
    <row r="6" spans="1:4" x14ac:dyDescent="0.25">
      <c r="A6">
        <v>402698196.9396286</v>
      </c>
      <c r="B6">
        <v>1437905479.398587</v>
      </c>
      <c r="C6">
        <f t="shared" si="0"/>
        <v>920301838.16910779</v>
      </c>
      <c r="D6" s="4">
        <f t="shared" si="1"/>
        <v>264083490.42320368</v>
      </c>
    </row>
    <row r="7" spans="1:4" x14ac:dyDescent="0.25">
      <c r="A7">
        <v>368115323.15745407</v>
      </c>
      <c r="B7">
        <v>1700247205.047471</v>
      </c>
      <c r="C7">
        <f t="shared" si="0"/>
        <v>1034181264.1024625</v>
      </c>
      <c r="D7" s="4">
        <f t="shared" si="1"/>
        <v>339829561.70663702</v>
      </c>
    </row>
    <row r="8" spans="1:4" x14ac:dyDescent="0.25">
      <c r="A8">
        <v>334354354.94743532</v>
      </c>
      <c r="B8">
        <v>2023368211.8516331</v>
      </c>
      <c r="C8">
        <f t="shared" si="0"/>
        <v>1178861283.3995342</v>
      </c>
      <c r="D8" s="4">
        <f t="shared" si="1"/>
        <v>430870881.86331576</v>
      </c>
    </row>
    <row r="9" spans="1:4" x14ac:dyDescent="0.25">
      <c r="A9">
        <v>301789669.78195262</v>
      </c>
      <c r="B9">
        <v>2423056152.5270262</v>
      </c>
      <c r="C9">
        <f t="shared" si="0"/>
        <v>1362422911.1544895</v>
      </c>
      <c r="D9" s="4">
        <f t="shared" si="1"/>
        <v>541139408.8635391</v>
      </c>
    </row>
    <row r="10" spans="1:4" x14ac:dyDescent="0.25">
      <c r="A10">
        <v>270737783.37456232</v>
      </c>
      <c r="B10">
        <v>2919476079.8360252</v>
      </c>
      <c r="C10">
        <f t="shared" si="0"/>
        <v>1595106931.6052938</v>
      </c>
      <c r="D10" s="4">
        <f t="shared" si="1"/>
        <v>675698545.01567936</v>
      </c>
    </row>
    <row r="11" spans="1:4" x14ac:dyDescent="0.25">
      <c r="A11">
        <v>241444983.2206544</v>
      </c>
      <c r="B11">
        <v>3538519113.1622062</v>
      </c>
      <c r="C11">
        <f t="shared" si="0"/>
        <v>1889982048.1914303</v>
      </c>
      <c r="D11" s="4">
        <f t="shared" si="1"/>
        <v>841090339.27080405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D29" sqref="D2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313184875.6168254</v>
      </c>
      <c r="B2">
        <v>397026393.63704878</v>
      </c>
      <c r="C2">
        <f t="shared" ref="C2:C11" si="0">AVERAGE(A2:B2)</f>
        <v>355105634.62693709</v>
      </c>
      <c r="D2" s="4">
        <f>(B2-C2)/1.96</f>
        <v>21388142.352097802</v>
      </c>
    </row>
    <row r="3" spans="1:4" x14ac:dyDescent="0.25">
      <c r="A3">
        <v>297220409.07591468</v>
      </c>
      <c r="B3">
        <v>418726778.96281028</v>
      </c>
      <c r="C3">
        <f t="shared" si="0"/>
        <v>357973594.01936245</v>
      </c>
      <c r="D3" s="4">
        <f t="shared" ref="D3:D11" si="1">(B3-C3)/1.96</f>
        <v>30996522.930330526</v>
      </c>
    </row>
    <row r="4" spans="1:4" x14ac:dyDescent="0.25">
      <c r="A4">
        <v>284867436.90863109</v>
      </c>
      <c r="B4">
        <v>437276119.25633711</v>
      </c>
      <c r="C4">
        <f t="shared" si="0"/>
        <v>361071778.08248413</v>
      </c>
      <c r="D4" s="4">
        <f t="shared" si="1"/>
        <v>38879765.905027032</v>
      </c>
    </row>
    <row r="5" spans="1:4" x14ac:dyDescent="0.25">
      <c r="A5">
        <v>274333558.66616201</v>
      </c>
      <c r="B5">
        <v>454473782.72728658</v>
      </c>
      <c r="C5">
        <f t="shared" si="0"/>
        <v>364403670.6967243</v>
      </c>
      <c r="D5" s="4">
        <f t="shared" si="1"/>
        <v>45954138.791103207</v>
      </c>
    </row>
    <row r="6" spans="1:4" x14ac:dyDescent="0.25">
      <c r="A6">
        <v>264944390.69536629</v>
      </c>
      <c r="B6">
        <v>471001453.41055518</v>
      </c>
      <c r="C6">
        <f t="shared" si="0"/>
        <v>367972922.05296075</v>
      </c>
      <c r="D6" s="4">
        <f t="shared" si="1"/>
        <v>52565577.223262466</v>
      </c>
    </row>
    <row r="7" spans="1:4" x14ac:dyDescent="0.25">
      <c r="A7">
        <v>256363314.1406557</v>
      </c>
      <c r="B7">
        <v>487203392.12997788</v>
      </c>
      <c r="C7">
        <f t="shared" si="0"/>
        <v>371783353.13531679</v>
      </c>
      <c r="D7" s="4">
        <f t="shared" si="1"/>
        <v>58887774.997276068</v>
      </c>
    </row>
    <row r="8" spans="1:4" x14ac:dyDescent="0.25">
      <c r="A8">
        <v>248395387.0916445</v>
      </c>
      <c r="B8">
        <v>503282533.62184912</v>
      </c>
      <c r="C8">
        <f t="shared" si="0"/>
        <v>375838960.35674679</v>
      </c>
      <c r="D8" s="4">
        <f t="shared" si="1"/>
        <v>65022231.257705271</v>
      </c>
    </row>
    <row r="9" spans="1:4" x14ac:dyDescent="0.25">
      <c r="A9">
        <v>240916564.79568711</v>
      </c>
      <c r="B9">
        <v>519371275.90998042</v>
      </c>
      <c r="C9">
        <f t="shared" si="0"/>
        <v>380143920.35283375</v>
      </c>
      <c r="D9" s="4">
        <f t="shared" si="1"/>
        <v>71034365.080176875</v>
      </c>
    </row>
    <row r="10" spans="1:4" x14ac:dyDescent="0.25">
      <c r="A10">
        <v>233842532.2153208</v>
      </c>
      <c r="B10">
        <v>535562657.66348678</v>
      </c>
      <c r="C10">
        <f t="shared" si="0"/>
        <v>384702594.93940377</v>
      </c>
      <c r="D10" s="4">
        <f t="shared" si="1"/>
        <v>76969419.757185206</v>
      </c>
    </row>
    <row r="11" spans="1:4" x14ac:dyDescent="0.25">
      <c r="A11">
        <v>227113082.79582271</v>
      </c>
      <c r="B11">
        <v>551925989.68367708</v>
      </c>
      <c r="C11">
        <f t="shared" si="0"/>
        <v>389519536.23974991</v>
      </c>
      <c r="D11" s="4">
        <f t="shared" si="1"/>
        <v>82860435.430575088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549827474.98132467</v>
      </c>
      <c r="B2">
        <v>716469135.2208643</v>
      </c>
      <c r="C2">
        <f t="shared" ref="C2:C11" si="0">AVERAGE(A2:B2)</f>
        <v>633148305.10109448</v>
      </c>
      <c r="D2" s="4">
        <f>(B2-C2)/1.96</f>
        <v>42510627.612127453</v>
      </c>
    </row>
    <row r="3" spans="1:4" x14ac:dyDescent="0.25">
      <c r="A3">
        <v>534554254.60230482</v>
      </c>
      <c r="B3">
        <v>783694552.35479057</v>
      </c>
      <c r="C3">
        <f t="shared" si="0"/>
        <v>659124403.47854769</v>
      </c>
      <c r="D3" s="4">
        <f t="shared" ref="D3:D11" si="1">(B3-C3)/1.96</f>
        <v>63556198.406246364</v>
      </c>
    </row>
    <row r="4" spans="1:4" x14ac:dyDescent="0.25">
      <c r="A4">
        <v>525451510.27095741</v>
      </c>
      <c r="B4">
        <v>847853208.89578772</v>
      </c>
      <c r="C4">
        <f t="shared" si="0"/>
        <v>686652359.58337259</v>
      </c>
      <c r="D4" s="4">
        <f t="shared" si="1"/>
        <v>82245331.281844452</v>
      </c>
    </row>
    <row r="5" spans="1:4" x14ac:dyDescent="0.25">
      <c r="A5">
        <v>519253104.41226047</v>
      </c>
      <c r="B5">
        <v>912407624.0362891</v>
      </c>
      <c r="C5">
        <f t="shared" si="0"/>
        <v>715830364.22427475</v>
      </c>
      <c r="D5" s="4">
        <f t="shared" si="1"/>
        <v>100294520.31225222</v>
      </c>
    </row>
    <row r="6" spans="1:4" x14ac:dyDescent="0.25">
      <c r="A6">
        <v>514757852.06144291</v>
      </c>
      <c r="B6">
        <v>978767909.04237306</v>
      </c>
      <c r="C6">
        <f t="shared" si="0"/>
        <v>746762880.55190802</v>
      </c>
      <c r="D6" s="4">
        <f t="shared" si="1"/>
        <v>118369912.49513523</v>
      </c>
    </row>
    <row r="7" spans="1:4" x14ac:dyDescent="0.25">
      <c r="A7">
        <v>511378303.13956457</v>
      </c>
      <c r="B7">
        <v>1047743797.031805</v>
      </c>
      <c r="C7">
        <f t="shared" si="0"/>
        <v>779561050.08568478</v>
      </c>
      <c r="D7" s="4">
        <f t="shared" si="1"/>
        <v>136827932.11536747</v>
      </c>
    </row>
    <row r="8" spans="1:4" x14ac:dyDescent="0.25">
      <c r="A8">
        <v>508780839.08917749</v>
      </c>
      <c r="B8">
        <v>1119905411.7408769</v>
      </c>
      <c r="C8">
        <f t="shared" si="0"/>
        <v>814343125.41502714</v>
      </c>
      <c r="D8" s="4">
        <f t="shared" si="1"/>
        <v>155899125.67645398</v>
      </c>
    </row>
    <row r="9" spans="1:4" x14ac:dyDescent="0.25">
      <c r="A9">
        <v>506757257.92836487</v>
      </c>
      <c r="B9">
        <v>1195712604.7760019</v>
      </c>
      <c r="C9">
        <f t="shared" si="0"/>
        <v>851234931.35218334</v>
      </c>
      <c r="D9" s="4">
        <f t="shared" si="1"/>
        <v>175753915.01215234</v>
      </c>
    </row>
    <row r="10" spans="1:4" x14ac:dyDescent="0.25">
      <c r="A10">
        <v>505168822.18110132</v>
      </c>
      <c r="B10">
        <v>1275571890.686219</v>
      </c>
      <c r="C10">
        <f t="shared" si="0"/>
        <v>890370356.43366015</v>
      </c>
      <c r="D10" s="4">
        <f t="shared" si="1"/>
        <v>196531395.02681574</v>
      </c>
    </row>
    <row r="11" spans="1:4" x14ac:dyDescent="0.25">
      <c r="A11">
        <v>503918489.12605762</v>
      </c>
      <c r="B11">
        <v>1359865264.464958</v>
      </c>
      <c r="C11">
        <f t="shared" si="0"/>
        <v>931891876.79550779</v>
      </c>
      <c r="D11" s="4">
        <f t="shared" si="1"/>
        <v>218353769.21910724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D16" sqref="A13:D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570605073.91759527</v>
      </c>
      <c r="B2">
        <v>712021988.8411392</v>
      </c>
      <c r="C2">
        <f t="shared" ref="C2:C11" si="0">AVERAGE(A2:B2)</f>
        <v>641313531.37936723</v>
      </c>
      <c r="D2" s="4">
        <f>(B2-C2)/1.96</f>
        <v>36075743.602944881</v>
      </c>
    </row>
    <row r="3" spans="1:4" x14ac:dyDescent="0.25">
      <c r="A3">
        <v>546556435.55415082</v>
      </c>
      <c r="B3">
        <v>752572987.22965991</v>
      </c>
      <c r="C3">
        <f t="shared" si="0"/>
        <v>649564711.39190531</v>
      </c>
      <c r="D3" s="4">
        <f t="shared" ref="D3:D11" si="1">(B3-C3)/1.96</f>
        <v>52555242.774364598</v>
      </c>
    </row>
    <row r="4" spans="1:4" x14ac:dyDescent="0.25">
      <c r="A4">
        <v>528200806.70503402</v>
      </c>
      <c r="B4">
        <v>787869354.32156754</v>
      </c>
      <c r="C4">
        <f t="shared" si="0"/>
        <v>658035080.51330078</v>
      </c>
      <c r="D4" s="4">
        <f t="shared" si="1"/>
        <v>66241976.432789162</v>
      </c>
    </row>
    <row r="5" spans="1:4" x14ac:dyDescent="0.25">
      <c r="A5">
        <v>512577784.94685572</v>
      </c>
      <c r="B5">
        <v>820877109.62421489</v>
      </c>
      <c r="C5">
        <f t="shared" si="0"/>
        <v>666727447.28553534</v>
      </c>
      <c r="D5" s="4">
        <f t="shared" si="1"/>
        <v>78647786.907489568</v>
      </c>
    </row>
    <row r="6" spans="1:4" x14ac:dyDescent="0.25">
      <c r="A6">
        <v>498585680.4414829</v>
      </c>
      <c r="B6">
        <v>852703034.15588212</v>
      </c>
      <c r="C6">
        <f t="shared" si="0"/>
        <v>675644357.29868245</v>
      </c>
      <c r="D6" s="4">
        <f t="shared" si="1"/>
        <v>90336059.621020243</v>
      </c>
    </row>
    <row r="7" spans="1:4" x14ac:dyDescent="0.25">
      <c r="A7">
        <v>485682110.78003752</v>
      </c>
      <c r="B7">
        <v>883894056.16960812</v>
      </c>
      <c r="C7">
        <f t="shared" si="0"/>
        <v>684788083.47482276</v>
      </c>
      <c r="D7" s="4">
        <f t="shared" si="1"/>
        <v>101584679.94631906</v>
      </c>
    </row>
    <row r="8" spans="1:4" x14ac:dyDescent="0.25">
      <c r="A8">
        <v>473558407.78072792</v>
      </c>
      <c r="B8">
        <v>914762825.56934071</v>
      </c>
      <c r="C8">
        <f t="shared" si="0"/>
        <v>694160616.67503428</v>
      </c>
      <c r="D8" s="4">
        <f t="shared" si="1"/>
        <v>112552147.3950543</v>
      </c>
    </row>
    <row r="9" spans="1:4" x14ac:dyDescent="0.25">
      <c r="A9">
        <v>462022405.12783933</v>
      </c>
      <c r="B9">
        <v>945504908.17209661</v>
      </c>
      <c r="C9">
        <f t="shared" si="0"/>
        <v>703763656.64996791</v>
      </c>
      <c r="D9" s="4">
        <f t="shared" si="1"/>
        <v>123337373.22557586</v>
      </c>
    </row>
    <row r="10" spans="1:4" x14ac:dyDescent="0.25">
      <c r="A10">
        <v>450946952.81506598</v>
      </c>
      <c r="B10">
        <v>976250253.89310932</v>
      </c>
      <c r="C10">
        <f t="shared" si="0"/>
        <v>713598603.35408759</v>
      </c>
      <c r="D10" s="4">
        <f t="shared" si="1"/>
        <v>134005944.15256211</v>
      </c>
    </row>
    <row r="11" spans="1:4" x14ac:dyDescent="0.25">
      <c r="A11">
        <v>440244172.18203962</v>
      </c>
      <c r="B11">
        <v>1007088925.104229</v>
      </c>
      <c r="C11">
        <f t="shared" si="0"/>
        <v>723666548.64313436</v>
      </c>
      <c r="D11" s="4">
        <f t="shared" si="1"/>
        <v>144603253.29647684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D3" sqref="D2:D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151905241.58038071</v>
      </c>
      <c r="B2">
        <v>239577204.00124341</v>
      </c>
      <c r="C2">
        <f t="shared" ref="C2:C11" si="0">AVERAGE(A2:B2)</f>
        <v>195741222.79081208</v>
      </c>
      <c r="D2" s="4">
        <f>(B2-C2)/1.96</f>
        <v>22365296.535934355</v>
      </c>
    </row>
    <row r="3" spans="1:4" x14ac:dyDescent="0.25">
      <c r="A3">
        <v>136461943.51271439</v>
      </c>
      <c r="B3">
        <v>288904036.91733217</v>
      </c>
      <c r="C3">
        <f t="shared" si="0"/>
        <v>212682990.21502328</v>
      </c>
      <c r="D3" s="4">
        <f t="shared" ref="D3:D11" si="1">(B3-C3)/1.96</f>
        <v>38888289.133831069</v>
      </c>
    </row>
    <row r="4" spans="1:4" x14ac:dyDescent="0.25">
      <c r="A4">
        <v>114045264.6782148</v>
      </c>
      <c r="B4">
        <v>370114448.41798627</v>
      </c>
      <c r="C4">
        <f t="shared" si="0"/>
        <v>242079856.54810053</v>
      </c>
      <c r="D4" s="4">
        <f t="shared" si="1"/>
        <v>65323771.362186603</v>
      </c>
    </row>
    <row r="5" spans="1:4" x14ac:dyDescent="0.25">
      <c r="A5">
        <v>90252569.704395846</v>
      </c>
      <c r="B5">
        <v>458930348.94241369</v>
      </c>
      <c r="C5">
        <f t="shared" si="0"/>
        <v>274591459.32340479</v>
      </c>
      <c r="D5" s="4">
        <f t="shared" si="1"/>
        <v>94050453.88724944</v>
      </c>
    </row>
    <row r="6" spans="1:4" x14ac:dyDescent="0.25">
      <c r="A6">
        <v>65912540.766366363</v>
      </c>
      <c r="B6">
        <v>574056567.33353531</v>
      </c>
      <c r="C6">
        <f t="shared" si="0"/>
        <v>319984554.04995084</v>
      </c>
      <c r="D6" s="4">
        <f t="shared" si="1"/>
        <v>129628578.20591044</v>
      </c>
    </row>
    <row r="7" spans="1:4" x14ac:dyDescent="0.25">
      <c r="A7">
        <v>43127541.385232568</v>
      </c>
      <c r="B7">
        <v>705954510.04519236</v>
      </c>
      <c r="C7">
        <f t="shared" si="0"/>
        <v>374541025.71521246</v>
      </c>
      <c r="D7" s="4">
        <f t="shared" si="1"/>
        <v>169088512.41325507</v>
      </c>
    </row>
    <row r="8" spans="1:4" x14ac:dyDescent="0.25">
      <c r="A8">
        <v>23598513.649045091</v>
      </c>
      <c r="B8">
        <v>864360605.90164208</v>
      </c>
      <c r="C8">
        <f t="shared" si="0"/>
        <v>443979559.7753436</v>
      </c>
      <c r="D8" s="4">
        <f t="shared" si="1"/>
        <v>214480125.57464209</v>
      </c>
    </row>
    <row r="9" spans="1:4" x14ac:dyDescent="0.25">
      <c r="A9">
        <v>8988406.4510310721</v>
      </c>
      <c r="B9">
        <v>1045924562.597692</v>
      </c>
      <c r="C9">
        <f t="shared" si="0"/>
        <v>527456484.52436155</v>
      </c>
      <c r="D9" s="4">
        <f t="shared" si="1"/>
        <v>264524529.62925023</v>
      </c>
    </row>
    <row r="10" spans="1:4" x14ac:dyDescent="0.25">
      <c r="A10">
        <v>1001479.754194712</v>
      </c>
      <c r="B10">
        <v>1256328160.0249071</v>
      </c>
      <c r="C10">
        <f t="shared" si="0"/>
        <v>628664819.88955092</v>
      </c>
      <c r="D10" s="4">
        <f t="shared" si="1"/>
        <v>320236398.02824295</v>
      </c>
    </row>
    <row r="11" spans="1:4" x14ac:dyDescent="0.25">
      <c r="A11">
        <v>1278232.492485841</v>
      </c>
      <c r="B11">
        <v>1495074334.663096</v>
      </c>
      <c r="C11">
        <f t="shared" si="0"/>
        <v>748176283.57779086</v>
      </c>
      <c r="D11" s="4">
        <f t="shared" si="1"/>
        <v>381070434.22719646</v>
      </c>
    </row>
    <row r="13" spans="1:4" x14ac:dyDescent="0.25">
      <c r="A13" s="4">
        <f>AVERAGE(A2:A11)</f>
        <v>63657173.397406146</v>
      </c>
      <c r="B13" s="4">
        <f>AVERAGE(B2:B11)</f>
        <v>729922477.88450408</v>
      </c>
      <c r="C13" s="4">
        <f>AVERAGE(C2:C11)</f>
        <v>396789825.64095503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D14" sqref="A13:D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211403260.01881739</v>
      </c>
      <c r="B2">
        <v>252940083.3603006</v>
      </c>
      <c r="C2">
        <f t="shared" ref="C2:C11" si="0">AVERAGE(A2:B2)</f>
        <v>232171671.68955898</v>
      </c>
      <c r="D2" s="4">
        <f>(B2-C2)/1.96</f>
        <v>10596128.403439602</v>
      </c>
    </row>
    <row r="3" spans="1:4" x14ac:dyDescent="0.25">
      <c r="A3">
        <v>208856647.25570789</v>
      </c>
      <c r="B3">
        <v>303936532.15251517</v>
      </c>
      <c r="C3">
        <f t="shared" si="0"/>
        <v>256396589.70411152</v>
      </c>
      <c r="D3" s="4">
        <f t="shared" ref="D3:D11" si="1">(B3-C3)/1.96</f>
        <v>24255072.677756969</v>
      </c>
    </row>
    <row r="4" spans="1:4" x14ac:dyDescent="0.25">
      <c r="A4">
        <v>200898755.51546949</v>
      </c>
      <c r="B4">
        <v>363423456.81929737</v>
      </c>
      <c r="C4">
        <f t="shared" si="0"/>
        <v>282161106.16738343</v>
      </c>
      <c r="D4" s="4">
        <f t="shared" si="1"/>
        <v>41460382.98567038</v>
      </c>
    </row>
    <row r="5" spans="1:4" x14ac:dyDescent="0.25">
      <c r="A5">
        <v>188469763.52293101</v>
      </c>
      <c r="B5">
        <v>431025210.27462173</v>
      </c>
      <c r="C5">
        <f t="shared" si="0"/>
        <v>309747486.89877635</v>
      </c>
      <c r="D5" s="4">
        <f t="shared" si="1"/>
        <v>61876389.477472126</v>
      </c>
    </row>
    <row r="6" spans="1:4" x14ac:dyDescent="0.25">
      <c r="A6">
        <v>172308767.418744</v>
      </c>
      <c r="B6">
        <v>506523585.42713439</v>
      </c>
      <c r="C6">
        <f t="shared" si="0"/>
        <v>339416176.42293918</v>
      </c>
      <c r="D6" s="4">
        <f t="shared" si="1"/>
        <v>85258882.144997552</v>
      </c>
    </row>
    <row r="7" spans="1:4" x14ac:dyDescent="0.25">
      <c r="A7">
        <v>153059748.41270599</v>
      </c>
      <c r="B7">
        <v>589779079.34529769</v>
      </c>
      <c r="C7">
        <f t="shared" si="0"/>
        <v>371419413.87900186</v>
      </c>
      <c r="D7" s="4">
        <f t="shared" si="1"/>
        <v>111407992.58484481</v>
      </c>
    </row>
    <row r="8" spans="1:4" x14ac:dyDescent="0.25">
      <c r="A8">
        <v>131334057.0045342</v>
      </c>
      <c r="B8">
        <v>680693794.88016808</v>
      </c>
      <c r="C8">
        <f t="shared" si="0"/>
        <v>406013925.94235116</v>
      </c>
      <c r="D8" s="4">
        <f t="shared" si="1"/>
        <v>140142790.27439639</v>
      </c>
    </row>
    <row r="9" spans="1:4" x14ac:dyDescent="0.25">
      <c r="A9">
        <v>107756723.55536941</v>
      </c>
      <c r="B9">
        <v>779193758.36140025</v>
      </c>
      <c r="C9">
        <f t="shared" si="0"/>
        <v>443475240.95838481</v>
      </c>
      <c r="D9" s="4">
        <f t="shared" si="1"/>
        <v>171284957.85868135</v>
      </c>
    </row>
    <row r="10" spans="1:4" x14ac:dyDescent="0.25">
      <c r="A10">
        <v>83015401.090449125</v>
      </c>
      <c r="B10">
        <v>885219822.80726838</v>
      </c>
      <c r="C10">
        <f t="shared" si="0"/>
        <v>484117611.94885874</v>
      </c>
      <c r="D10" s="4">
        <f t="shared" si="1"/>
        <v>204643985.13184166</v>
      </c>
    </row>
    <row r="11" spans="1:4" x14ac:dyDescent="0.25">
      <c r="A11">
        <v>57933752.088722207</v>
      </c>
      <c r="B11">
        <v>998722648.43545532</v>
      </c>
      <c r="C11">
        <f t="shared" si="0"/>
        <v>528328200.26208878</v>
      </c>
      <c r="D11" s="4">
        <f t="shared" si="1"/>
        <v>239997167.4353911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C14" sqref="A12:C14"/>
    </sheetView>
  </sheetViews>
  <sheetFormatPr defaultRowHeight="15" x14ac:dyDescent="0.25"/>
  <cols>
    <col min="1" max="1" width="12" bestFit="1" customWidth="1"/>
    <col min="2" max="2" width="11" bestFit="1" customWidth="1"/>
    <col min="3" max="4" width="12" bestFit="1" customWidth="1"/>
  </cols>
  <sheetData>
    <row r="1" spans="1:4" x14ac:dyDescent="0.25">
      <c r="A1" s="2" t="s">
        <v>0</v>
      </c>
      <c r="B1" s="2" t="s">
        <v>1</v>
      </c>
      <c r="C1" t="s">
        <v>16</v>
      </c>
      <c r="D1" t="s">
        <v>2</v>
      </c>
    </row>
    <row r="2" spans="1:4" x14ac:dyDescent="0.25">
      <c r="A2">
        <v>247261081.24249551</v>
      </c>
      <c r="B2">
        <v>668711630.97059476</v>
      </c>
      <c r="C2">
        <f t="shared" ref="C2:C11" si="0">AVERAGE(A2:B2)</f>
        <v>457986356.10654515</v>
      </c>
      <c r="D2" s="4">
        <f>(B2-C2)/1.96</f>
        <v>107512895.33880082</v>
      </c>
    </row>
    <row r="3" spans="1:4" x14ac:dyDescent="0.25">
      <c r="A3">
        <v>197768228.86693519</v>
      </c>
      <c r="B3">
        <v>810633988.61219323</v>
      </c>
      <c r="C3">
        <f t="shared" si="0"/>
        <v>504201108.73956418</v>
      </c>
      <c r="D3" s="4">
        <f t="shared" ref="D3:D11" si="1">(B3-C3)/1.96</f>
        <v>156343306.05746379</v>
      </c>
    </row>
    <row r="4" spans="1:4" x14ac:dyDescent="0.25">
      <c r="A4">
        <v>174825189.23867741</v>
      </c>
      <c r="B4">
        <v>919869439.18637204</v>
      </c>
      <c r="C4">
        <f t="shared" si="0"/>
        <v>547347314.21252477</v>
      </c>
      <c r="D4" s="4">
        <f t="shared" si="1"/>
        <v>190062308.66012615</v>
      </c>
    </row>
    <row r="5" spans="1:4" x14ac:dyDescent="0.25">
      <c r="A5">
        <v>154608386.45836771</v>
      </c>
      <c r="B5">
        <v>1042625820.562032</v>
      </c>
      <c r="C5">
        <f t="shared" si="0"/>
        <v>598617103.51019979</v>
      </c>
      <c r="D5" s="4">
        <f t="shared" si="1"/>
        <v>226535059.72032255</v>
      </c>
    </row>
    <row r="6" spans="1:4" x14ac:dyDescent="0.25">
      <c r="A6">
        <v>134237518.08333459</v>
      </c>
      <c r="B6">
        <v>1175631224.0320301</v>
      </c>
      <c r="C6">
        <f t="shared" si="0"/>
        <v>654934371.05768239</v>
      </c>
      <c r="D6" s="4">
        <f t="shared" si="1"/>
        <v>265661659.68078965</v>
      </c>
    </row>
    <row r="7" spans="1:4" x14ac:dyDescent="0.25">
      <c r="A7">
        <v>115665666.1817659</v>
      </c>
      <c r="B7">
        <v>1313492788.0105519</v>
      </c>
      <c r="C7">
        <f t="shared" si="0"/>
        <v>714579227.09615886</v>
      </c>
      <c r="D7" s="4">
        <f t="shared" si="1"/>
        <v>305568143.32366991</v>
      </c>
    </row>
    <row r="8" spans="1:4" x14ac:dyDescent="0.25">
      <c r="A8">
        <v>98792333.830466211</v>
      </c>
      <c r="B8">
        <v>1458229675.7044909</v>
      </c>
      <c r="C8">
        <f t="shared" si="0"/>
        <v>778511004.76747859</v>
      </c>
      <c r="D8" s="4">
        <f t="shared" si="1"/>
        <v>346795240.27398586</v>
      </c>
    </row>
    <row r="9" spans="1:4" x14ac:dyDescent="0.25">
      <c r="A9">
        <v>83133859.166098088</v>
      </c>
      <c r="B9">
        <v>1611380998.66399</v>
      </c>
      <c r="C9">
        <f t="shared" si="0"/>
        <v>847257428.91504407</v>
      </c>
      <c r="D9" s="4">
        <f t="shared" si="1"/>
        <v>389858964.1576255</v>
      </c>
    </row>
    <row r="10" spans="1:4" x14ac:dyDescent="0.25">
      <c r="A10">
        <v>68628718.481991574</v>
      </c>
      <c r="B10">
        <v>1773063836.501817</v>
      </c>
      <c r="C10">
        <f t="shared" si="0"/>
        <v>920846277.49190426</v>
      </c>
      <c r="D10" s="4">
        <f t="shared" si="1"/>
        <v>434804877.04587382</v>
      </c>
    </row>
    <row r="11" spans="1:4" x14ac:dyDescent="0.25">
      <c r="A11">
        <v>55327890.063936763</v>
      </c>
      <c r="B11">
        <v>1943511990.9258599</v>
      </c>
      <c r="C11">
        <f t="shared" si="0"/>
        <v>999419940.49489832</v>
      </c>
      <c r="D11" s="4">
        <f t="shared" si="1"/>
        <v>481679617.56681716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selection activeCell="D15" sqref="A13:D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15606210.17351607</v>
      </c>
      <c r="B2">
        <v>39449727.696229212</v>
      </c>
      <c r="C2">
        <f t="shared" ref="C2:C11" si="0">AVERAGE(A2:B2)</f>
        <v>27527968.934872642</v>
      </c>
      <c r="D2" s="4">
        <f>(B2-C2)/1.96</f>
        <v>6082529.9802839644</v>
      </c>
    </row>
    <row r="3" spans="1:4" x14ac:dyDescent="0.25">
      <c r="A3">
        <v>11550680.10724384</v>
      </c>
      <c r="B3">
        <v>47723828.221244819</v>
      </c>
      <c r="C3">
        <f t="shared" si="0"/>
        <v>29637254.164244331</v>
      </c>
      <c r="D3" s="4">
        <f t="shared" ref="D3:D11" si="1">(B3-C3)/1.96</f>
        <v>9227843.9066329021</v>
      </c>
    </row>
    <row r="4" spans="1:4" x14ac:dyDescent="0.25">
      <c r="A4">
        <v>8463058.944489466</v>
      </c>
      <c r="B4">
        <v>55849318.35336896</v>
      </c>
      <c r="C4">
        <f t="shared" si="0"/>
        <v>32156188.648929212</v>
      </c>
      <c r="D4" s="4">
        <f t="shared" si="1"/>
        <v>12088331.481857015</v>
      </c>
    </row>
    <row r="5" spans="1:4" x14ac:dyDescent="0.25">
      <c r="A5">
        <v>5946849.4759663558</v>
      </c>
      <c r="B5">
        <v>64308511.223516516</v>
      </c>
      <c r="C5">
        <f t="shared" si="0"/>
        <v>35127680.349741437</v>
      </c>
      <c r="D5" s="4">
        <f t="shared" si="1"/>
        <v>14888179.017232183</v>
      </c>
    </row>
    <row r="6" spans="1:4" x14ac:dyDescent="0.25">
      <c r="A6">
        <v>3887788.5696554538</v>
      </c>
      <c r="B6">
        <v>73301485.885334834</v>
      </c>
      <c r="C6">
        <f t="shared" si="0"/>
        <v>38594637.227495141</v>
      </c>
      <c r="D6" s="4">
        <f t="shared" si="1"/>
        <v>17707575.84583658</v>
      </c>
    </row>
    <row r="7" spans="1:4" x14ac:dyDescent="0.25">
      <c r="A7">
        <v>2254283.6558757699</v>
      </c>
      <c r="B7">
        <v>82945650.8301332</v>
      </c>
      <c r="C7">
        <f t="shared" si="0"/>
        <v>42599967.243004486</v>
      </c>
      <c r="D7" s="4">
        <f t="shared" si="1"/>
        <v>20584532.442412611</v>
      </c>
    </row>
    <row r="8" spans="1:4" x14ac:dyDescent="0.25">
      <c r="A8">
        <v>1048378.729640061</v>
      </c>
      <c r="B8">
        <v>93324777.984527171</v>
      </c>
      <c r="C8">
        <f t="shared" si="0"/>
        <v>47186578.357083619</v>
      </c>
      <c r="D8" s="4">
        <f t="shared" si="1"/>
        <v>23539897.769103855</v>
      </c>
    </row>
    <row r="9" spans="1:4" x14ac:dyDescent="0.25">
      <c r="A9">
        <v>288418.11666728382</v>
      </c>
      <c r="B9">
        <v>104506338.9444261</v>
      </c>
      <c r="C9">
        <f t="shared" si="0"/>
        <v>52397378.530546695</v>
      </c>
      <c r="D9" s="4">
        <f t="shared" si="1"/>
        <v>26586204.292795617</v>
      </c>
    </row>
    <row r="10" spans="1:4" x14ac:dyDescent="0.25">
      <c r="A10">
        <v>1567.8178362311489</v>
      </c>
      <c r="B10">
        <v>116548983.6305794</v>
      </c>
      <c r="C10">
        <f t="shared" si="0"/>
        <v>58275275.724207811</v>
      </c>
      <c r="D10" s="4">
        <f t="shared" si="1"/>
        <v>29731483.625699788</v>
      </c>
    </row>
    <row r="11" spans="1:4" x14ac:dyDescent="0.25">
      <c r="A11">
        <v>220145.98263171711</v>
      </c>
      <c r="B11">
        <v>129506209.81513061</v>
      </c>
      <c r="C11">
        <f t="shared" si="0"/>
        <v>64863177.89888116</v>
      </c>
      <c r="D11" s="4">
        <f t="shared" si="1"/>
        <v>32981138.73278033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>
      <selection activeCell="D15" sqref="A13:D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190948844.07116279</v>
      </c>
      <c r="B2">
        <v>560668762.91228616</v>
      </c>
      <c r="C2">
        <f t="shared" ref="C2:C11" si="0">AVERAGE(A2:B2)</f>
        <v>375808803.49172449</v>
      </c>
      <c r="D2" s="4">
        <f>(B2-C2)/1.96</f>
        <v>94316305.826817185</v>
      </c>
    </row>
    <row r="3" spans="1:4" x14ac:dyDescent="0.25">
      <c r="A3">
        <v>158982392.35144421</v>
      </c>
      <c r="B3">
        <v>656639443.69823086</v>
      </c>
      <c r="C3">
        <f t="shared" si="0"/>
        <v>407810918.02483755</v>
      </c>
      <c r="D3" s="4">
        <f t="shared" ref="D3:D11" si="1">(B3-C3)/1.96</f>
        <v>126953329.42520067</v>
      </c>
    </row>
    <row r="4" spans="1:4" x14ac:dyDescent="0.25">
      <c r="A4">
        <v>151311679.9446007</v>
      </c>
      <c r="B4">
        <v>734748895.59781075</v>
      </c>
      <c r="C4">
        <f t="shared" si="0"/>
        <v>443030287.77120572</v>
      </c>
      <c r="D4" s="4">
        <f t="shared" si="1"/>
        <v>148836024.4013291</v>
      </c>
    </row>
    <row r="5" spans="1:4" x14ac:dyDescent="0.25">
      <c r="A5">
        <v>144568843.93537959</v>
      </c>
      <c r="B5">
        <v>833845846.65265334</v>
      </c>
      <c r="C5">
        <f t="shared" si="0"/>
        <v>489207345.29401648</v>
      </c>
      <c r="D5" s="4">
        <f t="shared" si="1"/>
        <v>175835970.08093718</v>
      </c>
    </row>
    <row r="6" spans="1:4" x14ac:dyDescent="0.25">
      <c r="A6">
        <v>135936333.51880071</v>
      </c>
      <c r="B6">
        <v>935183993.09773898</v>
      </c>
      <c r="C6">
        <f t="shared" si="0"/>
        <v>535560163.30826986</v>
      </c>
      <c r="D6" s="4">
        <f t="shared" si="1"/>
        <v>203889709.07625976</v>
      </c>
    </row>
    <row r="7" spans="1:4" x14ac:dyDescent="0.25">
      <c r="A7">
        <v>128974444.51362661</v>
      </c>
      <c r="B7">
        <v>1035702010.497537</v>
      </c>
      <c r="C7">
        <f t="shared" si="0"/>
        <v>582338227.50558186</v>
      </c>
      <c r="D7" s="4">
        <f t="shared" si="1"/>
        <v>231308052.54691589</v>
      </c>
    </row>
    <row r="8" spans="1:4" x14ac:dyDescent="0.25">
      <c r="A8">
        <v>123252406.44158401</v>
      </c>
      <c r="B8">
        <v>1140865505.156076</v>
      </c>
      <c r="C8">
        <f t="shared" si="0"/>
        <v>632058955.79883003</v>
      </c>
      <c r="D8" s="4">
        <f t="shared" si="1"/>
        <v>259595178.24349281</v>
      </c>
    </row>
    <row r="9" spans="1:4" x14ac:dyDescent="0.25">
      <c r="A9">
        <v>117854670.1636892</v>
      </c>
      <c r="B9">
        <v>1250573329.867188</v>
      </c>
      <c r="C9">
        <f t="shared" si="0"/>
        <v>684214000.01543856</v>
      </c>
      <c r="D9" s="4">
        <f t="shared" si="1"/>
        <v>288958841.76109666</v>
      </c>
    </row>
    <row r="10" spans="1:4" x14ac:dyDescent="0.25">
      <c r="A10">
        <v>112790961.9868522</v>
      </c>
      <c r="B10">
        <v>1363909117.3884921</v>
      </c>
      <c r="C10">
        <f t="shared" si="0"/>
        <v>738350039.68767214</v>
      </c>
      <c r="D10" s="4">
        <f t="shared" si="1"/>
        <v>319162794.74531633</v>
      </c>
    </row>
    <row r="11" spans="1:4" x14ac:dyDescent="0.25">
      <c r="A11">
        <v>108100068.2739616</v>
      </c>
      <c r="B11">
        <v>1481295234.0425</v>
      </c>
      <c r="C11">
        <f t="shared" si="0"/>
        <v>794697651.15823078</v>
      </c>
      <c r="D11" s="4">
        <f t="shared" si="1"/>
        <v>350304889.226668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>
      <selection activeCell="D15" sqref="A13:D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313064095.43054122</v>
      </c>
      <c r="B2">
        <v>449867903.82097661</v>
      </c>
      <c r="C2">
        <f t="shared" ref="C2:C11" si="0">AVERAGE(A2:B2)</f>
        <v>381465999.62575889</v>
      </c>
      <c r="D2" s="4">
        <f>(B2-C2)/1.96</f>
        <v>34898930.711845778</v>
      </c>
    </row>
    <row r="3" spans="1:4" x14ac:dyDescent="0.25">
      <c r="A3">
        <v>284172162.19225121</v>
      </c>
      <c r="B3">
        <v>494109545.4175849</v>
      </c>
      <c r="C3">
        <f t="shared" si="0"/>
        <v>389140853.80491805</v>
      </c>
      <c r="D3" s="4">
        <f t="shared" ref="D3:D11" si="1">(B3-C3)/1.96</f>
        <v>53555454.904421858</v>
      </c>
    </row>
    <row r="4" spans="1:4" x14ac:dyDescent="0.25">
      <c r="A4">
        <v>236929106.38589969</v>
      </c>
      <c r="B4">
        <v>551227913.124102</v>
      </c>
      <c r="C4">
        <f t="shared" si="0"/>
        <v>394078509.75500083</v>
      </c>
      <c r="D4" s="4">
        <f t="shared" si="1"/>
        <v>80178267.025051624</v>
      </c>
    </row>
    <row r="5" spans="1:4" x14ac:dyDescent="0.25">
      <c r="A5">
        <v>204226774.46613339</v>
      </c>
      <c r="B5">
        <v>593697094.67696595</v>
      </c>
      <c r="C5">
        <f t="shared" si="0"/>
        <v>398961934.57154965</v>
      </c>
      <c r="D5" s="4">
        <f t="shared" si="1"/>
        <v>99354673.523171589</v>
      </c>
    </row>
    <row r="6" spans="1:4" x14ac:dyDescent="0.25">
      <c r="A6">
        <v>178608432.22487739</v>
      </c>
      <c r="B6">
        <v>628975015.5441829</v>
      </c>
      <c r="C6">
        <f t="shared" si="0"/>
        <v>403791723.88453013</v>
      </c>
      <c r="D6" s="4">
        <f t="shared" si="1"/>
        <v>114889434.52023101</v>
      </c>
    </row>
    <row r="7" spans="1:4" x14ac:dyDescent="0.25">
      <c r="A7">
        <v>157442189.9524743</v>
      </c>
      <c r="B7">
        <v>659694743.61152732</v>
      </c>
      <c r="C7">
        <f t="shared" si="0"/>
        <v>408568466.78200078</v>
      </c>
      <c r="D7" s="4">
        <f t="shared" si="1"/>
        <v>128125651.443636</v>
      </c>
    </row>
    <row r="8" spans="1:4" x14ac:dyDescent="0.25">
      <c r="A8">
        <v>139425132.9823041</v>
      </c>
      <c r="B8">
        <v>687160358.78162241</v>
      </c>
      <c r="C8">
        <f t="shared" si="0"/>
        <v>413292745.88196325</v>
      </c>
      <c r="D8" s="4">
        <f t="shared" si="1"/>
        <v>139728373.92839754</v>
      </c>
    </row>
    <row r="9" spans="1:4" x14ac:dyDescent="0.25">
      <c r="A9">
        <v>123796046.04026081</v>
      </c>
      <c r="B9">
        <v>712134228.76658809</v>
      </c>
      <c r="C9">
        <f t="shared" si="0"/>
        <v>417965137.40342444</v>
      </c>
      <c r="D9" s="4">
        <f t="shared" si="1"/>
        <v>150086271.10365492</v>
      </c>
    </row>
    <row r="10" spans="1:4" x14ac:dyDescent="0.25">
      <c r="A10">
        <v>110062834.5576396</v>
      </c>
      <c r="B10">
        <v>735109587.91571593</v>
      </c>
      <c r="C10">
        <f t="shared" si="0"/>
        <v>422586211.23667777</v>
      </c>
      <c r="D10" s="4">
        <f t="shared" si="1"/>
        <v>159450702.38726437</v>
      </c>
    </row>
    <row r="11" spans="1:4" x14ac:dyDescent="0.25">
      <c r="A11">
        <v>97884695.500129983</v>
      </c>
      <c r="B11">
        <v>756428366.52549577</v>
      </c>
      <c r="C11">
        <f t="shared" si="0"/>
        <v>427156531.01281285</v>
      </c>
      <c r="D11" s="4">
        <f t="shared" si="1"/>
        <v>167995834.4452464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>
      <selection activeCell="F12" sqref="F12"/>
    </sheetView>
  </sheetViews>
  <sheetFormatPr defaultRowHeight="15" x14ac:dyDescent="0.25"/>
  <sheetData>
    <row r="1" spans="1:4" x14ac:dyDescent="0.25">
      <c r="A1" s="3" t="s">
        <v>0</v>
      </c>
      <c r="B1" s="3" t="s">
        <v>1</v>
      </c>
      <c r="C1" t="s">
        <v>16</v>
      </c>
      <c r="D1" t="s">
        <v>2</v>
      </c>
    </row>
    <row r="2" spans="1:4" x14ac:dyDescent="0.25">
      <c r="A2">
        <v>263149726.4973551</v>
      </c>
      <c r="B2">
        <v>335380421.76351452</v>
      </c>
      <c r="C2">
        <f t="shared" ref="C2:C11" si="0">AVERAGE(A2:B2)</f>
        <v>299265074.13043481</v>
      </c>
      <c r="D2" s="4">
        <f>(B2-C2)/1.96</f>
        <v>18426197.771979444</v>
      </c>
    </row>
    <row r="3" spans="1:4" x14ac:dyDescent="0.25">
      <c r="A3">
        <v>260202444.8283492</v>
      </c>
      <c r="B3">
        <v>362352073.69339001</v>
      </c>
      <c r="C3">
        <f t="shared" si="0"/>
        <v>311277259.26086962</v>
      </c>
      <c r="D3" s="4">
        <f t="shared" ref="D3:D11" si="1">(B3-C3)/1.96</f>
        <v>26058578.79210224</v>
      </c>
    </row>
    <row r="4" spans="1:4" x14ac:dyDescent="0.25">
      <c r="A4">
        <v>260735827.35779801</v>
      </c>
      <c r="B4">
        <v>385843061.42481089</v>
      </c>
      <c r="C4">
        <f t="shared" si="0"/>
        <v>323289444.39130443</v>
      </c>
      <c r="D4" s="4">
        <f t="shared" si="1"/>
        <v>31915110.731380843</v>
      </c>
    </row>
    <row r="5" spans="1:4" x14ac:dyDescent="0.25">
      <c r="A5">
        <v>263070934.2555798</v>
      </c>
      <c r="B5">
        <v>407532324.78789872</v>
      </c>
      <c r="C5">
        <f t="shared" si="0"/>
        <v>335301629.52173924</v>
      </c>
      <c r="D5" s="4">
        <f t="shared" si="1"/>
        <v>36852395.543958917</v>
      </c>
    </row>
    <row r="6" spans="1:4" x14ac:dyDescent="0.25">
      <c r="A6">
        <v>266557442.3135716</v>
      </c>
      <c r="B6">
        <v>428070186.99077648</v>
      </c>
      <c r="C6">
        <f t="shared" si="0"/>
        <v>347313814.65217406</v>
      </c>
      <c r="D6" s="4">
        <f t="shared" si="1"/>
        <v>41202230.785001241</v>
      </c>
    </row>
    <row r="7" spans="1:4" x14ac:dyDescent="0.25">
      <c r="A7">
        <v>270861826.19833142</v>
      </c>
      <c r="B7">
        <v>447790173.36688638</v>
      </c>
      <c r="C7">
        <f t="shared" si="0"/>
        <v>359325999.78260887</v>
      </c>
      <c r="D7" s="4">
        <f t="shared" si="1"/>
        <v>45134782.440957911</v>
      </c>
    </row>
    <row r="8" spans="1:4" x14ac:dyDescent="0.25">
      <c r="A8">
        <v>275785956.5632695</v>
      </c>
      <c r="B8">
        <v>466890413.26281792</v>
      </c>
      <c r="C8">
        <f t="shared" si="0"/>
        <v>371338184.91304374</v>
      </c>
      <c r="D8" s="4">
        <f t="shared" si="1"/>
        <v>48751136.913150094</v>
      </c>
    </row>
    <row r="9" spans="1:4" x14ac:dyDescent="0.25">
      <c r="A9">
        <v>281200741.17843771</v>
      </c>
      <c r="B9">
        <v>485499998.90851933</v>
      </c>
      <c r="C9">
        <f t="shared" si="0"/>
        <v>383350370.04347849</v>
      </c>
      <c r="D9" s="4">
        <f t="shared" si="1"/>
        <v>52117157.58420451</v>
      </c>
    </row>
    <row r="10" spans="1:4" x14ac:dyDescent="0.25">
      <c r="A10">
        <v>287016512.27467412</v>
      </c>
      <c r="B10">
        <v>503708598.07315248</v>
      </c>
      <c r="C10">
        <f t="shared" si="0"/>
        <v>395362555.1739133</v>
      </c>
      <c r="D10" s="4">
        <f t="shared" si="1"/>
        <v>55278593.315938361</v>
      </c>
    </row>
    <row r="11" spans="1:4" x14ac:dyDescent="0.25">
      <c r="A11">
        <v>293167983.29504508</v>
      </c>
      <c r="B11">
        <v>521581497.31365108</v>
      </c>
      <c r="C11">
        <f t="shared" si="0"/>
        <v>407374740.30434811</v>
      </c>
      <c r="D11" s="4">
        <f t="shared" si="1"/>
        <v>58268753.576174989</v>
      </c>
    </row>
    <row r="13" spans="1:4" x14ac:dyDescent="0.25">
      <c r="A13" s="4">
        <f>AVERAGE(A2:A11)</f>
        <v>272174939.47624111</v>
      </c>
      <c r="B13" s="4">
        <f>AVERAGE(B2:B11)</f>
        <v>434464874.95854175</v>
      </c>
      <c r="C13" s="4">
        <f>AVERAGE(C2:C11)</f>
        <v>353319907.21739149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>
      <selection activeCell="E14" sqref="E14"/>
    </sheetView>
  </sheetViews>
  <sheetFormatPr defaultRowHeight="15" x14ac:dyDescent="0.25"/>
  <sheetData>
    <row r="1" spans="1:4" x14ac:dyDescent="0.25">
      <c r="A1" s="3" t="s">
        <v>0</v>
      </c>
      <c r="B1" s="3" t="s">
        <v>1</v>
      </c>
      <c r="C1" t="s">
        <v>16</v>
      </c>
      <c r="D1" t="s">
        <v>2</v>
      </c>
    </row>
    <row r="2" spans="1:4" x14ac:dyDescent="0.25">
      <c r="A2">
        <v>25915770.51731832</v>
      </c>
      <c r="B2">
        <v>31963266.345840931</v>
      </c>
      <c r="C2">
        <f t="shared" ref="C2:C11" si="0">AVERAGE(A2:B2)</f>
        <v>28939518.431579627</v>
      </c>
      <c r="D2" s="4">
        <f>(B2-C2)/1.96</f>
        <v>1542728.5276843386</v>
      </c>
    </row>
    <row r="3" spans="1:4" x14ac:dyDescent="0.25">
      <c r="A3">
        <v>32672389.333723851</v>
      </c>
      <c r="B3">
        <v>39307452.706052743</v>
      </c>
      <c r="C3">
        <f t="shared" si="0"/>
        <v>35989921.019888297</v>
      </c>
      <c r="D3" s="4">
        <f t="shared" ref="D3:D11" si="1">(B3-C3)/1.96</f>
        <v>1692618.2072267584</v>
      </c>
    </row>
    <row r="4" spans="1:4" x14ac:dyDescent="0.25">
      <c r="A4">
        <v>35258738.193920977</v>
      </c>
      <c r="B4">
        <v>46720358.840827107</v>
      </c>
      <c r="C4">
        <f t="shared" si="0"/>
        <v>40989548.517374039</v>
      </c>
      <c r="D4" s="4">
        <f t="shared" si="1"/>
        <v>2923882.8180883005</v>
      </c>
    </row>
    <row r="5" spans="1:4" x14ac:dyDescent="0.25">
      <c r="A5">
        <v>39200401.038449273</v>
      </c>
      <c r="B5">
        <v>52982966.643657863</v>
      </c>
      <c r="C5">
        <f t="shared" si="0"/>
        <v>46091683.841053568</v>
      </c>
      <c r="D5" s="4">
        <f t="shared" si="1"/>
        <v>3515960.6135736201</v>
      </c>
    </row>
    <row r="6" spans="1:4" x14ac:dyDescent="0.25">
      <c r="A6">
        <v>44801882.931156076</v>
      </c>
      <c r="B6">
        <v>62638826.957431652</v>
      </c>
      <c r="C6">
        <f t="shared" si="0"/>
        <v>53720354.944293864</v>
      </c>
      <c r="D6" s="4">
        <f t="shared" si="1"/>
        <v>4550240.8230294837</v>
      </c>
    </row>
    <row r="7" spans="1:4" x14ac:dyDescent="0.25">
      <c r="A7">
        <v>47468482.931389228</v>
      </c>
      <c r="B7">
        <v>69521043.214136243</v>
      </c>
      <c r="C7">
        <f t="shared" si="0"/>
        <v>58494763.072762735</v>
      </c>
      <c r="D7" s="4">
        <f t="shared" si="1"/>
        <v>5625653.1333538303</v>
      </c>
    </row>
    <row r="8" spans="1:4" x14ac:dyDescent="0.25">
      <c r="A8">
        <v>53936392.052826867</v>
      </c>
      <c r="B8">
        <v>79895884.902370557</v>
      </c>
      <c r="C8">
        <f t="shared" si="0"/>
        <v>66916138.477598712</v>
      </c>
      <c r="D8" s="4">
        <f t="shared" si="1"/>
        <v>6622319.6044754311</v>
      </c>
    </row>
    <row r="9" spans="1:4" x14ac:dyDescent="0.25">
      <c r="A9">
        <v>57364080.2476006</v>
      </c>
      <c r="B9">
        <v>88600252.548571095</v>
      </c>
      <c r="C9">
        <f t="shared" si="0"/>
        <v>72982166.398085847</v>
      </c>
      <c r="D9" s="4">
        <f t="shared" si="1"/>
        <v>7968411.3012679834</v>
      </c>
    </row>
    <row r="10" spans="1:4" x14ac:dyDescent="0.25">
      <c r="A10">
        <v>63252402.675496884</v>
      </c>
      <c r="B10">
        <v>98899565.376091331</v>
      </c>
      <c r="C10">
        <f t="shared" si="0"/>
        <v>81075984.025794104</v>
      </c>
      <c r="D10" s="4">
        <f t="shared" si="1"/>
        <v>9093663.9542332795</v>
      </c>
    </row>
    <row r="11" spans="1:4" x14ac:dyDescent="0.25">
      <c r="A11">
        <v>68321695.588667631</v>
      </c>
      <c r="B11">
        <v>109568223.25169291</v>
      </c>
      <c r="C11">
        <f t="shared" si="0"/>
        <v>88944959.420180261</v>
      </c>
      <c r="D11" s="4">
        <f t="shared" si="1"/>
        <v>10522073.383424819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0"/>
  <sheetViews>
    <sheetView zoomScale="77" zoomScaleNormal="77" workbookViewId="0">
      <selection activeCell="AA31" sqref="AA31"/>
    </sheetView>
  </sheetViews>
  <sheetFormatPr defaultRowHeight="15" x14ac:dyDescent="0.25"/>
  <cols>
    <col min="2" max="11" width="12" bestFit="1" customWidth="1"/>
    <col min="13" max="13" width="12.85546875" bestFit="1" customWidth="1"/>
  </cols>
  <sheetData>
    <row r="1" spans="1:24" x14ac:dyDescent="0.25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4" x14ac:dyDescent="0.25">
      <c r="A2" s="5" t="s">
        <v>4</v>
      </c>
      <c r="B2" s="4">
        <f ca="1">_xlfn.NORM.INV(RAND(),Measles!$C2,Measles!$D$2)</f>
        <v>346398627.64330411</v>
      </c>
      <c r="C2" s="4">
        <f ca="1">_xlfn.NORM.INV(RAND(),Measles!$C3,Measles!$D$2)</f>
        <v>609788409.3365891</v>
      </c>
      <c r="D2" s="4">
        <f ca="1">_xlfn.NORM.INV(RAND(),Measles!$C4,Measles!$D$2)</f>
        <v>525550757.40149248</v>
      </c>
      <c r="E2" s="4">
        <f ca="1">_xlfn.NORM.INV(RAND(),Measles!$C5,Measles!$D$2)</f>
        <v>518535636.92032444</v>
      </c>
      <c r="F2" s="4">
        <f ca="1">_xlfn.NORM.INV(RAND(),Measles!$C6,Measles!$D$2)</f>
        <v>678867528.27629232</v>
      </c>
      <c r="G2" s="4">
        <f ca="1">_xlfn.NORM.INV(RAND(),Measles!$C7,Measles!$D$2)</f>
        <v>613151699.66175199</v>
      </c>
      <c r="H2" s="4">
        <f ca="1">_xlfn.NORM.INV(RAND(),Measles!$C8,Measles!$D$2)</f>
        <v>745938422.0467608</v>
      </c>
      <c r="I2" s="4">
        <f ca="1">_xlfn.NORM.INV(RAND(),Measles!$C9,Measles!$D$2)</f>
        <v>981655245.73239946</v>
      </c>
      <c r="J2" s="4">
        <f ca="1">_xlfn.NORM.INV(RAND(),Measles!$C10,Measles!$D$2)</f>
        <v>758121639.38688612</v>
      </c>
      <c r="K2" s="4">
        <f ca="1">_xlfn.NORM.INV(RAND(),Measles!$C11,Measles!$D$2)</f>
        <v>1054136692.0376759</v>
      </c>
    </row>
    <row r="3" spans="1:24" x14ac:dyDescent="0.25">
      <c r="A3" s="5" t="s">
        <v>5</v>
      </c>
      <c r="B3" s="4">
        <f ca="1">_xlfn.NORM.INV(RAND(),Mumps!$C2,Mumps!$D$2)</f>
        <v>20840110.913639396</v>
      </c>
      <c r="C3" s="4">
        <f ca="1">_xlfn.NORM.INV(RAND(),Mumps!$C3,Mumps!$D$2)</f>
        <v>33003198.189924993</v>
      </c>
      <c r="D3" s="4">
        <f ca="1">_xlfn.NORM.INV(RAND(),Mumps!$C4,Mumps!$D$2)</f>
        <v>37564948.897706904</v>
      </c>
      <c r="E3" s="4">
        <f ca="1">_xlfn.NORM.INV(RAND(),Mumps!$C5,Mumps!$D$2)</f>
        <v>38297819.090270177</v>
      </c>
      <c r="F3" s="4">
        <f ca="1">_xlfn.NORM.INV(RAND(),Mumps!$C6,Mumps!$D$2)</f>
        <v>43196820.504247271</v>
      </c>
      <c r="G3" s="4">
        <f ca="1">_xlfn.NORM.INV(RAND(),Mumps!$C7,Mumps!$D$2)</f>
        <v>40800099.727116153</v>
      </c>
      <c r="H3" s="4">
        <f ca="1">_xlfn.NORM.INV(RAND(),Mumps!$C8,Mumps!$D$2)</f>
        <v>55512117.873587593</v>
      </c>
      <c r="I3" s="4">
        <f ca="1">_xlfn.NORM.INV(RAND(),Mumps!$C9,Mumps!$D$2)</f>
        <v>42130742.493162677</v>
      </c>
      <c r="J3" s="4">
        <f ca="1">_xlfn.NORM.INV(RAND(),Mumps!$C10,Mumps!$D$2)</f>
        <v>51577977.658602305</v>
      </c>
      <c r="K3" s="4">
        <f ca="1">_xlfn.NORM.INV(RAND(),Mumps!$C11,Mumps!$D$2)</f>
        <v>62584548.099562094</v>
      </c>
    </row>
    <row r="4" spans="1:24" x14ac:dyDescent="0.25">
      <c r="A4" s="5" t="s">
        <v>6</v>
      </c>
      <c r="B4" s="4">
        <f ca="1">_xlfn.NORM.INV(RAND(),Rubella!$C2,Rubella!$D$2)</f>
        <v>272373463.40747488</v>
      </c>
      <c r="C4" s="4">
        <f ca="1">_xlfn.NORM.INV(RAND(),Rubella!$C3,Rubella!$D$2)</f>
        <v>483516328.73493004</v>
      </c>
      <c r="D4" s="4">
        <f ca="1">_xlfn.NORM.INV(RAND(),Rubella!$C4,Rubella!$D$2)</f>
        <v>289119898.10361594</v>
      </c>
      <c r="E4" s="4">
        <f ca="1">_xlfn.NORM.INV(RAND(),Rubella!$C5,Rubella!$D$2)</f>
        <v>414059893.41429448</v>
      </c>
      <c r="F4" s="4">
        <f ca="1">_xlfn.NORM.INV(RAND(),Rubella!$C6,Rubella!$D$2)</f>
        <v>432718696.23840481</v>
      </c>
      <c r="G4" s="4">
        <f ca="1">_xlfn.NORM.INV(RAND(),Rubella!$C7,Rubella!$D$2)</f>
        <v>648180888.19893277</v>
      </c>
      <c r="H4" s="4">
        <f ca="1">_xlfn.NORM.INV(RAND(),Rubella!$C8,Rubella!$D$2)</f>
        <v>734672167.46613932</v>
      </c>
      <c r="I4" s="4">
        <f ca="1">_xlfn.NORM.INV(RAND(),Rubella!$C9,Rubella!$D$2)</f>
        <v>821487018.30194342</v>
      </c>
      <c r="J4" s="4">
        <f ca="1">_xlfn.NORM.INV(RAND(),Rubella!$C10,Rubella!$D$2)</f>
        <v>817668241.94867456</v>
      </c>
      <c r="K4" s="4">
        <f ca="1">_xlfn.NORM.INV(RAND(),Rubella!$C11,Rubella!$D$2)</f>
        <v>695484711.98491108</v>
      </c>
    </row>
    <row r="5" spans="1:24" x14ac:dyDescent="0.25">
      <c r="A5" s="5" t="s">
        <v>7</v>
      </c>
      <c r="B5" s="4">
        <f ca="1">_xlfn.NORM.INV(RAND(),Diphtheria!$C2,Diphtheria!$D$2)</f>
        <v>652096368.2216897</v>
      </c>
      <c r="C5" s="4">
        <f ca="1">_xlfn.NORM.INV(RAND(),Diphtheria!$C3,Diphtheria!$D$2)</f>
        <v>674341526.85532749</v>
      </c>
      <c r="D5" s="4">
        <f ca="1">_xlfn.NORM.INV(RAND(),Diphtheria!$C4,Diphtheria!$D$2)</f>
        <v>717706771.55113971</v>
      </c>
      <c r="E5" s="4">
        <f ca="1">_xlfn.NORM.INV(RAND(),Diphtheria!$C5,Diphtheria!$D$2)</f>
        <v>934898423.3402555</v>
      </c>
      <c r="F5" s="4">
        <f ca="1">_xlfn.NORM.INV(RAND(),Diphtheria!$C6,Diphtheria!$D$2)</f>
        <v>910992813.42327571</v>
      </c>
      <c r="G5" s="4">
        <f ca="1">_xlfn.NORM.INV(RAND(),Diphtheria!$C8,Diphtheria!$D$2)</f>
        <v>1182799454.738198</v>
      </c>
      <c r="H5" s="4">
        <f ca="1">_xlfn.NORM.INV(RAND(),Diphtheria!$C9,Diphtheria!$D$2)</f>
        <v>1384125950.1142042</v>
      </c>
      <c r="I5" s="4">
        <f ca="1">_xlfn.NORM.INV(RAND(),Diphtheria!$C10,Diphtheria!$D$2)</f>
        <v>1604956477.0636852</v>
      </c>
      <c r="J5" s="4">
        <f ca="1">_xlfn.NORM.INV(RAND(),Diphtheria!$C10,Diphtheria!$D$2)</f>
        <v>1648666503.6256371</v>
      </c>
      <c r="K5" s="4">
        <f ca="1">_xlfn.NORM.INV(RAND(),Diphtheria!$C11,Diphtheria!$D$2)</f>
        <v>2003485736.807965</v>
      </c>
    </row>
    <row r="6" spans="1:24" x14ac:dyDescent="0.25">
      <c r="A6" s="5" t="s">
        <v>8</v>
      </c>
      <c r="B6" s="4">
        <f ca="1">_xlfn.NORM.INV(RAND(),Tetanus!$C2,Tetanus!$D$2)</f>
        <v>580321768.84763432</v>
      </c>
      <c r="C6" s="4">
        <f ca="1">_xlfn.NORM.INV(RAND(),Tetanus!$C3,Tetanus!$D$2)</f>
        <v>618409157.36515844</v>
      </c>
      <c r="D6" s="4">
        <f ca="1">_xlfn.NORM.INV(RAND(),Tetanus!$C4,Tetanus!$D$2)</f>
        <v>646864171.13713646</v>
      </c>
      <c r="E6" s="4">
        <f ca="1">_xlfn.NORM.INV(RAND(),Tetanus!$C5,Tetanus!$D$2)</f>
        <v>675476437.66133559</v>
      </c>
      <c r="F6" s="4">
        <f ca="1">_xlfn.NORM.INV(RAND(),Tetanus!$C6,Tetanus!$D$2)</f>
        <v>707358024.11453915</v>
      </c>
      <c r="G6" s="4">
        <f ca="1">_xlfn.NORM.INV(RAND(),Tetanus!$C7,Tetanus!$D$2)</f>
        <v>705923805.05312788</v>
      </c>
      <c r="H6" s="4">
        <f ca="1">_xlfn.NORM.INV(RAND(),Tetanus!$C8,Tetanus!$D$2)</f>
        <v>677684598.1991353</v>
      </c>
      <c r="I6" s="4">
        <f ca="1">_xlfn.NORM.INV(RAND(),Tetanus!$C9,Tetanus!$D$2)</f>
        <v>756577838.53838158</v>
      </c>
      <c r="J6" s="4">
        <f ca="1">_xlfn.NORM.INV(RAND(),Tetanus!$C10,Tetanus!$D$2)</f>
        <v>712522135.88390744</v>
      </c>
      <c r="K6" s="4">
        <f ca="1">_xlfn.NORM.INV(RAND(),Tetanus!$C11,Tetanus!$D$2)</f>
        <v>744577945.9480027</v>
      </c>
    </row>
    <row r="7" spans="1:24" x14ac:dyDescent="0.25">
      <c r="A7" s="5" t="s">
        <v>9</v>
      </c>
      <c r="B7" s="4">
        <f ca="1">_xlfn.NORM.INV(RAND(),Pertussis!$C2,Pertussis!$D$2)</f>
        <v>377099079.522255</v>
      </c>
      <c r="C7" s="4">
        <f ca="1">_xlfn.NORM.INV(RAND(),Pertussis!$C2,Pertussis!$D$2)</f>
        <v>349743008.42086285</v>
      </c>
      <c r="D7" s="4">
        <f ca="1">_xlfn.NORM.INV(RAND(),Pertussis!$C4,Pertussis!$D$2)</f>
        <v>358828924.65739149</v>
      </c>
      <c r="E7" s="4">
        <f ca="1">_xlfn.NORM.INV(RAND(),Pertussis!$C5,Pertussis!$D$2)</f>
        <v>384166685.06519914</v>
      </c>
      <c r="F7" s="4">
        <f ca="1">_xlfn.NORM.INV(RAND(),Pertussis!$C6,Pertussis!$D$2)</f>
        <v>321018131.2935856</v>
      </c>
      <c r="G7" s="4">
        <f ca="1">_xlfn.NORM.INV(RAND(),Pertussis!$C7,Pertussis!$D$2)</f>
        <v>371783799.60341054</v>
      </c>
      <c r="H7" s="4">
        <f ca="1">_xlfn.NORM.INV(RAND(),Pertussis!$C8,Pertussis!$D$2)</f>
        <v>361224164.75770944</v>
      </c>
      <c r="I7" s="4">
        <f ca="1">_xlfn.NORM.INV(RAND(),Pertussis!$C9,Pertussis!$D$2)</f>
        <v>379838866.49923599</v>
      </c>
      <c r="J7" s="4">
        <f ca="1">_xlfn.NORM.INV(RAND(),Pertussis!$C10,Pertussis!$D$2)</f>
        <v>397507726.06506461</v>
      </c>
      <c r="K7" s="4">
        <f ca="1">_xlfn.NORM.INV(RAND(),Pertussis!$C11,Pertussis!$D$2)</f>
        <v>400664505.44185388</v>
      </c>
    </row>
    <row r="8" spans="1:24" x14ac:dyDescent="0.25">
      <c r="A8" s="5" t="s">
        <v>10</v>
      </c>
      <c r="B8" s="4">
        <f ca="1">_xlfn.NORM.INV(RAND(),Hepatitis_B!$C2,Hepatitis_B!$D$2)</f>
        <v>390859091.0957067</v>
      </c>
      <c r="C8" s="4">
        <f ca="1">_xlfn.NORM.INV(RAND(),Hepatitis_B!$C3,Hepatitis_B!$D$2)</f>
        <v>385955632.35852683</v>
      </c>
      <c r="D8" s="4">
        <f ca="1">_xlfn.NORM.INV(RAND(),Hepatitis_B!$C4,Hepatitis_B!$D$2)</f>
        <v>323629206.30780774</v>
      </c>
      <c r="E8" s="4">
        <f ca="1">_xlfn.NORM.INV(RAND(),Hepatitis_B!$C5,Hepatitis_B!$D$2)</f>
        <v>424663649.35197407</v>
      </c>
      <c r="F8" s="4">
        <f ca="1">_xlfn.NORM.INV(RAND(),Hepatitis_B!$C6,Hepatitis_B!$D$2)</f>
        <v>373482318.40589166</v>
      </c>
      <c r="G8" s="4">
        <f ca="1">_xlfn.NORM.INV(RAND(),Hepatitis_B!$C7,Hepatitis_B!$D$2)</f>
        <v>358036029.12115455</v>
      </c>
      <c r="H8" s="4">
        <f ca="1">_xlfn.NORM.INV(RAND(),Hepatitis_B!$C8,Hepatitis_B!$D$2)</f>
        <v>480866833.4064604</v>
      </c>
      <c r="I8" s="4">
        <f ca="1">_xlfn.NORM.INV(RAND(),Hepatitis_B!$C9,Hepatitis_B!$D$2)</f>
        <v>476777441.9324975</v>
      </c>
      <c r="J8" s="4">
        <f ca="1">_xlfn.NORM.INV(RAND(),Hepatitis_B!$C10,Hepatitis_B!$D$2)</f>
        <v>438033992.66444403</v>
      </c>
      <c r="K8" s="4">
        <f ca="1">_xlfn.NORM.INV(RAND(),Hepatitis_B!$C11,Hepatitis_B!$D$2)</f>
        <v>424575883.86303997</v>
      </c>
    </row>
    <row r="9" spans="1:24" x14ac:dyDescent="0.25">
      <c r="A9" s="5" t="s">
        <v>11</v>
      </c>
      <c r="B9" s="4">
        <f ca="1">_xlfn.NORM.INV(RAND(),Hib!$C2,Hib!$D$2)</f>
        <v>300732688.74825186</v>
      </c>
      <c r="C9" s="4">
        <f ca="1">_xlfn.NORM.INV(RAND(),Hib!$C3,Hib!$D$2)</f>
        <v>301138426.85186619</v>
      </c>
      <c r="D9" s="4">
        <f ca="1">_xlfn.NORM.INV(RAND(),Hib!$C4,Hib!$D$2)</f>
        <v>352704690.37444395</v>
      </c>
      <c r="E9" s="4">
        <f ca="1">_xlfn.NORM.INV(RAND(),Hib!$C5,Hib!$D$2)</f>
        <v>346461019.72448152</v>
      </c>
      <c r="F9" s="4">
        <f ca="1">_xlfn.NORM.INV(RAND(),Hib!$C6,Hib!$D$2)</f>
        <v>357200804.05163914</v>
      </c>
      <c r="G9" s="4">
        <f ca="1">_xlfn.NORM.INV(RAND(),Hib!$C7,Hib!$D$2)</f>
        <v>312268189.61223459</v>
      </c>
      <c r="H9" s="4">
        <f ca="1">_xlfn.NORM.INV(RAND(),Hib!$C8,Hib!$D$2)</f>
        <v>360212222.90886766</v>
      </c>
      <c r="I9" s="4">
        <f ca="1">_xlfn.NORM.INV(RAND(),Hib!$C9,Hib!$D$2)</f>
        <v>375709755.60838896</v>
      </c>
      <c r="J9" s="4">
        <f ca="1">_xlfn.NORM.INV(RAND(),Hib!$C10,Hib!$D$2)</f>
        <v>397730594.11381888</v>
      </c>
      <c r="K9" s="4">
        <f ca="1">_xlfn.NORM.INV(RAND(),Hib!$C11,Hib!$D$2)</f>
        <v>425669766.29332536</v>
      </c>
    </row>
    <row r="10" spans="1:24" x14ac:dyDescent="0.25">
      <c r="A10" s="5" t="s">
        <v>12</v>
      </c>
      <c r="B10" s="4">
        <f ca="1">_xlfn.NORM.INV(RAND(),Polio!$C2,Polio!$D$2)</f>
        <v>587059615.91624844</v>
      </c>
      <c r="C10" s="4">
        <f ca="1">_xlfn.NORM.INV(RAND(),Polio!$C3,Polio!$D$2)</f>
        <v>711589396.21656442</v>
      </c>
      <c r="D10" s="4">
        <f ca="1">_xlfn.NORM.INV(RAND(),Polio!$C4,Polio!$D$2)</f>
        <v>695287580.72666001</v>
      </c>
      <c r="E10" s="4">
        <f ca="1">_xlfn.NORM.INV(RAND(),Polio!$C5,Polio!$D$2)</f>
        <v>768463061.4913609</v>
      </c>
      <c r="F10" s="4">
        <f ca="1">_xlfn.NORM.INV(RAND(),Polio!$C6,Polio!$D$2)</f>
        <v>718238764.86178637</v>
      </c>
      <c r="G10" s="4">
        <f ca="1">_xlfn.NORM.INV(RAND(),Polio!$C7,Polio!$D$2)</f>
        <v>753604437.83078837</v>
      </c>
      <c r="H10" s="4">
        <f ca="1">_xlfn.NORM.INV(RAND(),Polio!$C8,Polio!$D$2)</f>
        <v>839210342.65936148</v>
      </c>
      <c r="I10" s="4">
        <f ca="1">_xlfn.NORM.INV(RAND(),Polio!$C9,Polio!$D$2)</f>
        <v>804551762.56089425</v>
      </c>
      <c r="J10" s="4">
        <f ca="1">_xlfn.NORM.INV(RAND(),Polio!$C10,Polio!$D$2)</f>
        <v>881493869.87954855</v>
      </c>
      <c r="K10" s="4">
        <f ca="1">_xlfn.NORM.INV(RAND(),Polio!$C11,Polio!$D$2)</f>
        <v>859201436.88993907</v>
      </c>
    </row>
    <row r="11" spans="1:24" x14ac:dyDescent="0.25">
      <c r="A11" s="5" t="s">
        <v>13</v>
      </c>
      <c r="B11" s="4">
        <f ca="1">_xlfn.NORM.INV(RAND(),HPV!$C2,HPV!$D$2)</f>
        <v>27250263.793651372</v>
      </c>
      <c r="C11" s="4">
        <f ca="1">_xlfn.NORM.INV(RAND(),HPV!$C3,HPV!$D$2)</f>
        <v>33604048.931154117</v>
      </c>
      <c r="D11" s="4">
        <f ca="1">_xlfn.NORM.INV(RAND(),HPV!$C4,HPV!$D$2)</f>
        <v>42521002.697570607</v>
      </c>
      <c r="E11" s="4">
        <f ca="1">_xlfn.NORM.INV(RAND(),HPV!$C5,HPV!$D$2)</f>
        <v>46309572.189586237</v>
      </c>
      <c r="F11" s="4">
        <f ca="1">_xlfn.NORM.INV(RAND(),HPV!$C6,HPV!$D$2)</f>
        <v>55327907.464503817</v>
      </c>
      <c r="G11" s="4">
        <f ca="1">_xlfn.NORM.INV(RAND(),HPV!$C7,HPV!$D$2)</f>
        <v>59490904.512177654</v>
      </c>
      <c r="H11" s="4">
        <f ca="1">_xlfn.NORM.INV(RAND(),HPV!$C8,HPV!$D$2)</f>
        <v>65506111.644410707</v>
      </c>
      <c r="I11" s="4">
        <f ca="1">_xlfn.NORM.INV(RAND(),HPV!$C9,HPV!$D$2)</f>
        <v>71881059.651827395</v>
      </c>
      <c r="J11" s="4">
        <f ca="1">_xlfn.NORM.INV(RAND(),HPV!$C10,HPV!$D$2)</f>
        <v>79714888.524668857</v>
      </c>
      <c r="K11" s="4">
        <f ca="1">_xlfn.NORM.INV(RAND(),HPV!$C11,HPV!$D$2)</f>
        <v>87510069.202634826</v>
      </c>
    </row>
    <row r="12" spans="1:24" x14ac:dyDescent="0.25">
      <c r="A12" s="5" t="s">
        <v>14</v>
      </c>
      <c r="B12" s="4">
        <f ca="1">_xlfn.NORM.INV(RAND(),Rotavirus!$C2,Rotavirus!$D$2)</f>
        <v>203184261.34051713</v>
      </c>
      <c r="C12" s="4">
        <f ca="1">_xlfn.NORM.INV(RAND(),Rotavirus!$C3,Rotavirus!$D$2)</f>
        <v>193888232.76516005</v>
      </c>
      <c r="D12" s="4">
        <f ca="1">_xlfn.NORM.INV(RAND(),Rotavirus!$C4,Rotavirus!$D$2)</f>
        <v>237913229.93208605</v>
      </c>
      <c r="E12" s="4">
        <f ca="1">_xlfn.NORM.INV(RAND(),Rotavirus!$C5,Rotavirus!$D$2)</f>
        <v>244389697.47415298</v>
      </c>
      <c r="F12" s="4">
        <f ca="1">_xlfn.NORM.INV(RAND(),Rotavirus!$C6,Rotavirus!$D$2)</f>
        <v>349629111.22157079</v>
      </c>
      <c r="G12" s="4">
        <f ca="1">_xlfn.NORM.INV(RAND(),Rotavirus!$C7,Rotavirus!$D$2)</f>
        <v>427250110.0740537</v>
      </c>
      <c r="H12" s="4">
        <f ca="1">_xlfn.NORM.INV(RAND(),Rotavirus!$C8,Rotavirus!$D$2)</f>
        <v>457142117.25461364</v>
      </c>
      <c r="I12" s="4">
        <f ca="1">_xlfn.NORM.INV(RAND(),Rotavirus!$C9,Rotavirus!$D$2)</f>
        <v>507144865.37986726</v>
      </c>
      <c r="J12" s="4">
        <f ca="1">_xlfn.NORM.INV(RAND(),Rotavirus!$C10,Rotavirus!$D$2)</f>
        <v>647901558.97098541</v>
      </c>
      <c r="K12" s="4">
        <f ca="1">_xlfn.NORM.INV(RAND(),Rotavirus!$C11,Rotavirus!$D$2)</f>
        <v>737219212.85431552</v>
      </c>
    </row>
    <row r="13" spans="1:24" x14ac:dyDescent="0.25">
      <c r="A13" s="5" t="s">
        <v>15</v>
      </c>
      <c r="B13" s="4">
        <f ca="1">_xlfn.NORM.INV(RAND(),PCV!$C2,PCV!$D$2)</f>
        <v>209977032.97029382</v>
      </c>
      <c r="C13" s="4">
        <f ca="1">_xlfn.NORM.INV(RAND(),PCV!$C3,PCV!$D$2)</f>
        <v>251439115.74413413</v>
      </c>
      <c r="D13" s="4">
        <f ca="1">_xlfn.NORM.INV(RAND(),PCV!$C4,PCV!$D$2)</f>
        <v>270272253.56533325</v>
      </c>
      <c r="E13" s="4">
        <f ca="1">_xlfn.NORM.INV(RAND(),PCV!$C5,PCV!$D$2)</f>
        <v>317723220.10685098</v>
      </c>
      <c r="F13" s="4">
        <f ca="1">_xlfn.NORM.INV(RAND(),PCV!$C6,PCV!$D$2)</f>
        <v>337170221.39178747</v>
      </c>
      <c r="G13" s="4">
        <f ca="1">_xlfn.NORM.INV(RAND(),PCV!$C7,PCV!$D$2)</f>
        <v>365214546.95532507</v>
      </c>
      <c r="H13" s="4">
        <f ca="1">_xlfn.NORM.INV(RAND(),PCV!$C8,PCV!$D$2)</f>
        <v>395976114.41627443</v>
      </c>
      <c r="I13" s="4">
        <f ca="1">_xlfn.NORM.INV(RAND(),PCV!$C9,PCV!$D$2)</f>
        <v>449048557.10372937</v>
      </c>
      <c r="J13" s="4">
        <f ca="1">_xlfn.NORM.INV(RAND(),PCV!$C10,PCV!$D$2)</f>
        <v>495827019.50174165</v>
      </c>
      <c r="K13" s="4">
        <f ca="1">_xlfn.NORM.INV(RAND(),Hepatitis_B!$C11,PCV!$D$2)</f>
        <v>418569031.30105716</v>
      </c>
    </row>
    <row r="15" spans="1:24" x14ac:dyDescent="0.25">
      <c r="A15" s="6" t="s">
        <v>4</v>
      </c>
      <c r="B15" s="7">
        <f ca="1">IF(B2&gt;Measles!B2,Measles!B2,IF(Scenario_data!B2 &lt;Measles!A2,Measles!A2,Scenario_data!B2))</f>
        <v>346398627.64330411</v>
      </c>
      <c r="C15" s="7">
        <f ca="1">IF(C2&gt;Measles!B3,Measles!B3,IF(Scenario_data!C2 &lt;Measles!A3,Measles!A3,Scenario_data!C2))</f>
        <v>609788409.3365891</v>
      </c>
      <c r="D15" s="7">
        <f ca="1">IF(D2&gt;Measles!B4,Measles!B4,IF(Scenario_data!D2 &lt;Measles!A4,Measles!A4,Scenario_data!D2))</f>
        <v>525550757.40149248</v>
      </c>
      <c r="E15" s="7">
        <f ca="1">IF(E2&gt;Measles!B5,Measles!B5,IF(Scenario_data!E2 &lt;Measles!A5,Measles!A5,Scenario_data!E2))</f>
        <v>518535636.92032444</v>
      </c>
      <c r="F15" s="7">
        <f ca="1">IF(F2&gt;Measles!B6,Measles!B6,IF(Scenario_data!F2 &lt;Measles!A6,Measles!A6,Scenario_data!F2))</f>
        <v>678867528.27629232</v>
      </c>
      <c r="G15" s="7">
        <f ca="1">IF(G2&gt;Measles!B7,Measles!B7,IF(Scenario_data!G2 &lt;Measles!A7,Measles!A7,Scenario_data!G2))</f>
        <v>613151699.66175199</v>
      </c>
      <c r="H15" s="7">
        <f ca="1">IF(H2&gt;Measles!B8,Measles!B8,IF(Scenario_data!H2 &lt;Measles!A8,Measles!A8,Scenario_data!H2))</f>
        <v>745938422.0467608</v>
      </c>
      <c r="I15" s="7">
        <f ca="1">IF(I2&gt;Measles!B9,Measles!B9,IF(Scenario_data!I2 &lt;Measles!A9,Measles!A9,Scenario_data!I2))</f>
        <v>981655245.73239946</v>
      </c>
      <c r="J15" s="7">
        <f ca="1">IF(J2&gt;Measles!B10,Measles!B10,IF(Scenario_data!J2 &lt;Measles!A10,Measles!A10,Scenario_data!J2))</f>
        <v>758121639.38688612</v>
      </c>
      <c r="K15" s="7">
        <f ca="1">IF(K2&gt;Measles!B11,Measles!B11,IF(Scenario_data!K2 &lt;Measles!A11,Measles!A11,Scenario_data!K2))</f>
        <v>1054136692.0376759</v>
      </c>
      <c r="W15" s="4"/>
      <c r="X15" s="4"/>
    </row>
    <row r="16" spans="1:24" x14ac:dyDescent="0.25">
      <c r="A16" s="6" t="s">
        <v>5</v>
      </c>
      <c r="B16" s="7">
        <f ca="1">IF(B3&gt;Mumps!B2,Mumps!B2,IF(Scenario_data!B3 &lt;Mumps!A2,Mumps!A2,Scenario_data!B3))</f>
        <v>20840110.913639396</v>
      </c>
      <c r="C16" s="7">
        <f ca="1">IF(C3&gt;Mumps!B3,Mumps!B3,IF(Scenario_data!C3 &lt;Mumps!A3,Mumps!A3,Scenario_data!C3))</f>
        <v>33003198.189924993</v>
      </c>
      <c r="D16" s="7">
        <f ca="1">IF(D3&gt;Mumps!B4,Mumps!B4,IF(Scenario_data!D3 &lt;Mumps!A4,Mumps!A4,Scenario_data!D3))</f>
        <v>37564948.897706904</v>
      </c>
      <c r="E16" s="7">
        <f ca="1">IF(E3&gt;Mumps!B5,Mumps!B5,IF(Scenario_data!E3 &lt;Mumps!A5,Mumps!A5,Scenario_data!E3))</f>
        <v>38297819.090270177</v>
      </c>
      <c r="F16" s="7">
        <f ca="1">IF(F3&gt;Mumps!B6,Mumps!B6,IF(Scenario_data!F3 &lt;Mumps!A6,Mumps!A6,Scenario_data!F3))</f>
        <v>43196820.504247271</v>
      </c>
      <c r="G16" s="7">
        <f ca="1">IF(G3&gt;Mumps!B7,Mumps!B7,IF(Scenario_data!G3 &lt;Mumps!A7,Mumps!A7,Scenario_data!G3))</f>
        <v>40800099.727116153</v>
      </c>
      <c r="H16" s="7">
        <f ca="1">IF(H3&gt;Mumps!B8,Mumps!B8,IF(Scenario_data!H3 &lt;Mumps!A8,Mumps!A8,Scenario_data!H3))</f>
        <v>55512117.873587593</v>
      </c>
      <c r="I16" s="7">
        <f ca="1">IF(I3&gt;Mumps!B9,Mumps!B9,IF(Scenario_data!I3 &lt;Mumps!A9,Mumps!A9,Scenario_data!I3))</f>
        <v>42130742.493162677</v>
      </c>
      <c r="J16" s="7">
        <f ca="1">IF(J3&gt;Mumps!B10,Mumps!B10,IF(Scenario_data!J3 &lt;Mumps!A10,Mumps!A10,Scenario_data!J3))</f>
        <v>51577977.658602305</v>
      </c>
      <c r="K16" s="7">
        <f ca="1">IF(K3&gt;Mumps!B11,Mumps!B11,IF(Scenario_data!K3 &lt;Mumps!A11,Mumps!A11,Scenario_data!K3))</f>
        <v>62584548.099562094</v>
      </c>
    </row>
    <row r="17" spans="1:13" x14ac:dyDescent="0.25">
      <c r="A17" s="6" t="s">
        <v>6</v>
      </c>
      <c r="B17" s="7">
        <f ca="1">IF(B4&gt;Rubella!B2,Rubella!B2,IF(Scenario_data!B4 &lt;Rubella!A2,Rubella!A2,Scenario_data!B4))</f>
        <v>272373463.40747488</v>
      </c>
      <c r="C17" s="7">
        <f ca="1">IF(C4&gt;Rubella!B3,Rubella!B3,IF(Scenario_data!C4 &lt;Rubella!A3,Rubella!A3,Scenario_data!C4))</f>
        <v>483516328.73493004</v>
      </c>
      <c r="D17" s="7">
        <f ca="1">IF(D4&gt;Rubella!B4,Rubella!B4,IF(Scenario_data!D4 &lt;Rubella!A4,Rubella!A4,Scenario_data!D4))</f>
        <v>289119898.10361594</v>
      </c>
      <c r="E17" s="7">
        <f ca="1">IF(E4&gt;Rubella!B5,Rubella!B5,IF(Scenario_data!E4 &lt;Rubella!A5,Rubella!A5,Scenario_data!E4))</f>
        <v>414059893.41429448</v>
      </c>
      <c r="F17" s="7">
        <f ca="1">IF(F4&gt;Rubella!B6,Rubella!B6,IF(Scenario_data!F4 &lt;Rubella!A6,Rubella!A6,Scenario_data!F4))</f>
        <v>432718696.23840481</v>
      </c>
      <c r="G17" s="7">
        <f ca="1">IF(G4&gt;Rubella!B7,Rubella!B7,IF(Scenario_data!G4 &lt;Rubella!A7,Rubella!A7,Scenario_data!G4))</f>
        <v>648180888.19893277</v>
      </c>
      <c r="H17" s="7">
        <f ca="1">IF(H4&gt;Rubella!B8,Rubella!B8,IF(Scenario_data!H4 &lt;Rubella!A8,Rubella!A8,Scenario_data!H4))</f>
        <v>734672167.46613932</v>
      </c>
      <c r="I17" s="7">
        <f ca="1">IF(I4&gt;Rubella!B9,Rubella!B9,IF(Scenario_data!I4 &lt;Rubella!A9,Rubella!A9,Scenario_data!I4))</f>
        <v>821487018.30194342</v>
      </c>
      <c r="J17" s="7">
        <f ca="1">IF(J4&gt;Rubella!B10,Rubella!B10,IF(Scenario_data!J4 &lt;Rubella!A10,Rubella!A10,Scenario_data!J4))</f>
        <v>817668241.94867456</v>
      </c>
      <c r="K17" s="7">
        <f ca="1">IF(K4&gt;Rubella!B12=1,Rubella!B11,IF(Scenario_data!K4 &lt;Rubella!A11,Rubella!A11,Scenario_data!K4))</f>
        <v>695484711.98491108</v>
      </c>
    </row>
    <row r="18" spans="1:13" x14ac:dyDescent="0.25">
      <c r="A18" s="6" t="s">
        <v>7</v>
      </c>
      <c r="B18" s="7">
        <f ca="1">IF(B5&gt;Diphtheria!B2,Diphtheria!B2,IF(Scenario_data!B5 &lt;Diphtheria!A2,Diphtheria!A2,Scenario_data!B5))</f>
        <v>652096368.2216897</v>
      </c>
      <c r="C18" s="7">
        <f ca="1">IF(C5&gt;Diphtheria!B3,Diphtheria!B3,IF(Scenario_data!C5 &lt;Diphtheria!A3,Diphtheria!A3,Scenario_data!C5))</f>
        <v>674341526.85532749</v>
      </c>
      <c r="D18" s="7">
        <f ca="1">IF(D5&gt;Diphtheria!B4,Diphtheria!B4,IF(Scenario_data!D5 &lt;Diphtheria!A4,Diphtheria!A4,Scenario_data!D5))</f>
        <v>717706771.55113971</v>
      </c>
      <c r="E18" s="7">
        <f ca="1">IF(E5&gt;Diphtheria!B5,Diphtheria!B5,IF(Scenario_data!E5 &lt;Diphtheria!A5,Diphtheria!A5,Scenario_data!E5))</f>
        <v>934898423.3402555</v>
      </c>
      <c r="F18" s="7">
        <f ca="1">IF(F5&gt;Diphtheria!B6,Diphtheria!B6,IF(Scenario_data!F5 &lt;Diphtheria!A6,Diphtheria!A6,Scenario_data!F5))</f>
        <v>910992813.42327571</v>
      </c>
      <c r="G18" s="7">
        <f ca="1">IF(G5&gt;Diphtheria!B7,Diphtheria!B7,IF(Scenario_data!G5 &lt;Diphtheria!A7,Diphtheria!A7,Scenario_data!G5))</f>
        <v>1182799454.738198</v>
      </c>
      <c r="H18" s="7">
        <f ca="1">IF(H5&gt;Diphtheria!B8,Diphtheria!B8,IF(Scenario_data!H5 &lt;Diphtheria!A8,Diphtheria!A8,Scenario_data!H5))</f>
        <v>1384125950.1142042</v>
      </c>
      <c r="I18" s="7">
        <f ca="1">IF(I5&gt;Diphtheria!B9,Diphtheria!B9,IF(Scenario_data!I5 &lt;Diphtheria!A9,Diphtheria!A9,Scenario_data!I5))</f>
        <v>1604956477.0636852</v>
      </c>
      <c r="J18" s="7">
        <f ca="1">IF(J5&gt;Diphtheria!B10,Diphtheria!B10,IF(Scenario_data!J5 &lt;Diphtheria!A10,Diphtheria!A10,Scenario_data!J5))</f>
        <v>1648666503.6256371</v>
      </c>
      <c r="K18" s="7">
        <f ca="1">IF(K5&gt;Diphtheria!B11,Diphtheria!B11,IF(Scenario_data!K5 &lt;Diphtheria!A11,Diphtheria!A11,Scenario_data!K5))</f>
        <v>2003485736.807965</v>
      </c>
    </row>
    <row r="19" spans="1:13" x14ac:dyDescent="0.25">
      <c r="A19" s="6" t="s">
        <v>8</v>
      </c>
      <c r="B19" s="7">
        <f ca="1">IF(B6&gt;Tetanus!B2,Tetanus!B2,IF(Scenario_data!B6 &lt;Tetanus!A2,Tetanus!A2,Scenario_data!B6))</f>
        <v>580321768.84763432</v>
      </c>
      <c r="C19" s="7">
        <f ca="1">IF(C6&gt;Tetanus!B3,Tetanus!B3,IF(Scenario_data!C6 &lt;Tetanus!A3,Tetanus!A3,Scenario_data!C6))</f>
        <v>618409157.36515844</v>
      </c>
      <c r="D19" s="7">
        <f ca="1">IF(D6&gt;Tetanus!B4,Tetanus!B4,IF(Scenario_data!D6 &lt;Tetanus!A4,Tetanus!A4,Scenario_data!D6))</f>
        <v>646864171.13713646</v>
      </c>
      <c r="E19" s="7">
        <f ca="1">IF(E6&gt;Tetanus!B5,Tetanus!B5,IF(Scenario_data!E6 &lt;Tetanus!A5,Tetanus!A5,Scenario_data!E6))</f>
        <v>675476437.66133559</v>
      </c>
      <c r="F19" s="7">
        <f ca="1">IF(F6&gt;Tetanus!B6,Tetanus!B6,IF(Scenario_data!F6 &lt;Tetanus!A6,Tetanus!A6,Scenario_data!F6))</f>
        <v>707358024.11453915</v>
      </c>
      <c r="G19" s="7">
        <f ca="1">IF(G6&gt;Tetanus!B7,Tetanus!B7,IF(Scenario_data!G6 &lt;Tetanus!A7,Tetanus!A7,Scenario_data!G6))</f>
        <v>705923805.05312788</v>
      </c>
      <c r="H19" s="7">
        <f ca="1">IF(H6&gt;Tetanus!B8,Tetanus!B8,IF(Scenario_data!H6 &lt;Tetanus!A8,Tetanus!A8,Scenario_data!H6))</f>
        <v>677684598.1991353</v>
      </c>
      <c r="I19" s="7">
        <f ca="1">IF(I6&gt;Tetanus!B9,Tetanus!B9,IF(Scenario_data!I6 &lt;Tetanus!A9,Tetanus!A9,Scenario_data!I6))</f>
        <v>756577838.53838158</v>
      </c>
      <c r="J19" s="7">
        <f ca="1">IF(J6&gt;Tetanus!B10,Tetanus!B10,IF(Scenario_data!J6 &lt;Tetanus!A10,Tetanus!A10,Scenario_data!J6))</f>
        <v>712522135.88390744</v>
      </c>
      <c r="K19" s="7">
        <f ca="1">IF(K6&gt;Tetanus!B11,Tetanus!B11,IF(Scenario_data!K6 &lt;Tetanus!A11,Tetanus!A11,Scenario_data!K6))</f>
        <v>744577945.9480027</v>
      </c>
    </row>
    <row r="20" spans="1:13" x14ac:dyDescent="0.25">
      <c r="A20" s="6" t="s">
        <v>9</v>
      </c>
      <c r="B20" s="7">
        <f ca="1">IF(B7&gt;Pertussis!B2,Pertussis!B2,IF(Scenario_data!B7 &lt;Pertussis!A2,Pertussis!A2,Scenario_data!B7))</f>
        <v>377099079.522255</v>
      </c>
      <c r="C20" s="7">
        <f ca="1">IF(C7&gt;Pertussis!B3,Pertussis!B3,IF(Scenario_data!C7 &lt;Pertussis!A3,Pertussis!A3,Scenario_data!C7))</f>
        <v>349743008.42086285</v>
      </c>
      <c r="D20" s="7">
        <f ca="1">IF(D7&gt;Pertussis!B4,Pertussis!B4,IF(Scenario_data!D7 &lt;Pertussis!A4,Pertussis!A4,Scenario_data!D7))</f>
        <v>358828924.65739149</v>
      </c>
      <c r="E20" s="7">
        <f ca="1">IF(E7&gt;Pertussis!B5,Pertussis!B5,IF(Scenario_data!E7 &lt;Pertussis!A5,Pertussis!A5,Scenario_data!E7))</f>
        <v>384166685.06519914</v>
      </c>
      <c r="F20" s="7">
        <f ca="1">IF(F7&gt;Pertussis!B6,Pertussis!B6,IF(Scenario_data!F7 &lt;Pertussis!A6,Pertussis!A6,Scenario_data!F7))</f>
        <v>321018131.2935856</v>
      </c>
      <c r="G20" s="7">
        <f ca="1">IF(G7&gt;Pertussis!B7,Pertussis!B7,IF(Scenario_data!G7 &lt;Pertussis!A7,Pertussis!A7,Scenario_data!G7))</f>
        <v>371783799.60341054</v>
      </c>
      <c r="H20" s="7">
        <f ca="1">IF(H7&gt;Pertussis!B8,Pertussis!B8,IF(Scenario_data!H7 &lt;Pertussis!A8,Pertussis!A8,Scenario_data!H7))</f>
        <v>361224164.75770944</v>
      </c>
      <c r="I20" s="7">
        <f ca="1">IF(I7&gt;Pertussis!B9,Pertussis!B9,IF(Scenario_data!I7 &lt;Pertussis!A9,Pertussis!A9,Scenario_data!I7))</f>
        <v>379838866.49923599</v>
      </c>
      <c r="J20" s="7">
        <f ca="1">IF(J7&gt;Pertussis!B10,Pertussis!B10,IF(Scenario_data!J7 &lt;Pertussis!A10,Pertussis!A10,Scenario_data!J7))</f>
        <v>397507726.06506461</v>
      </c>
      <c r="K20" s="7">
        <f ca="1">IF(K7&gt;Pertussis!B11,Pertussis!B11,IF(Scenario_data!K7 &lt;Pertussis!A11,Pertussis!A11,Scenario_data!K7))</f>
        <v>400664505.44185388</v>
      </c>
    </row>
    <row r="21" spans="1:13" x14ac:dyDescent="0.25">
      <c r="A21" s="6" t="s">
        <v>10</v>
      </c>
      <c r="B21" s="7">
        <f ca="1">IF(B8&gt;Hepatitis_B!B2,Hepatitis_B!B2,IF(Scenario_data!B8 &lt;Hepatitis_B!A2,Hepatitis_B!A2,Scenario_data!B8))</f>
        <v>390859091.0957067</v>
      </c>
      <c r="C21" s="7">
        <f ca="1">IF(C8&gt;Hepatitis_B!B3,Hepatitis_B!B3,IF(Scenario_data!C8 &lt;Hepatitis_B!A3,Hepatitis_B!A3,Scenario_data!C8))</f>
        <v>385955632.35852683</v>
      </c>
      <c r="D21" s="7">
        <f ca="1">IF(D8&gt;Hepatitis_B!B4,Hepatitis_B!B4,IF(Scenario_data!D8 &lt;Hepatitis_B!A4,Hepatitis_B!A4,Scenario_data!D8))</f>
        <v>323629206.30780774</v>
      </c>
      <c r="E21" s="7">
        <f ca="1">IF(E8&gt;Hepatitis_B!B5,Hepatitis_B!B5,IF(Scenario_data!E8 &lt;Hepatitis_B!A5,Hepatitis_B!A5,Scenario_data!E8))</f>
        <v>424663649.35197407</v>
      </c>
      <c r="F21" s="7">
        <f ca="1">IF(F8&gt;Hepatitis_B!B6,Hepatitis_B!B6,IF(Scenario_data!F8 &lt;Hepatitis_B!A6,Hepatitis_B!A6,Scenario_data!F8))</f>
        <v>373482318.40589166</v>
      </c>
      <c r="G21" s="7">
        <f ca="1">IF(G8&gt;Hepatitis_B!B7,Hepatitis_B!B7,IF(Scenario_data!G8 &lt;Hepatitis_B!A7,Hepatitis_B!A7,Scenario_data!G8))</f>
        <v>358036029.12115455</v>
      </c>
      <c r="H21" s="7">
        <f ca="1">IF(H8&gt;Hepatitis_B!B8,Hepatitis_B!B8,IF(Scenario_data!H8 &lt;Hepatitis_B!A8,Hepatitis_B!A8,Scenario_data!H8))</f>
        <v>480866833.4064604</v>
      </c>
      <c r="I21" s="7">
        <f ca="1">IF(I8&gt;Hepatitis_B!B9,Hepatitis_B!B9,IF(Scenario_data!I8 &lt;Hepatitis_B!A9,Hepatitis_B!A9,Scenario_data!I8))</f>
        <v>476777441.9324975</v>
      </c>
      <c r="J21" s="7">
        <f ca="1">IF(J8&gt;Hepatitis_B!B10,Hepatitis_B!B10,IF(Scenario_data!J8 &lt;Hepatitis_B!A10,Hepatitis_B!A10,Scenario_data!J8))</f>
        <v>438033992.66444403</v>
      </c>
      <c r="K21" s="7">
        <f ca="1">IF(K8&gt;Hepatitis_B!B11,Hepatitis_B!B11,IF(Scenario_data!K8 &lt;Hepatitis_B!A11,Hepatitis_B!A11,Scenario_data!K8))</f>
        <v>424575883.86303997</v>
      </c>
    </row>
    <row r="22" spans="1:13" x14ac:dyDescent="0.25">
      <c r="A22" s="6" t="s">
        <v>11</v>
      </c>
      <c r="B22" s="7">
        <f ca="1">IF(B9&gt;Hib!B2,Hib!B2,IF(Scenario_data!B9 &lt;Hib!A2,Hib!A2,Scenario_data!B9))</f>
        <v>300732688.74825186</v>
      </c>
      <c r="C22" s="7">
        <f ca="1">IF(C9&gt;Hib!B3,Hib!B3,IF(Scenario_data!C9 &lt;Hib!A3,Hib!A3,Scenario_data!C9))</f>
        <v>301138426.85186619</v>
      </c>
      <c r="D22" s="7">
        <f ca="1">IF(D9&gt;Hib!B4,Hib!B4,IF(Scenario_data!D9 &lt;Hib!A4,Hib!A4,Scenario_data!D9))</f>
        <v>352704690.37444395</v>
      </c>
      <c r="E22" s="7">
        <f ca="1">IF(E9&gt;Hib!B5,Hib!B5,IF(Scenario_data!E9 &lt;Hib!A5,Hib!A5,Scenario_data!E9))</f>
        <v>346461019.72448152</v>
      </c>
      <c r="F22" s="7">
        <f ca="1">IF(F9&gt;Hib!B6,Hib!B6,IF(Scenario_data!F9 &lt;Hib!A6,Hib!A6,Scenario_data!F9))</f>
        <v>357200804.05163914</v>
      </c>
      <c r="G22" s="7">
        <f ca="1">IF(G9&gt;Hib!B7,Hib!B7,IF(Scenario_data!G9 &lt;Hib!A7,Hib!A7,Scenario_data!G9))</f>
        <v>312268189.61223459</v>
      </c>
      <c r="H22" s="7">
        <f ca="1">IF(H9&gt;Hib!B8,Hib!B8,IF(Scenario_data!H9 &lt;Hib!A8,Hib!A8,Scenario_data!H9))</f>
        <v>360212222.90886766</v>
      </c>
      <c r="I22" s="7">
        <f ca="1">IF(I9&gt;Hib!B9,Hib!B9,IF(Scenario_data!I9 &lt;Hib!A9,Hib!A9,Scenario_data!I9))</f>
        <v>375709755.60838896</v>
      </c>
      <c r="J22" s="7">
        <f ca="1">IF(J9&gt;Hib!B10,Hib!B10,IF(Scenario_data!J9 &lt;Hib!A10,Hib!A10,Scenario_data!J9))</f>
        <v>397730594.11381888</v>
      </c>
      <c r="K22" s="7">
        <f ca="1">IF(K9&gt;Hib!B11,Hib!B11,IF(Scenario_data!K9 &lt;Hib!A11,Hib!A11,Scenario_data!K9))</f>
        <v>425669766.29332536</v>
      </c>
    </row>
    <row r="23" spans="1:13" x14ac:dyDescent="0.25">
      <c r="A23" s="6" t="s">
        <v>12</v>
      </c>
      <c r="B23" s="7">
        <f ca="1">IF(B10&gt;Polio!B2,Polio!B2,IF(Scenario_data!B10 &lt;Polio!A2,Polio!A2,Scenario_data!B10))</f>
        <v>587059615.91624844</v>
      </c>
      <c r="C23" s="7">
        <f ca="1">IF(C10&gt;Polio!B3,Polio!B3,IF(Scenario_data!C10 &lt;Polio!A3,Polio!A3,Scenario_data!C10))</f>
        <v>711589396.21656442</v>
      </c>
      <c r="D23" s="7">
        <f ca="1">IF(D10&gt;Polio!B4,Polio!B4,IF(Scenario_data!D10 &lt;Polio!A4,Polio!A4,Scenario_data!D10))</f>
        <v>695287580.72666001</v>
      </c>
      <c r="E23" s="7">
        <f ca="1">IF(E10&gt;Polio!B5,Polio!B5,IF(Scenario_data!E10 &lt;Polio!A5,Polio!A5,Scenario_data!E10))</f>
        <v>768463061.4913609</v>
      </c>
      <c r="F23" s="7">
        <f ca="1">IF(F10&gt;Polio!B6,Polio!B6,IF(Scenario_data!F10 &lt;Polio!A6,Polio!A6,Scenario_data!F10))</f>
        <v>718238764.86178637</v>
      </c>
      <c r="G23" s="7">
        <f ca="1">IF(G10&gt;Polio!B7,Polio!B7,IF(Scenario_data!G10 &lt;Polio!A7,Polio!A7,Scenario_data!G10))</f>
        <v>753604437.83078837</v>
      </c>
      <c r="H23" s="7">
        <f ca="1">IF(H10&gt;Polio!B8,Polio!B8,IF(Scenario_data!H10 &lt;Polio!A8,Polio!A8,Scenario_data!H10))</f>
        <v>839210342.65936148</v>
      </c>
      <c r="I23" s="7">
        <f ca="1">IF(I10&gt;Polio!B9,Polio!B9,IF(Scenario_data!I10 &lt;Polio!A9,Polio!A9,Scenario_data!I10))</f>
        <v>804551762.56089425</v>
      </c>
      <c r="J23" s="7">
        <f ca="1">IF(J10&gt;Polio!B10,Polio!B10,IF(Scenario_data!J10 &lt;Polio!A10,Polio!A10,Scenario_data!J10))</f>
        <v>881493869.87954855</v>
      </c>
      <c r="K23" s="7">
        <f ca="1">IF(K10&gt;Polio!B11,Polio!B11,IF(Scenario_data!K10 &lt;Polio!A11,Polio!A11,Scenario_data!K10))</f>
        <v>859201436.88993907</v>
      </c>
    </row>
    <row r="24" spans="1:13" x14ac:dyDescent="0.25">
      <c r="A24" s="6" t="s">
        <v>13</v>
      </c>
      <c r="B24" s="7">
        <f ca="1">IF(B11&gt;HPV!B2,HPV!B2,IF(Scenario_data!B11 &lt;HPV!A2,HPV!A2,Scenario_data!B11))</f>
        <v>27250263.793651372</v>
      </c>
      <c r="C24" s="7">
        <f ca="1">IF(C11&gt;HPV!B3,HPV!B3,IF(Scenario_data!C11 &lt;HPV!A3,HPV!A3,Scenario_data!C11))</f>
        <v>33604048.931154117</v>
      </c>
      <c r="D24" s="7">
        <f ca="1">IF(D11&gt;HPV!B4,HPV!B4,IF(Scenario_data!D11 &lt;HPV!A4,HPV!A4,Scenario_data!D11))</f>
        <v>42521002.697570607</v>
      </c>
      <c r="E24" s="7">
        <f ca="1">IF(E11&gt;HPV!B5,HPV!B5,IF(Scenario_data!E11 &lt;HPV!A5,HPV!A5,Scenario_data!E11))</f>
        <v>46309572.189586237</v>
      </c>
      <c r="F24" s="7">
        <f ca="1">IF(F11&gt;HPV!B6,HPV!B6,IF(Scenario_data!F11 &lt;HPV!A6,HPV!A6,Scenario_data!F11))</f>
        <v>55327907.464503817</v>
      </c>
      <c r="G24" s="7">
        <f ca="1">IF(G11&gt;HPV!B7,HPV!B7,IF(Scenario_data!G11 &lt;HPV!A7,HPV!A7,Scenario_data!G11))</f>
        <v>59490904.512177654</v>
      </c>
      <c r="H24" s="7">
        <f ca="1">IF(H11&gt;HPV!B8,HPV!B8,IF(Scenario_data!H11 &lt;HPV!A8,HPV!A8,Scenario_data!H11))</f>
        <v>65506111.644410707</v>
      </c>
      <c r="I24" s="7">
        <f ca="1">IF(I11&gt;HPV!B9,HPV!B9,IF(Scenario_data!I11 &lt;HPV!A9,HPV!A9,Scenario_data!I11))</f>
        <v>71881059.651827395</v>
      </c>
      <c r="J24" s="7">
        <f ca="1">IF(J11&gt;HPV!B10,HPV!B10,IF(Scenario_data!J11 &lt;HPV!A10,HPV!A10,Scenario_data!J11))</f>
        <v>79714888.524668857</v>
      </c>
      <c r="K24" s="7">
        <f ca="1">IF(K11&gt;HPV!B11,HPV!B11,IF(Scenario_data!K11 &lt;HPV!A11,HPV!A11,Scenario_data!K11))</f>
        <v>87510069.202634826</v>
      </c>
    </row>
    <row r="25" spans="1:13" x14ac:dyDescent="0.25">
      <c r="A25" s="6" t="s">
        <v>14</v>
      </c>
      <c r="B25" s="7">
        <f ca="1">IF(B12&gt;Rotavirus!B2,Rotavirus!B2,IF(Scenario_data!B12 &lt;Rotavirus!A2,Rotavirus!A2,Scenario_data!B12))</f>
        <v>203184261.34051713</v>
      </c>
      <c r="C25" s="7">
        <f ca="1">IF(C12&gt;Rotavirus!B3,Rotavirus!B3,IF(Scenario_data!C12 &lt;Rotavirus!A3,Rotavirus!A3,Scenario_data!C12))</f>
        <v>193888232.76516005</v>
      </c>
      <c r="D25" s="7">
        <f ca="1">IF(D12&gt;Rotavirus!B4,Rotavirus!B4,IF(Scenario_data!D12 &lt;Rotavirus!A4,Rotavirus!A4,Scenario_data!D12))</f>
        <v>237913229.93208605</v>
      </c>
      <c r="E25" s="7">
        <f ca="1">IF(E12&gt;Rotavirus!B5,Rotavirus!B5,IF(Scenario_data!E12 &lt;Rotavirus!A5,Rotavirus!A5,Scenario_data!E12))</f>
        <v>244389697.47415298</v>
      </c>
      <c r="F25" s="7">
        <f ca="1">IF(F12&gt;Rotavirus!B6,Rotavirus!B6,IF(Scenario_data!F12 &lt;Rotavirus!A6,Rotavirus!A6,Scenario_data!F12))</f>
        <v>349629111.22157079</v>
      </c>
      <c r="G25" s="7">
        <f ca="1">IF(G12&gt;Rotavirus!B7,Rotavirus!B7,IF(Scenario_data!G12 &lt;Rotavirus!A7,Rotavirus!A7,Scenario_data!G12))</f>
        <v>427250110.0740537</v>
      </c>
      <c r="H25" s="7">
        <f ca="1">IF(H12&gt;Rotavirus!B8,Rotavirus!B8,IF(Scenario_data!H12 &lt;Rotavirus!A8,Rotavirus!A8,Scenario_data!H12))</f>
        <v>457142117.25461364</v>
      </c>
      <c r="I25" s="7">
        <f ca="1">IF(I12&gt;Rotavirus!B9,Rotavirus!B9,IF(Scenario_data!I12 &lt;Rotavirus!A9,Rotavirus!A9,Scenario_data!I12))</f>
        <v>507144865.37986726</v>
      </c>
      <c r="J25" s="7">
        <f ca="1">IF(J12&gt;Rotavirus!B10,Rotavirus!B10,IF(Scenario_data!J12 &lt;Rotavirus!A10,Rotavirus!A10,Scenario_data!J12))</f>
        <v>647901558.97098541</v>
      </c>
      <c r="K25" s="7">
        <f ca="1">IF(K12&gt;Rotavirus!B11,Rotavirus!B11,IF(Scenario_data!K12 &lt;Rotavirus!A11,Rotavirus!A11,Scenario_data!K12))</f>
        <v>737219212.85431552</v>
      </c>
      <c r="M25" s="4"/>
    </row>
    <row r="26" spans="1:13" x14ac:dyDescent="0.25">
      <c r="A26" s="6" t="s">
        <v>15</v>
      </c>
      <c r="B26" s="7">
        <f ca="1">IF(B13&gt;PCV!B2,PCV!B2,IF(Scenario_data!B13 &lt;PCV!A2,PCV!A2,Scenario_data!B13))</f>
        <v>211403260.01881739</v>
      </c>
      <c r="C26" s="7">
        <f ca="1">IF(C13&gt;PCV!B3,PCV!B3,IF(Scenario_data!C13 &lt;PCV!A3,PCV!A3,Scenario_data!C13))</f>
        <v>251439115.74413413</v>
      </c>
      <c r="D26" s="7">
        <f ca="1">IF(D13&gt;PCV!B4,PCV!B4,IF(Scenario_data!D13 &lt;PCV!A4,PCV!A4,Scenario_data!D13))</f>
        <v>270272253.56533325</v>
      </c>
      <c r="E26" s="7">
        <f ca="1">IF(E13&gt;PCV!B5,PCV!B5,IF(Scenario_data!E13 &lt;PCV!A5,PCV!A5,Scenario_data!E13))</f>
        <v>317723220.10685098</v>
      </c>
      <c r="F26" s="7">
        <f ca="1">IF(F13&gt;PCV!B6,PCV!B6,IF(Scenario_data!F13 &lt;PCV!A6,PCV!A6,Scenario_data!F13))</f>
        <v>337170221.39178747</v>
      </c>
      <c r="G26" s="7">
        <f ca="1">IF(G13&gt;PCV!B7,PCV!B7,IF(Scenario_data!G13 &lt;PCV!A7,PCV!A7,Scenario_data!G13))</f>
        <v>365214546.95532507</v>
      </c>
      <c r="H26" s="7">
        <f ca="1">IF(H13&gt;PCV!B8,PCV!B8,IF(Scenario_data!H13 &lt;PCV!A8,PCV!A8,Scenario_data!H13))</f>
        <v>395976114.41627443</v>
      </c>
      <c r="I26" s="7">
        <f ca="1">IF(I13&gt;PCV!B9,PCV!B9,IF(Scenario_data!I13 &lt;PCV!A9,PCV!A9,Scenario_data!I13))</f>
        <v>449048557.10372937</v>
      </c>
      <c r="J26" s="7">
        <f ca="1">IF(J13&gt;PCV!B10,PCV!B10,IF(Scenario_data!J13 &lt;PCV!A10,PCV!A10,Scenario_data!J13))</f>
        <v>495827019.50174165</v>
      </c>
      <c r="K26" s="7">
        <f ca="1">IF(K13&gt;PCV!B11,PCV!B11,IF(Scenario_data!K13 &lt;PCV!A11,PCV!A11,Scenario_data!K13))</f>
        <v>418569031.30105716</v>
      </c>
      <c r="M26" s="4"/>
    </row>
    <row r="27" spans="1:13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3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3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3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3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3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2:1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2:1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2:1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2:1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2:1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2:1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2:1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</row>
  </sheetData>
  <conditionalFormatting sqref="B2:K1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Diphtheria</vt:lpstr>
      <vt:lpstr>Pertussis</vt:lpstr>
      <vt:lpstr>Polio</vt:lpstr>
      <vt:lpstr>Tetanus</vt:lpstr>
      <vt:lpstr>Rotavirus</vt:lpstr>
      <vt:lpstr>PCV</vt:lpstr>
      <vt:lpstr>Measles</vt:lpstr>
      <vt:lpstr>Mumps</vt:lpstr>
      <vt:lpstr>Rubella</vt:lpstr>
      <vt:lpstr>Hepatitis_B</vt:lpstr>
      <vt:lpstr>Hib</vt:lpstr>
      <vt:lpstr>HPV</vt:lpstr>
      <vt:lpstr>Scenario_data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2024-04-08T20:27:48Z</dcterms:created>
  <dcterms:modified xsi:type="dcterms:W3CDTF">2024-07-17T19:06:19Z</dcterms:modified>
</cp:coreProperties>
</file>