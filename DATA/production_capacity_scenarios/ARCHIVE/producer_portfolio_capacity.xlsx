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DATA/production_capacity_scenarios/ARCHIVE/"/>
    </mc:Choice>
  </mc:AlternateContent>
  <xr:revisionPtr revIDLastSave="89" documentId="8_{47990FE0-74EC-43F9-B274-D44258F3C74A}" xr6:coauthVersionLast="47" xr6:coauthVersionMax="47" xr10:uidLastSave="{1A2C0182-4E2F-442A-82EE-82E6DBE9A346}"/>
  <bookViews>
    <workbookView xWindow="13550" yWindow="-110" windowWidth="38620" windowHeight="21100" activeTab="1" xr2:uid="{00000000-000D-0000-FFFF-FFFF00000000}"/>
  </bookViews>
  <sheets>
    <sheet name="Sheet9" sheetId="9" r:id="rId1"/>
    <sheet name="Sheet1" sheetId="1" r:id="rId2"/>
    <sheet name="Sheet2" sheetId="10" r:id="rId3"/>
  </sheets>
  <definedNames>
    <definedName name="_xlnm._FilterDatabase" localSheetId="1" hidden="1">Sheet1!$A$1:$E$50</definedName>
    <definedName name="_xlnm._FilterDatabase" localSheetId="2" hidden="1">Sheet2!$A$1:$B$18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2" i="1"/>
  <c r="G16" i="9"/>
  <c r="G15" i="9"/>
  <c r="G14" i="9"/>
  <c r="G13" i="9"/>
  <c r="G12" i="9"/>
  <c r="G11" i="9"/>
  <c r="G10" i="9"/>
</calcChain>
</file>

<file path=xl/sharedStrings.xml><?xml version="1.0" encoding="utf-8"?>
<sst xmlns="http://schemas.openxmlformats.org/spreadsheetml/2006/main" count="141" uniqueCount="52">
  <si>
    <t>Manufacturer</t>
  </si>
  <si>
    <t>Proportion</t>
  </si>
  <si>
    <t>Vaccine</t>
  </si>
  <si>
    <t>Predicted Capacity</t>
  </si>
  <si>
    <t>Adjusted Capacity</t>
  </si>
  <si>
    <t>Td</t>
  </si>
  <si>
    <t>HepB</t>
  </si>
  <si>
    <t>DTwP</t>
  </si>
  <si>
    <t>Pfizer</t>
  </si>
  <si>
    <t>PCV</t>
  </si>
  <si>
    <t>MMR</t>
  </si>
  <si>
    <t>HPV</t>
  </si>
  <si>
    <t>MR</t>
  </si>
  <si>
    <t>DT</t>
  </si>
  <si>
    <t>TT</t>
  </si>
  <si>
    <t>IPV</t>
  </si>
  <si>
    <t>Hib</t>
  </si>
  <si>
    <t>Rota</t>
  </si>
  <si>
    <t>Measles</t>
  </si>
  <si>
    <t>Scenario</t>
  </si>
  <si>
    <t>Probability</t>
  </si>
  <si>
    <t>None</t>
  </si>
  <si>
    <t>Supply Chain Issues</t>
  </si>
  <si>
    <t>Funding delays</t>
  </si>
  <si>
    <t>Vaccine shortage</t>
  </si>
  <si>
    <t>Inaccurate forecasts</t>
  </si>
  <si>
    <t>Other/Not identified/Not known</t>
  </si>
  <si>
    <t>Procurement delays</t>
  </si>
  <si>
    <t>Pandemic</t>
  </si>
  <si>
    <t>Nothing</t>
  </si>
  <si>
    <t>Global Shortage</t>
  </si>
  <si>
    <t>Funding/Procurement Delays</t>
  </si>
  <si>
    <t>Innacurate Forecasts</t>
  </si>
  <si>
    <t>Other</t>
  </si>
  <si>
    <t>Biological_E</t>
  </si>
  <si>
    <t>Serum_Institute</t>
  </si>
  <si>
    <t>BB_NCIPD</t>
  </si>
  <si>
    <t>PT_Bio</t>
  </si>
  <si>
    <t>LG_Chem</t>
  </si>
  <si>
    <t>GSK</t>
  </si>
  <si>
    <t>Haffkine_Bio</t>
  </si>
  <si>
    <t>Bharat_Biotech</t>
  </si>
  <si>
    <t>Sanofi</t>
  </si>
  <si>
    <t>China_National</t>
  </si>
  <si>
    <t>Panacea_Biotec</t>
  </si>
  <si>
    <t>Merck_Sharp</t>
  </si>
  <si>
    <t>Bilthoven</t>
  </si>
  <si>
    <t>AJ_Vaccines</t>
  </si>
  <si>
    <t>Hexa</t>
  </si>
  <si>
    <t>Penta</t>
  </si>
  <si>
    <t>OPV</t>
  </si>
  <si>
    <t>DTwP-Hib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</si>
</sst>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0" applyNumberFormat="1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FA385-9E7F-46D1-8057-1980F1B77D02}">
  <dimension ref="C9:G17"/>
  <sheetViews>
    <sheetView workbookViewId="0">
      <selection activeCell="E33" sqref="E33"/>
    </sheetView>
  </sheetViews>
  <sheetFormatPr defaultRowHeight="15" x14ac:dyDescent="0.25"/>
  <cols>
    <col min="3" max="3" width="30.85546875" bestFit="1" customWidth="1"/>
    <col min="4" max="4" width="10.7109375" bestFit="1" customWidth="1"/>
    <col min="6" max="6" width="27.42578125" bestFit="1" customWidth="1"/>
  </cols>
  <sheetData>
    <row r="9" spans="3:7" x14ac:dyDescent="0.25">
      <c r="C9" t="s">
        <v>19</v>
      </c>
      <c r="D9" t="s">
        <v>20</v>
      </c>
      <c r="F9" t="s">
        <v>19</v>
      </c>
      <c r="G9" t="s">
        <v>20</v>
      </c>
    </row>
    <row r="10" spans="3:7" x14ac:dyDescent="0.25">
      <c r="C10" t="s">
        <v>21</v>
      </c>
      <c r="D10" s="2">
        <v>0.84179999999999999</v>
      </c>
      <c r="F10" t="s">
        <v>29</v>
      </c>
      <c r="G10" s="2">
        <f>D10</f>
        <v>0.84179999999999999</v>
      </c>
    </row>
    <row r="11" spans="3:7" x14ac:dyDescent="0.25">
      <c r="C11" t="s">
        <v>22</v>
      </c>
      <c r="D11" s="2">
        <v>5.7999999999999996E-3</v>
      </c>
      <c r="F11" t="s">
        <v>28</v>
      </c>
      <c r="G11" s="2">
        <f>D17</f>
        <v>2.75E-2</v>
      </c>
    </row>
    <row r="12" spans="3:7" x14ac:dyDescent="0.25">
      <c r="C12" t="s">
        <v>23</v>
      </c>
      <c r="D12" s="2">
        <v>4.1200000000000001E-2</v>
      </c>
      <c r="F12" t="s">
        <v>30</v>
      </c>
      <c r="G12" s="2">
        <f>D13</f>
        <v>1.7299999999999999E-2</v>
      </c>
    </row>
    <row r="13" spans="3:7" x14ac:dyDescent="0.25">
      <c r="C13" t="s">
        <v>24</v>
      </c>
      <c r="D13" s="2">
        <v>1.7299999999999999E-2</v>
      </c>
      <c r="F13" t="s">
        <v>31</v>
      </c>
      <c r="G13" s="2">
        <f>D12+D16</f>
        <v>7.7800000000000008E-2</v>
      </c>
    </row>
    <row r="14" spans="3:7" x14ac:dyDescent="0.25">
      <c r="C14" t="s">
        <v>25</v>
      </c>
      <c r="D14" s="2">
        <v>2.3E-3</v>
      </c>
      <c r="F14" t="s">
        <v>32</v>
      </c>
      <c r="G14" s="2">
        <f>D14</f>
        <v>2.3E-3</v>
      </c>
    </row>
    <row r="15" spans="3:7" x14ac:dyDescent="0.25">
      <c r="C15" t="s">
        <v>26</v>
      </c>
      <c r="D15" s="2">
        <v>2.75E-2</v>
      </c>
      <c r="F15" t="s">
        <v>22</v>
      </c>
      <c r="G15" s="2">
        <f>D11</f>
        <v>5.7999999999999996E-3</v>
      </c>
    </row>
    <row r="16" spans="3:7" x14ac:dyDescent="0.25">
      <c r="C16" t="s">
        <v>27</v>
      </c>
      <c r="D16" s="2">
        <v>3.6600000000000001E-2</v>
      </c>
      <c r="F16" t="s">
        <v>33</v>
      </c>
      <c r="G16" s="2">
        <f>D15</f>
        <v>2.75E-2</v>
      </c>
    </row>
    <row r="17" spans="3:7" x14ac:dyDescent="0.25">
      <c r="C17" t="s">
        <v>28</v>
      </c>
      <c r="D17" s="2">
        <v>2.75E-2</v>
      </c>
      <c r="G1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workbookViewId="0">
      <selection activeCell="G28" sqref="G28"/>
    </sheetView>
  </sheetViews>
  <sheetFormatPr defaultRowHeight="15" x14ac:dyDescent="0.25"/>
  <cols>
    <col min="1" max="1" width="59.42578125" bestFit="1" customWidth="1"/>
    <col min="2" max="2" width="15.140625" bestFit="1" customWidth="1"/>
    <col min="3" max="3" width="12.42578125" bestFit="1" customWidth="1"/>
    <col min="4" max="4" width="22.28515625" bestFit="1" customWidth="1"/>
    <col min="5" max="5" width="21.5703125" bestFit="1" customWidth="1"/>
    <col min="7" max="7" width="11.42578125" bestFit="1" customWidth="1"/>
    <col min="10" max="11" width="12" bestFit="1" customWidth="1"/>
  </cols>
  <sheetData>
    <row r="1" spans="1:5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36</v>
      </c>
      <c r="B2">
        <v>0.61831770997823843</v>
      </c>
      <c r="C2" s="4" t="s">
        <v>13</v>
      </c>
      <c r="D2">
        <v>1554268.8119999999</v>
      </c>
      <c r="E2">
        <f>D2*B2</f>
        <v>961031.9325264371</v>
      </c>
    </row>
    <row r="3" spans="1:5" x14ac:dyDescent="0.25">
      <c r="A3" t="s">
        <v>37</v>
      </c>
      <c r="B3">
        <v>0.38168229002176157</v>
      </c>
      <c r="C3" s="4" t="s">
        <v>13</v>
      </c>
      <c r="D3">
        <v>1554268.8119999999</v>
      </c>
      <c r="E3">
        <f t="shared" ref="E3:E50" si="0">D3*B3</f>
        <v>593236.87947356282</v>
      </c>
    </row>
    <row r="4" spans="1:5" x14ac:dyDescent="0.25">
      <c r="A4" t="s">
        <v>35</v>
      </c>
      <c r="B4">
        <v>0.79401392160994866</v>
      </c>
      <c r="C4" s="4" t="s">
        <v>7</v>
      </c>
      <c r="D4">
        <v>61084402.119999997</v>
      </c>
      <c r="E4">
        <f t="shared" si="0"/>
        <v>48501865.676500261</v>
      </c>
    </row>
    <row r="5" spans="1:5" x14ac:dyDescent="0.25">
      <c r="A5" t="s">
        <v>34</v>
      </c>
      <c r="B5">
        <v>0.20598607839005142</v>
      </c>
      <c r="C5" s="4" t="s">
        <v>7</v>
      </c>
      <c r="D5">
        <v>61084402.119999997</v>
      </c>
      <c r="E5">
        <f t="shared" si="0"/>
        <v>12582536.443499742</v>
      </c>
    </row>
    <row r="6" spans="1:5" x14ac:dyDescent="0.25">
      <c r="A6" t="s">
        <v>35</v>
      </c>
      <c r="B6">
        <v>1</v>
      </c>
      <c r="C6" s="4" t="s">
        <v>51</v>
      </c>
      <c r="D6">
        <v>2674099.1159999999</v>
      </c>
      <c r="E6">
        <f t="shared" si="0"/>
        <v>2674099.1159999999</v>
      </c>
    </row>
    <row r="7" spans="1:5" x14ac:dyDescent="0.25">
      <c r="A7" t="s">
        <v>35</v>
      </c>
      <c r="B7">
        <v>0.52512572032754001</v>
      </c>
      <c r="C7" s="4" t="s">
        <v>6</v>
      </c>
      <c r="D7">
        <v>6977250.5789999999</v>
      </c>
      <c r="E7">
        <f t="shared" si="0"/>
        <v>3663933.7362031206</v>
      </c>
    </row>
    <row r="8" spans="1:5" x14ac:dyDescent="0.25">
      <c r="A8" t="s">
        <v>38</v>
      </c>
      <c r="B8">
        <v>0.47487427967245899</v>
      </c>
      <c r="C8" s="4" t="s">
        <v>6</v>
      </c>
      <c r="D8">
        <v>6977250.5789999999</v>
      </c>
      <c r="E8">
        <f t="shared" si="0"/>
        <v>3313316.8427968724</v>
      </c>
    </row>
    <row r="9" spans="1:5" x14ac:dyDescent="0.25">
      <c r="A9" t="s">
        <v>42</v>
      </c>
      <c r="B9">
        <v>1</v>
      </c>
      <c r="C9" s="4" t="s">
        <v>48</v>
      </c>
      <c r="D9">
        <v>366000</v>
      </c>
      <c r="E9">
        <f t="shared" si="0"/>
        <v>366000</v>
      </c>
    </row>
    <row r="10" spans="1:5" x14ac:dyDescent="0.25">
      <c r="A10" t="s">
        <v>35</v>
      </c>
      <c r="B10">
        <v>1</v>
      </c>
      <c r="C10" s="4" t="s">
        <v>16</v>
      </c>
      <c r="D10">
        <v>1081708.747</v>
      </c>
      <c r="E10">
        <f t="shared" si="0"/>
        <v>1081708.747</v>
      </c>
    </row>
    <row r="11" spans="1:5" x14ac:dyDescent="0.25">
      <c r="A11" t="s">
        <v>45</v>
      </c>
      <c r="B11">
        <v>0.88757027197187544</v>
      </c>
      <c r="C11" s="4" t="s">
        <v>11</v>
      </c>
      <c r="D11">
        <v>64210185.420000002</v>
      </c>
      <c r="E11">
        <f t="shared" si="0"/>
        <v>56991051.736593954</v>
      </c>
    </row>
    <row r="12" spans="1:5" x14ac:dyDescent="0.25">
      <c r="A12" t="s">
        <v>39</v>
      </c>
      <c r="B12">
        <v>7.5820864829665865E-2</v>
      </c>
      <c r="C12" s="4" t="s">
        <v>11</v>
      </c>
      <c r="D12">
        <v>64210185.420000002</v>
      </c>
      <c r="E12">
        <f t="shared" si="0"/>
        <v>4868471.7894176021</v>
      </c>
    </row>
    <row r="13" spans="1:5" x14ac:dyDescent="0.25">
      <c r="A13" t="s">
        <v>43</v>
      </c>
      <c r="B13">
        <v>3.6608863198458602E-2</v>
      </c>
      <c r="C13" s="4" t="s">
        <v>11</v>
      </c>
      <c r="D13">
        <v>64210185.420000002</v>
      </c>
      <c r="E13">
        <f t="shared" si="0"/>
        <v>2350661.8939884412</v>
      </c>
    </row>
    <row r="14" spans="1:5" x14ac:dyDescent="0.25">
      <c r="A14" t="s">
        <v>42</v>
      </c>
      <c r="B14">
        <v>0.74287578329988224</v>
      </c>
      <c r="C14" s="4" t="s">
        <v>15</v>
      </c>
      <c r="D14">
        <v>87000000</v>
      </c>
      <c r="E14">
        <f t="shared" si="0"/>
        <v>64630193.147089757</v>
      </c>
    </row>
    <row r="15" spans="1:5" x14ac:dyDescent="0.25">
      <c r="A15" t="s">
        <v>46</v>
      </c>
      <c r="B15">
        <v>0.13848452188328597</v>
      </c>
      <c r="C15" s="4" t="s">
        <v>15</v>
      </c>
      <c r="D15">
        <v>87000000</v>
      </c>
      <c r="E15">
        <f t="shared" si="0"/>
        <v>12048153.40384588</v>
      </c>
    </row>
    <row r="16" spans="1:5" x14ac:dyDescent="0.25">
      <c r="A16" t="s">
        <v>38</v>
      </c>
      <c r="B16">
        <v>3.0007480916812632E-2</v>
      </c>
      <c r="C16" s="4" t="s">
        <v>15</v>
      </c>
      <c r="D16">
        <v>87000000</v>
      </c>
      <c r="E16">
        <f t="shared" si="0"/>
        <v>2610650.8397626989</v>
      </c>
    </row>
    <row r="17" spans="1:5" x14ac:dyDescent="0.25">
      <c r="A17" t="s">
        <v>47</v>
      </c>
      <c r="B17">
        <v>8.8632213900019075E-2</v>
      </c>
      <c r="C17" s="4" t="s">
        <v>15</v>
      </c>
      <c r="D17">
        <v>87000000</v>
      </c>
      <c r="E17">
        <f t="shared" si="0"/>
        <v>7711002.6093016593</v>
      </c>
    </row>
    <row r="18" spans="1:5" x14ac:dyDescent="0.25">
      <c r="A18" t="s">
        <v>35</v>
      </c>
      <c r="B18">
        <v>0.84733915633184897</v>
      </c>
      <c r="C18" s="4" t="s">
        <v>18</v>
      </c>
      <c r="D18">
        <v>38934732.43</v>
      </c>
      <c r="E18">
        <f t="shared" si="0"/>
        <v>32990923.329242479</v>
      </c>
    </row>
    <row r="19" spans="1:5" x14ac:dyDescent="0.25">
      <c r="A19" t="s">
        <v>37</v>
      </c>
      <c r="B19">
        <v>0.15266084366815</v>
      </c>
      <c r="C19" s="4" t="s">
        <v>18</v>
      </c>
      <c r="D19">
        <v>38934732.43</v>
      </c>
      <c r="E19">
        <f t="shared" si="0"/>
        <v>5943809.1007574797</v>
      </c>
    </row>
    <row r="20" spans="1:5" x14ac:dyDescent="0.25">
      <c r="A20" t="s">
        <v>35</v>
      </c>
      <c r="B20">
        <v>0.73266544221843499</v>
      </c>
      <c r="C20" s="4" t="s">
        <v>10</v>
      </c>
      <c r="D20">
        <v>23500755.780000001</v>
      </c>
      <c r="E20">
        <f t="shared" si="0"/>
        <v>17218191.626021143</v>
      </c>
    </row>
    <row r="21" spans="1:5" x14ac:dyDescent="0.25">
      <c r="A21" t="s">
        <v>39</v>
      </c>
      <c r="B21">
        <v>0.26733455778156401</v>
      </c>
      <c r="C21" s="4" t="s">
        <v>10</v>
      </c>
      <c r="D21">
        <v>23500755.780000001</v>
      </c>
      <c r="E21">
        <f t="shared" si="0"/>
        <v>6282564.1539788349</v>
      </c>
    </row>
    <row r="22" spans="1:5" x14ac:dyDescent="0.25">
      <c r="A22" t="s">
        <v>35</v>
      </c>
      <c r="B22">
        <v>0.841178437394558</v>
      </c>
      <c r="C22" s="4" t="s">
        <v>12</v>
      </c>
      <c r="D22">
        <v>201758499.40000001</v>
      </c>
      <c r="E22">
        <f t="shared" si="0"/>
        <v>169714899.25636289</v>
      </c>
    </row>
    <row r="23" spans="1:5" x14ac:dyDescent="0.25">
      <c r="A23" t="s">
        <v>34</v>
      </c>
      <c r="B23">
        <v>0.158821562605441</v>
      </c>
      <c r="C23" s="4" t="s">
        <v>12</v>
      </c>
      <c r="D23">
        <v>201758499.40000001</v>
      </c>
      <c r="E23">
        <f t="shared" si="0"/>
        <v>32043600.143636931</v>
      </c>
    </row>
    <row r="24" spans="1:5" x14ac:dyDescent="0.25">
      <c r="A24" t="s">
        <v>35</v>
      </c>
      <c r="B24">
        <v>0.39454798551666598</v>
      </c>
      <c r="C24" s="4" t="s">
        <v>50</v>
      </c>
      <c r="D24">
        <v>347816361</v>
      </c>
      <c r="E24">
        <f t="shared" si="0"/>
        <v>137230244.56228748</v>
      </c>
    </row>
    <row r="25" spans="1:5" x14ac:dyDescent="0.25">
      <c r="A25" t="s">
        <v>40</v>
      </c>
      <c r="B25">
        <v>0.23280346724176701</v>
      </c>
      <c r="C25" s="4" t="s">
        <v>50</v>
      </c>
      <c r="D25">
        <v>347816361</v>
      </c>
      <c r="E25">
        <f t="shared" si="0"/>
        <v>80972854.804214105</v>
      </c>
    </row>
    <row r="26" spans="1:5" x14ac:dyDescent="0.25">
      <c r="A26" t="s">
        <v>41</v>
      </c>
      <c r="B26">
        <v>0.165439934217085</v>
      </c>
      <c r="C26" s="4" t="s">
        <v>50</v>
      </c>
      <c r="D26">
        <v>347816361</v>
      </c>
      <c r="E26">
        <f t="shared" si="0"/>
        <v>57542715.883465886</v>
      </c>
    </row>
    <row r="27" spans="1:5" x14ac:dyDescent="0.25">
      <c r="A27" t="s">
        <v>39</v>
      </c>
      <c r="B27">
        <v>7.9812538359880295E-2</v>
      </c>
      <c r="C27" s="4" t="s">
        <v>50</v>
      </c>
      <c r="D27">
        <v>347816361</v>
      </c>
      <c r="E27">
        <f t="shared" si="0"/>
        <v>27760106.654506471</v>
      </c>
    </row>
    <row r="28" spans="1:5" x14ac:dyDescent="0.25">
      <c r="A28" t="s">
        <v>42</v>
      </c>
      <c r="B28">
        <v>6.4497366297362302E-2</v>
      </c>
      <c r="C28" s="4" t="s">
        <v>50</v>
      </c>
      <c r="D28">
        <v>347816361</v>
      </c>
      <c r="E28">
        <f t="shared" si="0"/>
        <v>22433239.239632599</v>
      </c>
    </row>
    <row r="29" spans="1:5" x14ac:dyDescent="0.25">
      <c r="A29" t="s">
        <v>43</v>
      </c>
      <c r="B29">
        <v>3.0077883934385902E-2</v>
      </c>
      <c r="C29" s="4" t="s">
        <v>50</v>
      </c>
      <c r="D29">
        <v>347816361</v>
      </c>
      <c r="E29">
        <f t="shared" si="0"/>
        <v>10461580.136638466</v>
      </c>
    </row>
    <row r="30" spans="1:5" x14ac:dyDescent="0.25">
      <c r="A30" t="s">
        <v>37</v>
      </c>
      <c r="B30">
        <v>3.00746331444584E-2</v>
      </c>
      <c r="C30" s="4" t="s">
        <v>50</v>
      </c>
      <c r="D30">
        <v>347816361</v>
      </c>
      <c r="E30">
        <f t="shared" si="0"/>
        <v>10460449.458715508</v>
      </c>
    </row>
    <row r="31" spans="1:5" x14ac:dyDescent="0.25">
      <c r="A31" t="s">
        <v>44</v>
      </c>
      <c r="B31">
        <v>2.7461912883932999E-3</v>
      </c>
      <c r="C31" s="4" t="s">
        <v>50</v>
      </c>
      <c r="D31">
        <v>347816361</v>
      </c>
      <c r="E31">
        <f t="shared" si="0"/>
        <v>955170.26053885918</v>
      </c>
    </row>
    <row r="32" spans="1:5" x14ac:dyDescent="0.25">
      <c r="A32" t="s">
        <v>8</v>
      </c>
      <c r="B32">
        <v>0.56344220359613195</v>
      </c>
      <c r="C32" s="4" t="s">
        <v>9</v>
      </c>
      <c r="D32">
        <v>148936259.09999999</v>
      </c>
      <c r="E32">
        <f t="shared" si="0"/>
        <v>83916974.022668451</v>
      </c>
    </row>
    <row r="33" spans="1:5" x14ac:dyDescent="0.25">
      <c r="A33" t="s">
        <v>39</v>
      </c>
      <c r="B33">
        <v>0.407494488007414</v>
      </c>
      <c r="C33" s="4" t="s">
        <v>9</v>
      </c>
      <c r="D33">
        <v>148936259.09999999</v>
      </c>
      <c r="E33">
        <f t="shared" si="0"/>
        <v>60690704.647694051</v>
      </c>
    </row>
    <row r="34" spans="1:5" x14ac:dyDescent="0.25">
      <c r="A34" t="s">
        <v>35</v>
      </c>
      <c r="B34">
        <v>2.9063308396452301E-2</v>
      </c>
      <c r="C34" s="4" t="s">
        <v>9</v>
      </c>
      <c r="D34">
        <v>148936259.09999999</v>
      </c>
      <c r="E34">
        <f t="shared" si="0"/>
        <v>4328580.4296372253</v>
      </c>
    </row>
    <row r="35" spans="1:5" x14ac:dyDescent="0.25">
      <c r="A35" t="s">
        <v>35</v>
      </c>
      <c r="B35">
        <v>0.50508041868836795</v>
      </c>
      <c r="C35" s="4" t="s">
        <v>49</v>
      </c>
      <c r="D35">
        <v>196652183.90000001</v>
      </c>
      <c r="E35">
        <f t="shared" si="0"/>
        <v>99325167.380193934</v>
      </c>
    </row>
    <row r="36" spans="1:5" x14ac:dyDescent="0.25">
      <c r="A36" t="s">
        <v>34</v>
      </c>
      <c r="B36">
        <v>0.23963301566776399</v>
      </c>
      <c r="C36" s="4" t="s">
        <v>49</v>
      </c>
      <c r="D36">
        <v>196652183.90000001</v>
      </c>
      <c r="E36">
        <f t="shared" si="0"/>
        <v>47124355.865608707</v>
      </c>
    </row>
    <row r="37" spans="1:5" x14ac:dyDescent="0.25">
      <c r="A37" t="s">
        <v>38</v>
      </c>
      <c r="B37">
        <v>0.19210678946315199</v>
      </c>
      <c r="C37" s="4" t="s">
        <v>49</v>
      </c>
      <c r="D37">
        <v>196652183.90000001</v>
      </c>
      <c r="E37">
        <f t="shared" si="0"/>
        <v>37778219.689946346</v>
      </c>
    </row>
    <row r="38" spans="1:5" x14ac:dyDescent="0.25">
      <c r="A38" t="s">
        <v>44</v>
      </c>
      <c r="B38">
        <v>5.0439283720812897E-2</v>
      </c>
      <c r="C38" s="4" t="s">
        <v>49</v>
      </c>
      <c r="D38">
        <v>196652183.90000001</v>
      </c>
      <c r="E38">
        <f t="shared" si="0"/>
        <v>9918995.2980495747</v>
      </c>
    </row>
    <row r="39" spans="1:5" x14ac:dyDescent="0.25">
      <c r="A39" t="s">
        <v>37</v>
      </c>
      <c r="B39">
        <v>1.2740492459903101E-2</v>
      </c>
      <c r="C39" s="4" t="s">
        <v>49</v>
      </c>
      <c r="D39">
        <v>196652183.90000001</v>
      </c>
      <c r="E39">
        <f t="shared" si="0"/>
        <v>2505445.666201428</v>
      </c>
    </row>
    <row r="40" spans="1:5" x14ac:dyDescent="0.25">
      <c r="A40" t="s">
        <v>39</v>
      </c>
      <c r="B40">
        <v>0.91502251799193601</v>
      </c>
      <c r="C40" s="4" t="s">
        <v>17</v>
      </c>
      <c r="D40">
        <v>138970173.69999999</v>
      </c>
      <c r="E40">
        <f t="shared" si="0"/>
        <v>127160838.26475072</v>
      </c>
    </row>
    <row r="41" spans="1:5" x14ac:dyDescent="0.25">
      <c r="A41" t="s">
        <v>35</v>
      </c>
      <c r="B41">
        <v>5.9890161501362497E-2</v>
      </c>
      <c r="C41" s="4" t="s">
        <v>17</v>
      </c>
      <c r="D41">
        <v>138970173.69999999</v>
      </c>
      <c r="E41">
        <f t="shared" si="0"/>
        <v>8322946.1467653988</v>
      </c>
    </row>
    <row r="42" spans="1:5" x14ac:dyDescent="0.25">
      <c r="A42" t="s">
        <v>41</v>
      </c>
      <c r="B42">
        <v>2.5087320506701101E-2</v>
      </c>
      <c r="C42" s="4" t="s">
        <v>17</v>
      </c>
      <c r="D42">
        <v>138970173.69999999</v>
      </c>
      <c r="E42">
        <f t="shared" si="0"/>
        <v>3486389.2884838236</v>
      </c>
    </row>
    <row r="43" spans="1:5" x14ac:dyDescent="0.25">
      <c r="A43" t="s">
        <v>34</v>
      </c>
      <c r="B43">
        <v>0.352162617276225</v>
      </c>
      <c r="C43" s="4" t="s">
        <v>5</v>
      </c>
      <c r="D43">
        <v>188318801.59999999</v>
      </c>
      <c r="E43">
        <f t="shared" si="0"/>
        <v>66318842.053778149</v>
      </c>
    </row>
    <row r="44" spans="1:5" x14ac:dyDescent="0.25">
      <c r="A44" t="s">
        <v>35</v>
      </c>
      <c r="B44">
        <v>0.31873823734484802</v>
      </c>
      <c r="C44" s="4" t="s">
        <v>5</v>
      </c>
      <c r="D44">
        <v>188318801.59999999</v>
      </c>
      <c r="E44">
        <f t="shared" si="0"/>
        <v>60024402.880878143</v>
      </c>
    </row>
    <row r="45" spans="1:5" x14ac:dyDescent="0.25">
      <c r="A45" t="s">
        <v>36</v>
      </c>
      <c r="B45">
        <v>0.192155901226716</v>
      </c>
      <c r="C45" s="4" t="s">
        <v>5</v>
      </c>
      <c r="D45">
        <v>188318801.59999999</v>
      </c>
      <c r="E45">
        <f t="shared" si="0"/>
        <v>36186569.039383128</v>
      </c>
    </row>
    <row r="46" spans="1:5" x14ac:dyDescent="0.25">
      <c r="A46" t="s">
        <v>37</v>
      </c>
      <c r="B46">
        <v>0.13694324415220899</v>
      </c>
      <c r="C46" s="4" t="s">
        <v>5</v>
      </c>
      <c r="D46">
        <v>188318801.59999999</v>
      </c>
      <c r="E46">
        <f t="shared" si="0"/>
        <v>25788987.625960205</v>
      </c>
    </row>
    <row r="47" spans="1:5" x14ac:dyDescent="0.25">
      <c r="A47" t="s">
        <v>34</v>
      </c>
      <c r="B47">
        <v>0.590178760593704</v>
      </c>
      <c r="C47" s="4" t="s">
        <v>14</v>
      </c>
      <c r="D47">
        <v>11549646.18</v>
      </c>
      <c r="E47">
        <f t="shared" si="0"/>
        <v>6816355.8678082079</v>
      </c>
    </row>
    <row r="48" spans="1:5" x14ac:dyDescent="0.25">
      <c r="A48" t="s">
        <v>36</v>
      </c>
      <c r="B48">
        <v>0.17977648197656701</v>
      </c>
      <c r="C48" s="4" t="s">
        <v>14</v>
      </c>
      <c r="D48">
        <v>11549646.18</v>
      </c>
      <c r="E48">
        <f t="shared" si="0"/>
        <v>2076354.7583144959</v>
      </c>
    </row>
    <row r="49" spans="1:5" x14ac:dyDescent="0.25">
      <c r="A49" t="s">
        <v>35</v>
      </c>
      <c r="B49">
        <v>0.176380568497469</v>
      </c>
      <c r="C49" s="4" t="s">
        <v>14</v>
      </c>
      <c r="D49">
        <v>11549646.18</v>
      </c>
      <c r="E49">
        <f t="shared" si="0"/>
        <v>2037133.1591730211</v>
      </c>
    </row>
    <row r="50" spans="1:5" x14ac:dyDescent="0.25">
      <c r="A50" t="s">
        <v>37</v>
      </c>
      <c r="B50">
        <v>5.3664188932258203E-2</v>
      </c>
      <c r="C50" s="4" t="s">
        <v>14</v>
      </c>
      <c r="D50">
        <v>11549646.18</v>
      </c>
      <c r="E50">
        <f t="shared" si="0"/>
        <v>619802.39470425423</v>
      </c>
    </row>
  </sheetData>
  <autoFilter ref="A1:E50" xr:uid="{00000000-0001-0000-0000-000000000000}">
    <sortState xmlns:xlrd2="http://schemas.microsoft.com/office/spreadsheetml/2017/richdata2" ref="A2:E50">
      <sortCondition ref="C1:C50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13F5A-69CE-4C96-B399-50487F69C939}">
  <dimension ref="A1:C18"/>
  <sheetViews>
    <sheetView workbookViewId="0">
      <selection sqref="A1:B18"/>
    </sheetView>
  </sheetViews>
  <sheetFormatPr defaultRowHeight="15" x14ac:dyDescent="0.25"/>
  <cols>
    <col min="1" max="1" width="10.140625" bestFit="1" customWidth="1"/>
    <col min="2" max="2" width="17.7109375" bestFit="1" customWidth="1"/>
    <col min="3" max="3" width="12.42578125" bestFit="1" customWidth="1"/>
    <col min="4" max="4" width="13.140625" bestFit="1" customWidth="1"/>
    <col min="5" max="5" width="18.5703125" bestFit="1" customWidth="1"/>
    <col min="6" max="6" width="12.42578125" bestFit="1" customWidth="1"/>
  </cols>
  <sheetData>
    <row r="1" spans="1:3" x14ac:dyDescent="0.25">
      <c r="A1" t="s">
        <v>2</v>
      </c>
      <c r="B1" t="s">
        <v>3</v>
      </c>
    </row>
    <row r="2" spans="1:3" x14ac:dyDescent="0.25">
      <c r="A2" t="s">
        <v>13</v>
      </c>
      <c r="B2" s="3">
        <v>1554268.8119999999</v>
      </c>
    </row>
    <row r="3" spans="1:3" x14ac:dyDescent="0.25">
      <c r="A3" t="s">
        <v>7</v>
      </c>
      <c r="B3" s="3">
        <v>61084402.119999997</v>
      </c>
    </row>
    <row r="4" spans="1:3" x14ac:dyDescent="0.25">
      <c r="A4" t="s">
        <v>51</v>
      </c>
      <c r="B4" s="3">
        <v>2674099.1159999999</v>
      </c>
      <c r="C4" s="3"/>
    </row>
    <row r="5" spans="1:3" x14ac:dyDescent="0.25">
      <c r="A5" t="s">
        <v>6</v>
      </c>
      <c r="B5" s="3">
        <v>6977250.5789999999</v>
      </c>
      <c r="C5" s="3"/>
    </row>
    <row r="6" spans="1:3" x14ac:dyDescent="0.25">
      <c r="A6" t="s">
        <v>48</v>
      </c>
      <c r="B6" s="3">
        <v>366000</v>
      </c>
    </row>
    <row r="7" spans="1:3" x14ac:dyDescent="0.25">
      <c r="A7" t="s">
        <v>16</v>
      </c>
      <c r="B7" s="3">
        <v>1081708.747</v>
      </c>
    </row>
    <row r="8" spans="1:3" x14ac:dyDescent="0.25">
      <c r="A8" t="s">
        <v>11</v>
      </c>
      <c r="B8" s="3">
        <v>64210185.420000002</v>
      </c>
      <c r="C8" s="3"/>
    </row>
    <row r="9" spans="1:3" x14ac:dyDescent="0.25">
      <c r="A9" t="s">
        <v>15</v>
      </c>
      <c r="B9" s="3">
        <v>87000000</v>
      </c>
      <c r="C9" s="3"/>
    </row>
    <row r="10" spans="1:3" x14ac:dyDescent="0.25">
      <c r="A10" t="s">
        <v>18</v>
      </c>
      <c r="B10" s="3">
        <v>38934732.43</v>
      </c>
    </row>
    <row r="11" spans="1:3" x14ac:dyDescent="0.25">
      <c r="A11" t="s">
        <v>10</v>
      </c>
      <c r="B11" s="3">
        <v>23500755.780000001</v>
      </c>
    </row>
    <row r="12" spans="1:3" x14ac:dyDescent="0.25">
      <c r="A12" t="s">
        <v>12</v>
      </c>
      <c r="B12" s="3">
        <v>201758499.40000001</v>
      </c>
    </row>
    <row r="13" spans="1:3" x14ac:dyDescent="0.25">
      <c r="A13" t="s">
        <v>50</v>
      </c>
      <c r="B13" s="3">
        <v>347816361</v>
      </c>
    </row>
    <row r="14" spans="1:3" x14ac:dyDescent="0.25">
      <c r="A14" t="s">
        <v>9</v>
      </c>
      <c r="B14" s="3">
        <v>148936259.09999999</v>
      </c>
    </row>
    <row r="15" spans="1:3" x14ac:dyDescent="0.25">
      <c r="A15" t="s">
        <v>49</v>
      </c>
      <c r="B15" s="3">
        <v>196652183.90000001</v>
      </c>
      <c r="C15" s="3"/>
    </row>
    <row r="16" spans="1:3" x14ac:dyDescent="0.25">
      <c r="A16" t="s">
        <v>17</v>
      </c>
      <c r="B16" s="3">
        <v>138970173.69999999</v>
      </c>
    </row>
    <row r="17" spans="1:3" x14ac:dyDescent="0.25">
      <c r="A17" t="s">
        <v>5</v>
      </c>
      <c r="B17" s="3">
        <v>188318801.59999999</v>
      </c>
      <c r="C17" s="3"/>
    </row>
    <row r="18" spans="1:3" x14ac:dyDescent="0.25">
      <c r="A18" t="s">
        <v>14</v>
      </c>
      <c r="B18" s="3">
        <v>11549646.18</v>
      </c>
    </row>
  </sheetData>
  <autoFilter ref="A1:B18" xr:uid="{CBC13F5A-69CE-4C96-B399-50487F69C939}">
    <sortState xmlns:xlrd2="http://schemas.microsoft.com/office/spreadsheetml/2017/richdata2" ref="A2:B18">
      <sortCondition ref="A1:A1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Sheet9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uhorchak</cp:lastModifiedBy>
  <dcterms:created xsi:type="dcterms:W3CDTF">2024-06-23T18:22:30Z</dcterms:created>
  <dcterms:modified xsi:type="dcterms:W3CDTF">2024-06-28T21:04:11Z</dcterms:modified>
</cp:coreProperties>
</file>