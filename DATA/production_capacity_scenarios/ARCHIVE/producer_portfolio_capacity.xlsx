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production_capacity_scenarios/"/>
    </mc:Choice>
  </mc:AlternateContent>
  <xr:revisionPtr revIDLastSave="284" documentId="11_0D7D8EE7DD56FA0F62355476585DCE3A87472C73" xr6:coauthVersionLast="47" xr6:coauthVersionMax="47" xr10:uidLastSave="{96A5FCB4-4F08-44D0-9395-E75FA3A11BC0}"/>
  <bookViews>
    <workbookView xWindow="-120" yWindow="-120" windowWidth="20730" windowHeight="11040" activeTab="1" xr2:uid="{00000000-000D-0000-FFFF-FFFF00000000}"/>
  </bookViews>
  <sheets>
    <sheet name="Sheet8" sheetId="8" r:id="rId1"/>
    <sheet name="Sheet9" sheetId="9" r:id="rId2"/>
    <sheet name="Sheet1" sheetId="1" r:id="rId3"/>
  </sheets>
  <definedNames>
    <definedName name="_xlnm._FilterDatabase" localSheetId="2" hidden="1">Sheet1!$A$1:$E$49</definedName>
  </definedNames>
  <calcPr calcId="191029"/>
  <pivotCaches>
    <pivotCache cacheId="4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9" l="1"/>
  <c r="G15" i="9"/>
  <c r="G14" i="9"/>
  <c r="G13" i="9"/>
  <c r="G12" i="9"/>
  <c r="G11" i="9"/>
  <c r="G10" i="9"/>
  <c r="I44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28" i="1"/>
  <c r="H44" i="1"/>
  <c r="H7" i="1"/>
  <c r="H6" i="1"/>
  <c r="G10" i="1"/>
  <c r="G9" i="1"/>
  <c r="G8" i="1"/>
  <c r="G5" i="1"/>
  <c r="G4" i="1"/>
  <c r="G3" i="1"/>
  <c r="G2" i="1"/>
  <c r="F49" i="1"/>
  <c r="F48" i="1"/>
  <c r="F27" i="1"/>
  <c r="F26" i="1"/>
  <c r="F25" i="1"/>
  <c r="G25" i="1" s="1"/>
  <c r="H25" i="1" s="1"/>
  <c r="F24" i="1"/>
  <c r="G24" i="1" s="1"/>
  <c r="H24" i="1" s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</calcChain>
</file>

<file path=xl/sharedStrings.xml><?xml version="1.0" encoding="utf-8"?>
<sst xmlns="http://schemas.openxmlformats.org/spreadsheetml/2006/main" count="143" uniqueCount="58">
  <si>
    <t>Manufacturer</t>
  </si>
  <si>
    <t>Proportion</t>
  </si>
  <si>
    <t>Vaccine</t>
  </si>
  <si>
    <t>Predicted Capacity</t>
  </si>
  <si>
    <t>Adjusted Capacity</t>
  </si>
  <si>
    <t>Biological E. Limited</t>
  </si>
  <si>
    <t>Td</t>
  </si>
  <si>
    <t>Serum Institute of India Pvt. Ltd.</t>
  </si>
  <si>
    <t>Bul Bio - National Center of Infectious and Parasitic Diseases Ltd.</t>
  </si>
  <si>
    <t>PT Bio Farma (Persero)</t>
  </si>
  <si>
    <t>HepB</t>
  </si>
  <si>
    <t>LG Chem Ltd</t>
  </si>
  <si>
    <t>DTwP</t>
  </si>
  <si>
    <t>Pfizer</t>
  </si>
  <si>
    <t>PCV</t>
  </si>
  <si>
    <t>GlaxoSmithKline Biologicals SA</t>
  </si>
  <si>
    <t>bOPV</t>
  </si>
  <si>
    <t>Haffkine Bio Pharmaceutical Corporation Ltd</t>
  </si>
  <si>
    <t>Bharat Biotech</t>
  </si>
  <si>
    <t>Sanofi Pasteur</t>
  </si>
  <si>
    <t>China National Biotec Group</t>
  </si>
  <si>
    <t>Panacea Biotec Ltd.</t>
  </si>
  <si>
    <t>MMR</t>
  </si>
  <si>
    <t>Merck Vaccines</t>
  </si>
  <si>
    <t>HPV</t>
  </si>
  <si>
    <t>MR</t>
  </si>
  <si>
    <t>DTwP-HepB-Hib</t>
  </si>
  <si>
    <t>DT</t>
  </si>
  <si>
    <t>TT</t>
  </si>
  <si>
    <t>IPV</t>
  </si>
  <si>
    <t>Bilthoven Biologicals</t>
  </si>
  <si>
    <t>Sanofi Healthcare India Private Limited</t>
  </si>
  <si>
    <t>AJ Vaccines A/S</t>
  </si>
  <si>
    <t>Hib</t>
  </si>
  <si>
    <t>Rota</t>
  </si>
  <si>
    <t>Measles</t>
  </si>
  <si>
    <t>Row Labels</t>
  </si>
  <si>
    <t>Grand Total</t>
  </si>
  <si>
    <t>Sum of Adjusted Capacity</t>
  </si>
  <si>
    <t>Sum of 3</t>
  </si>
  <si>
    <t>Sum of 7</t>
  </si>
  <si>
    <t>Sum of 9</t>
  </si>
  <si>
    <t>Sum of 5</t>
  </si>
  <si>
    <t>Scenario</t>
  </si>
  <si>
    <t>Probability</t>
  </si>
  <si>
    <t>None</t>
  </si>
  <si>
    <t>Supply Chain Issues</t>
  </si>
  <si>
    <t>Funding delays</t>
  </si>
  <si>
    <t>Vaccine shortage</t>
  </si>
  <si>
    <t>Inaccurate forecasts</t>
  </si>
  <si>
    <t>Other/Not identified/Not known</t>
  </si>
  <si>
    <t>Procurement delays</t>
  </si>
  <si>
    <t>Pandemic</t>
  </si>
  <si>
    <t>Nothing</t>
  </si>
  <si>
    <t>Global Shortage</t>
  </si>
  <si>
    <t>Funding/Procurement Delays</t>
  </si>
  <si>
    <t>Innacurate Forecasts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</si>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</sst>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0" borderId="0" xfId="0" applyFill="1"/>
    <xf numFmtId="0" fontId="0" fillId="0" borderId="0" xfId="0" applyFill="1" applyBorder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holas uhorchak" refreshedDate="45466.593449537038" createdVersion="8" refreshedVersion="8" minRefreshableVersion="3" recordCount="48" xr:uid="{5B80B361-F04E-43D6-BB64-E38F4F78EFBC}">
  <cacheSource type="worksheet">
    <worksheetSource ref="A1:I49" sheet="Sheet1"/>
  </cacheSource>
  <cacheFields count="9">
    <cacheField name="Manufacturer" numFmtId="0">
      <sharedItems count="16">
        <s v="Biological E. Limited"/>
        <s v="Serum Institute of India Pvt. Ltd."/>
        <s v="Bul Bio - National Center of Infectious and Parasitic Diseases Ltd."/>
        <s v="PT Bio Farma (Persero)"/>
        <s v="LG Chem Ltd"/>
        <s v="Pfizer"/>
        <s v="GlaxoSmithKline Biologicals SA"/>
        <s v="Haffkine Bio Pharmaceutical Corporation Ltd"/>
        <s v="Bharat Biotech"/>
        <s v="Sanofi Pasteur"/>
        <s v="China National Biotec Group"/>
        <s v="Panacea Biotec Ltd."/>
        <s v="Merck Vaccines"/>
        <s v="Bilthoven Biologicals"/>
        <s v="Sanofi Healthcare India Private Limited"/>
        <s v="AJ Vaccines A/S"/>
      </sharedItems>
    </cacheField>
    <cacheField name="Proportion" numFmtId="0">
      <sharedItems containsSemiMixedTypes="0" containsString="0" containsNumber="1" minValue="2.7461912883932999E-3" maxValue="1"/>
    </cacheField>
    <cacheField name="Vaccine" numFmtId="0">
      <sharedItems/>
    </cacheField>
    <cacheField name="Predicted Capacity" numFmtId="0">
      <sharedItems containsSemiMixedTypes="0" containsString="0" containsNumber="1" minValue="1081708.747" maxValue="109415283.90000001"/>
    </cacheField>
    <cacheField name="Adjusted Capacity" numFmtId="0">
      <sharedItems containsSemiMixedTypes="0" containsString="0" containsNumber="1" minValue="214491.93768474649" maxValue="92220543.926803768"/>
    </cacheField>
    <cacheField name="3" numFmtId="0">
      <sharedItems containsSemiMixedTypes="0" containsString="0" containsNumber="1" minValue="208057.17955420408" maxValue="92220543.926803768"/>
    </cacheField>
    <cacheField name="5" numFmtId="0">
      <sharedItems containsSemiMixedTypes="0" containsString="0" containsNumber="1" minValue="208057.17955420408" maxValue="92220543.926803768"/>
    </cacheField>
    <cacheField name="7" numFmtId="0">
      <sharedItems containsSemiMixedTypes="0" containsString="0" containsNumber="1" minValue="208057.17955420408" maxValue="92220543.926803768"/>
    </cacheField>
    <cacheField name="9" numFmtId="0">
      <sharedItems containsSemiMixedTypes="0" containsString="0" containsNumber="1" minValue="208057.17955420408" maxValue="92220543.9268037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n v="0.352162617276225"/>
    <s v="Td"/>
    <n v="98031755.310000002"/>
    <n v="34523119.526152067"/>
    <n v="34523119.526152067"/>
    <n v="33487425.940367505"/>
    <n v="33487425.940367505"/>
    <n v="33487425.940367505"/>
  </r>
  <r>
    <x v="1"/>
    <n v="0.31873823734484802"/>
    <s v="Td"/>
    <n v="98031755.310000002"/>
    <n v="31246468.891330849"/>
    <n v="31246468.891330849"/>
    <n v="30309074.824590921"/>
    <n v="30309074.824590921"/>
    <n v="30309074.824590921"/>
  </r>
  <r>
    <x v="2"/>
    <n v="0.192155901226716"/>
    <s v="Td"/>
    <n v="98031755.310000002"/>
    <n v="18837380.29042995"/>
    <n v="18837380.29042995"/>
    <n v="18272258.881717052"/>
    <n v="18272258.881717052"/>
    <n v="18272258.881717052"/>
  </r>
  <r>
    <x v="3"/>
    <n v="0.13694324415220899"/>
    <s v="Td"/>
    <n v="98031755.310000002"/>
    <n v="13424786.602086941"/>
    <n v="13424786.602086941"/>
    <n v="13022043.004024332"/>
    <n v="13022043.004024332"/>
    <n v="13022043.004024332"/>
  </r>
  <r>
    <x v="1"/>
    <n v="0.52512572032754001"/>
    <s v="HepB"/>
    <n v="6977250.5789999999"/>
    <n v="3663933.736203121"/>
    <n v="3663933.736203121"/>
    <n v="3663933.736203121"/>
    <n v="3407458.3746689027"/>
    <n v="3407458.3746689027"/>
  </r>
  <r>
    <x v="4"/>
    <n v="0.47487427967245899"/>
    <s v="HepB"/>
    <n v="6977250.5789999999"/>
    <n v="3313316.8427968719"/>
    <n v="3313316.8427968719"/>
    <n v="3313316.8427968719"/>
    <n v="3081384.6638010913"/>
    <n v="3081384.6638010913"/>
  </r>
  <r>
    <x v="1"/>
    <n v="0.53444696028713201"/>
    <s v="DTwP"/>
    <n v="8588942.9780000001"/>
    <n v="4590334.4666716075"/>
    <n v="4590334.4666716075"/>
    <n v="4452624.4326714594"/>
    <n v="4452624.4326714594"/>
    <n v="4452624.4326714594"/>
  </r>
  <r>
    <x v="3"/>
    <n v="0.32690479884347101"/>
    <s v="DTwP"/>
    <n v="8588942.9780000001"/>
    <n v="2807766.676501133"/>
    <n v="2807766.676501133"/>
    <n v="2723533.6762060989"/>
    <n v="2723533.6762060989"/>
    <n v="2723533.6762060989"/>
  </r>
  <r>
    <x v="0"/>
    <n v="0.13864824086939601"/>
    <s v="DTwP"/>
    <n v="8588942.9780000001"/>
    <n v="1190841.834827251"/>
    <n v="1190841.834827251"/>
    <n v="1155116.5797824336"/>
    <n v="1155116.5797824336"/>
    <n v="1155116.5797824336"/>
  </r>
  <r>
    <x v="5"/>
    <n v="0.56344220359613195"/>
    <s v="PCV"/>
    <n v="109415283.90000001"/>
    <n v="61649188.667712383"/>
    <n v="59799713.007681012"/>
    <n v="59799713.007681012"/>
    <n v="59799713.007681012"/>
    <n v="59799713.007681012"/>
  </r>
  <r>
    <x v="6"/>
    <n v="0.407494488007414"/>
    <s v="PCV"/>
    <n v="109415283.90000001"/>
    <n v="44586125.093016349"/>
    <n v="43248541.34022586"/>
    <n v="43248541.34022586"/>
    <n v="43248541.34022586"/>
    <n v="43248541.34022586"/>
  </r>
  <r>
    <x v="1"/>
    <n v="2.9063308396452301E-2"/>
    <s v="PCV"/>
    <n v="109415283.90000001"/>
    <n v="3179970.1392710819"/>
    <n v="3084571.0350929494"/>
    <n v="3084571.0350929494"/>
    <n v="3084571.0350929494"/>
    <n v="3084571.0350929494"/>
  </r>
  <r>
    <x v="1"/>
    <n v="0.39454798551666598"/>
    <s v="bOPV"/>
    <n v="78105242.920000002"/>
    <n v="30816266.252375841"/>
    <n v="29891778.264804564"/>
    <n v="29891778.264804564"/>
    <n v="29891778.264804564"/>
    <n v="29891778.264804564"/>
  </r>
  <r>
    <x v="7"/>
    <n v="0.23280346724176701"/>
    <s v="bOPV"/>
    <n v="78105242.920000002"/>
    <n v="18183171.36153648"/>
    <n v="17637676.220690385"/>
    <n v="17637676.220690385"/>
    <n v="17637676.220690385"/>
    <n v="17637676.220690385"/>
  </r>
  <r>
    <x v="8"/>
    <n v="0.165439934217085"/>
    <s v="bOPV"/>
    <n v="78105242.920000002"/>
    <n v="12921726.250694251"/>
    <n v="12534074.463173423"/>
    <n v="12534074.463173423"/>
    <n v="12534074.463173423"/>
    <n v="12534074.463173423"/>
  </r>
  <r>
    <x v="6"/>
    <n v="7.9812538359880295E-2"/>
    <s v="bOPV"/>
    <n v="78105242.920000002"/>
    <n v="6233777.6966602691"/>
    <n v="6046764.3657604605"/>
    <n v="6046764.3657604605"/>
    <n v="6046764.3657604605"/>
    <n v="6046764.3657604605"/>
  </r>
  <r>
    <x v="9"/>
    <n v="6.4497366297362302E-2"/>
    <s v="bOPV"/>
    <n v="78105242.920000002"/>
    <n v="5037582.462355704"/>
    <n v="4886454.9884850327"/>
    <n v="4886454.9884850327"/>
    <n v="4886454.9884850327"/>
    <n v="4886454.9884850327"/>
  </r>
  <r>
    <x v="10"/>
    <n v="3.0077883934385902E-2"/>
    <s v="bOPV"/>
    <n v="78105242.920000002"/>
    <n v="2349240.4312147759"/>
    <n v="2278763.2182783326"/>
    <n v="2278763.2182783326"/>
    <n v="2278763.2182783326"/>
    <n v="2278763.2182783326"/>
  </r>
  <r>
    <x v="3"/>
    <n v="3.00746331444584E-2"/>
    <s v="bOPV"/>
    <n v="78105242.920000002"/>
    <n v="2348986.5274778069"/>
    <n v="2278516.9316534726"/>
    <n v="2278516.9316534726"/>
    <n v="2278516.9316534726"/>
    <n v="2278516.9316534726"/>
  </r>
  <r>
    <x v="11"/>
    <n v="2.7461912883932999E-3"/>
    <s v="bOPV"/>
    <n v="78105242.920000002"/>
    <n v="214491.93768474649"/>
    <n v="208057.17955420408"/>
    <n v="208057.17955420408"/>
    <n v="208057.17955420408"/>
    <n v="208057.17955420408"/>
  </r>
  <r>
    <x v="1"/>
    <n v="0.73266544221843499"/>
    <s v="MMR"/>
    <n v="1192043.416"/>
    <n v="873369.01652721385"/>
    <n v="847167.94603139744"/>
    <n v="847167.94603139744"/>
    <n v="847167.94603139744"/>
    <n v="847167.94603139744"/>
  </r>
  <r>
    <x v="6"/>
    <n v="0.26733455778156401"/>
    <s v="MMR"/>
    <n v="1192043.416"/>
    <n v="318674.39947278489"/>
    <n v="309114.16748860135"/>
    <n v="309114.16748860135"/>
    <n v="309114.16748860135"/>
    <n v="309114.16748860135"/>
  </r>
  <r>
    <x v="12"/>
    <n v="0.92129794230680595"/>
    <s v="HPV"/>
    <n v="9948937.4529999997"/>
    <n v="9165935.6035880148"/>
    <n v="8890957.5354803745"/>
    <n v="8624228.8094159625"/>
    <n v="8020532.7927568452"/>
    <n v="8020532.7927568452"/>
  </r>
  <r>
    <x v="6"/>
    <n v="7.8702057693193106E-2"/>
    <s v="HPV"/>
    <n v="9948937.4529999997"/>
    <n v="783001.84941197571"/>
    <n v="759511.79392961645"/>
    <n v="736726.44011172792"/>
    <n v="685155.58930390701"/>
    <n v="685155.58930390701"/>
  </r>
  <r>
    <x v="1"/>
    <n v="0.841178437394558"/>
    <s v="MR"/>
    <n v="59350830.350000001"/>
    <n v="49924638.731882513"/>
    <n v="48426899.569926038"/>
    <n v="48426899.569926038"/>
    <n v="48426899.569926038"/>
    <n v="48426899.569926038"/>
  </r>
  <r>
    <x v="0"/>
    <n v="0.158821562605441"/>
    <s v="MR"/>
    <n v="59350830.350000001"/>
    <n v="9426191.618117433"/>
    <n v="9143405.8695739098"/>
    <n v="9143405.8695739098"/>
    <n v="9143405.8695739098"/>
    <n v="9143405.8695739098"/>
  </r>
  <r>
    <x v="1"/>
    <n v="0.50508041868836795"/>
    <s v="DTwP-HepB-Hib"/>
    <n v="95748333.180000007"/>
    <n v="48360608.211267747"/>
    <n v="48360608.211267747"/>
    <n v="48360608.211267747"/>
    <n v="48360608.211267747"/>
    <n v="44975365.636479005"/>
  </r>
  <r>
    <x v="0"/>
    <n v="0.23963301566776399"/>
    <s v="DTwP-HepB-Hib"/>
    <n v="95748333.180000007"/>
    <n v="22944461.82508523"/>
    <n v="22944461.82508523"/>
    <n v="22944461.82508523"/>
    <n v="22944461.82508523"/>
    <n v="21338349.497329265"/>
  </r>
  <r>
    <x v="4"/>
    <n v="0.19210678946315199"/>
    <s v="DTwP-HepB-Hib"/>
    <n v="95748333.180000007"/>
    <n v="18393904.883657988"/>
    <n v="18393904.883657988"/>
    <n v="18393904.883657988"/>
    <n v="18393904.883657988"/>
    <n v="17106331.541801929"/>
  </r>
  <r>
    <x v="11"/>
    <n v="5.0439283720812897E-2"/>
    <s v="DTwP-HepB-Hib"/>
    <n v="95748333.180000007"/>
    <n v="4829477.3430609433"/>
    <n v="4829477.3430609433"/>
    <n v="4829477.3430609433"/>
    <n v="4829477.3430609433"/>
    <n v="4491413.9290466774"/>
  </r>
  <r>
    <x v="3"/>
    <n v="1.2740492459903101E-2"/>
    <s v="DTwP-HepB-Hib"/>
    <n v="95748333.180000007"/>
    <n v="1219880.9169280799"/>
    <n v="1219880.9169280799"/>
    <n v="1219880.9169280799"/>
    <n v="1219880.9169280799"/>
    <n v="1134489.2527431145"/>
  </r>
  <r>
    <x v="2"/>
    <n v="0.45420990015180701"/>
    <s v="DT"/>
    <n v="1330887.28"/>
    <n v="604502.17856211006"/>
    <n v="604502.17856211006"/>
    <n v="604502.17856211006"/>
    <n v="604502.17856211006"/>
    <n v="562187.02606276236"/>
  </r>
  <r>
    <x v="3"/>
    <n v="0.28037992773423698"/>
    <s v="DT"/>
    <n v="1330887.28"/>
    <n v="373154.07938881521"/>
    <n v="373154.07938881521"/>
    <n v="373154.07938881521"/>
    <n v="373154.07938881521"/>
    <n v="347033.29383159819"/>
  </r>
  <r>
    <x v="1"/>
    <n v="0.26541017211395501"/>
    <s v="DT"/>
    <n v="1330887.28"/>
    <n v="353231.02204907342"/>
    <n v="353231.02204907342"/>
    <n v="353231.02204907342"/>
    <n v="353231.02204907342"/>
    <n v="328504.85050563829"/>
  </r>
  <r>
    <x v="0"/>
    <n v="0.590178760593704"/>
    <s v="TT"/>
    <n v="11549646.18"/>
    <n v="6816355.8678082079"/>
    <n v="6816355.8678082079"/>
    <n v="6816355.8678082079"/>
    <n v="6816355.8678082079"/>
    <n v="6339210.9570616335"/>
  </r>
  <r>
    <x v="2"/>
    <n v="0.17977648197656701"/>
    <s v="TT"/>
    <n v="11549646.18"/>
    <n v="2076354.7583144959"/>
    <n v="2076354.7583144959"/>
    <n v="2076354.7583144959"/>
    <n v="2076354.7583144959"/>
    <n v="1931009.9252324812"/>
  </r>
  <r>
    <x v="1"/>
    <n v="0.176380568497469"/>
    <s v="TT"/>
    <n v="11549646.18"/>
    <n v="2037133.1591730211"/>
    <n v="2037133.1591730211"/>
    <n v="2037133.1591730211"/>
    <n v="2037133.1591730211"/>
    <n v="1894533.8380309097"/>
  </r>
  <r>
    <x v="3"/>
    <n v="5.3664188932258203E-2"/>
    <s v="TT"/>
    <n v="11549646.18"/>
    <n v="619802.39470425423"/>
    <n v="619802.39470425423"/>
    <n v="619802.39470425423"/>
    <n v="619802.39470425423"/>
    <n v="576416.2270749564"/>
  </r>
  <r>
    <x v="9"/>
    <n v="0.659705587320493"/>
    <s v="IPV"/>
    <n v="87000000"/>
    <n v="57394386.096882887"/>
    <n v="57394386.096882887"/>
    <n v="57394386.096882887"/>
    <n v="57394386.096882887"/>
    <n v="53376779.07010109"/>
  </r>
  <r>
    <x v="13"/>
    <n v="0.14276864940585099"/>
    <s v="IPV"/>
    <n v="87000000"/>
    <n v="12420872.49830904"/>
    <n v="12420872.49830904"/>
    <n v="12420872.49830904"/>
    <n v="12420872.49830904"/>
    <n v="11551411.423427409"/>
  </r>
  <r>
    <x v="14"/>
    <n v="0.106151642178585"/>
    <s v="IPV"/>
    <n v="87000000"/>
    <n v="9235192.8695368953"/>
    <n v="9235192.8695368953"/>
    <n v="9235192.8695368953"/>
    <n v="9235192.8695368953"/>
    <n v="8588729.3686693124"/>
  </r>
  <r>
    <x v="15"/>
    <n v="9.1374121095069802E-2"/>
    <s v="IPV"/>
    <n v="87000000"/>
    <n v="7949548.5352710728"/>
    <n v="7949548.5352710728"/>
    <n v="7949548.5352710728"/>
    <n v="7949548.5352710728"/>
    <n v="7393080.1378020979"/>
  </r>
  <r>
    <x v="1"/>
    <n v="1"/>
    <s v="Hib"/>
    <n v="1081708.747"/>
    <n v="1081708.747"/>
    <n v="1081708.747"/>
    <n v="1081708.747"/>
    <n v="1005989.13471"/>
    <n v="935569.89528030006"/>
  </r>
  <r>
    <x v="6"/>
    <n v="0.91502251799193601"/>
    <s v="Rota"/>
    <n v="100784999.40000001"/>
    <n v="92220543.926803768"/>
    <n v="92220543.926803768"/>
    <n v="92220543.926803768"/>
    <n v="92220543.926803768"/>
    <n v="92220543.926803768"/>
  </r>
  <r>
    <x v="1"/>
    <n v="5.9890161501362497E-2"/>
    <s v="Rota"/>
    <n v="100784999.40000001"/>
    <n v="6036029.8909807224"/>
    <n v="6036029.8909807224"/>
    <n v="6036029.8909807224"/>
    <n v="6036029.8909807224"/>
    <n v="6036029.8909807224"/>
  </r>
  <r>
    <x v="8"/>
    <n v="2.5087320506701101E-2"/>
    <s v="Rota"/>
    <n v="100784999.40000001"/>
    <n v="2528425.5822154782"/>
    <n v="2528425.5822154782"/>
    <n v="2528425.5822154782"/>
    <n v="2528425.5822154782"/>
    <n v="2528425.5822154782"/>
  </r>
  <r>
    <x v="1"/>
    <n v="0.84733915633184897"/>
    <s v="Measles"/>
    <n v="38934732.43"/>
    <n v="32990923.329242479"/>
    <n v="32001195.629365202"/>
    <n v="32001195.629365202"/>
    <n v="32001195.629365202"/>
    <n v="32001195.629365202"/>
  </r>
  <r>
    <x v="3"/>
    <n v="0.15266084366815"/>
    <s v="Measles"/>
    <n v="38934732.43"/>
    <n v="5943809.1007574797"/>
    <n v="5765494.8277347554"/>
    <n v="5765494.8277347554"/>
    <n v="5765494.8277347554"/>
    <n v="5765494.82773475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B83D7-3417-4CB5-949F-2032CF8B7624}" name="PivotTable14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0" firstHeaderRow="0" firstDataRow="1" firstDataCol="1"/>
  <pivotFields count="9">
    <pivotField axis="axisRow" showAll="0">
      <items count="17">
        <item x="15"/>
        <item x="8"/>
        <item x="13"/>
        <item x="0"/>
        <item x="2"/>
        <item x="10"/>
        <item x="6"/>
        <item x="7"/>
        <item x="4"/>
        <item x="12"/>
        <item x="11"/>
        <item x="5"/>
        <item x="3"/>
        <item x="14"/>
        <item x="9"/>
        <item x="1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Adjusted Capacity" fld="4" baseField="0" baseItem="0"/>
    <dataField name="Sum of 3" fld="5" baseField="0" baseItem="0"/>
    <dataField name="Sum of 5" fld="6" baseField="0" baseItem="0"/>
    <dataField name="Sum of 7" fld="7" baseField="0" baseItem="0"/>
    <dataField name="Sum of 9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59C88-89EB-49EF-B715-D85945D2653E}">
  <dimension ref="A3:F20"/>
  <sheetViews>
    <sheetView workbookViewId="0">
      <selection activeCell="F4" sqref="F4:F19"/>
    </sheetView>
  </sheetViews>
  <sheetFormatPr defaultRowHeight="15" x14ac:dyDescent="0.25"/>
  <cols>
    <col min="1" max="1" width="59.42578125" bestFit="1" customWidth="1"/>
    <col min="2" max="2" width="23.85546875" bestFit="1" customWidth="1"/>
    <col min="3" max="6" width="12" bestFit="1" customWidth="1"/>
  </cols>
  <sheetData>
    <row r="3" spans="1:6" x14ac:dyDescent="0.25">
      <c r="A3" s="2" t="s">
        <v>36</v>
      </c>
      <c r="B3" t="s">
        <v>38</v>
      </c>
      <c r="C3" t="s">
        <v>39</v>
      </c>
      <c r="D3" t="s">
        <v>42</v>
      </c>
      <c r="E3" t="s">
        <v>40</v>
      </c>
      <c r="F3" t="s">
        <v>41</v>
      </c>
    </row>
    <row r="4" spans="1:6" x14ac:dyDescent="0.25">
      <c r="A4" s="3" t="s">
        <v>32</v>
      </c>
      <c r="B4" s="4">
        <v>7949548.5352710728</v>
      </c>
      <c r="C4" s="4">
        <v>7949548.5352710728</v>
      </c>
      <c r="D4" s="4">
        <v>7949548.5352710728</v>
      </c>
      <c r="E4" s="4">
        <v>7949548.5352710728</v>
      </c>
      <c r="F4" s="4">
        <v>7393080.1378020979</v>
      </c>
    </row>
    <row r="5" spans="1:6" x14ac:dyDescent="0.25">
      <c r="A5" s="3" t="s">
        <v>18</v>
      </c>
      <c r="B5" s="4">
        <v>15450151.832909729</v>
      </c>
      <c r="C5" s="4">
        <v>15062500.045388902</v>
      </c>
      <c r="D5" s="4">
        <v>15062500.045388902</v>
      </c>
      <c r="E5" s="4">
        <v>15062500.045388902</v>
      </c>
      <c r="F5" s="4">
        <v>15062500.045388902</v>
      </c>
    </row>
    <row r="6" spans="1:6" x14ac:dyDescent="0.25">
      <c r="A6" s="3" t="s">
        <v>30</v>
      </c>
      <c r="B6" s="4">
        <v>12420872.49830904</v>
      </c>
      <c r="C6" s="4">
        <v>12420872.49830904</v>
      </c>
      <c r="D6" s="4">
        <v>12420872.49830904</v>
      </c>
      <c r="E6" s="4">
        <v>12420872.49830904</v>
      </c>
      <c r="F6" s="4">
        <v>11551411.423427409</v>
      </c>
    </row>
    <row r="7" spans="1:6" x14ac:dyDescent="0.25">
      <c r="A7" s="3" t="s">
        <v>5</v>
      </c>
      <c r="B7" s="4">
        <v>74900970.671990201</v>
      </c>
      <c r="C7" s="4">
        <v>74618184.92344667</v>
      </c>
      <c r="D7" s="4">
        <v>73546766.082617283</v>
      </c>
      <c r="E7" s="4">
        <v>73546766.082617283</v>
      </c>
      <c r="F7" s="4">
        <v>71463508.844114751</v>
      </c>
    </row>
    <row r="8" spans="1:6" x14ac:dyDescent="0.25">
      <c r="A8" s="3" t="s">
        <v>8</v>
      </c>
      <c r="B8" s="4">
        <v>21518237.227306552</v>
      </c>
      <c r="C8" s="4">
        <v>21518237.227306552</v>
      </c>
      <c r="D8" s="4">
        <v>20953115.818593659</v>
      </c>
      <c r="E8" s="4">
        <v>20953115.818593659</v>
      </c>
      <c r="F8" s="4">
        <v>20765455.833012294</v>
      </c>
    </row>
    <row r="9" spans="1:6" x14ac:dyDescent="0.25">
      <c r="A9" s="3" t="s">
        <v>20</v>
      </c>
      <c r="B9" s="4">
        <v>2349240.4312147759</v>
      </c>
      <c r="C9" s="4">
        <v>2278763.2182783326</v>
      </c>
      <c r="D9" s="4">
        <v>2278763.2182783326</v>
      </c>
      <c r="E9" s="4">
        <v>2278763.2182783326</v>
      </c>
      <c r="F9" s="4">
        <v>2278763.2182783326</v>
      </c>
    </row>
    <row r="10" spans="1:6" x14ac:dyDescent="0.25">
      <c r="A10" s="3" t="s">
        <v>15</v>
      </c>
      <c r="B10" s="4">
        <v>144142122.96536517</v>
      </c>
      <c r="C10" s="4">
        <v>142584475.5942083</v>
      </c>
      <c r="D10" s="4">
        <v>142561690.24039042</v>
      </c>
      <c r="E10" s="4">
        <v>142510119.3895826</v>
      </c>
      <c r="F10" s="4">
        <v>142510119.3895826</v>
      </c>
    </row>
    <row r="11" spans="1:6" x14ac:dyDescent="0.25">
      <c r="A11" s="3" t="s">
        <v>17</v>
      </c>
      <c r="B11" s="4">
        <v>18183171.36153648</v>
      </c>
      <c r="C11" s="4">
        <v>17637676.220690385</v>
      </c>
      <c r="D11" s="4">
        <v>17637676.220690385</v>
      </c>
      <c r="E11" s="4">
        <v>17637676.220690385</v>
      </c>
      <c r="F11" s="4">
        <v>17637676.220690385</v>
      </c>
    </row>
    <row r="12" spans="1:6" x14ac:dyDescent="0.25">
      <c r="A12" s="3" t="s">
        <v>11</v>
      </c>
      <c r="B12" s="4">
        <v>21707221.726454861</v>
      </c>
      <c r="C12" s="4">
        <v>21707221.726454861</v>
      </c>
      <c r="D12" s="4">
        <v>21707221.726454861</v>
      </c>
      <c r="E12" s="4">
        <v>21475289.547459081</v>
      </c>
      <c r="F12" s="4">
        <v>20187716.205603022</v>
      </c>
    </row>
    <row r="13" spans="1:6" x14ac:dyDescent="0.25">
      <c r="A13" s="3" t="s">
        <v>23</v>
      </c>
      <c r="B13" s="4">
        <v>9165935.6035880148</v>
      </c>
      <c r="C13" s="4">
        <v>8890957.5354803745</v>
      </c>
      <c r="D13" s="4">
        <v>8624228.8094159625</v>
      </c>
      <c r="E13" s="4">
        <v>8020532.7927568452</v>
      </c>
      <c r="F13" s="4">
        <v>8020532.7927568452</v>
      </c>
    </row>
    <row r="14" spans="1:6" x14ac:dyDescent="0.25">
      <c r="A14" s="3" t="s">
        <v>21</v>
      </c>
      <c r="B14" s="4">
        <v>5043969.2807456898</v>
      </c>
      <c r="C14" s="4">
        <v>5037534.5226151478</v>
      </c>
      <c r="D14" s="4">
        <v>5037534.5226151478</v>
      </c>
      <c r="E14" s="4">
        <v>5037534.5226151478</v>
      </c>
      <c r="F14" s="4">
        <v>4699471.1086008819</v>
      </c>
    </row>
    <row r="15" spans="1:6" x14ac:dyDescent="0.25">
      <c r="A15" s="3" t="s">
        <v>13</v>
      </c>
      <c r="B15" s="4">
        <v>61649188.667712383</v>
      </c>
      <c r="C15" s="4">
        <v>59799713.007681012</v>
      </c>
      <c r="D15" s="4">
        <v>59799713.007681012</v>
      </c>
      <c r="E15" s="4">
        <v>59799713.007681012</v>
      </c>
      <c r="F15" s="4">
        <v>59799713.007681012</v>
      </c>
    </row>
    <row r="16" spans="1:6" x14ac:dyDescent="0.25">
      <c r="A16" s="3" t="s">
        <v>9</v>
      </c>
      <c r="B16" s="4">
        <v>26738186.297844507</v>
      </c>
      <c r="C16" s="4">
        <v>26489402.42899745</v>
      </c>
      <c r="D16" s="4">
        <v>26002425.830639809</v>
      </c>
      <c r="E16" s="4">
        <v>26002425.830639809</v>
      </c>
      <c r="F16" s="4">
        <v>25847527.213268325</v>
      </c>
    </row>
    <row r="17" spans="1:6" x14ac:dyDescent="0.25">
      <c r="A17" s="3" t="s">
        <v>31</v>
      </c>
      <c r="B17" s="4">
        <v>9235192.8695368953</v>
      </c>
      <c r="C17" s="4">
        <v>9235192.8695368953</v>
      </c>
      <c r="D17" s="4">
        <v>9235192.8695368953</v>
      </c>
      <c r="E17" s="4">
        <v>9235192.8695368953</v>
      </c>
      <c r="F17" s="4">
        <v>8588729.3686693124</v>
      </c>
    </row>
    <row r="18" spans="1:6" x14ac:dyDescent="0.25">
      <c r="A18" s="3" t="s">
        <v>19</v>
      </c>
      <c r="B18" s="4">
        <v>62431968.55923859</v>
      </c>
      <c r="C18" s="4">
        <v>62280841.085367918</v>
      </c>
      <c r="D18" s="4">
        <v>62280841.085367918</v>
      </c>
      <c r="E18" s="4">
        <v>62280841.085367918</v>
      </c>
      <c r="F18" s="4">
        <v>58263234.058586121</v>
      </c>
    </row>
    <row r="19" spans="1:6" x14ac:dyDescent="0.25">
      <c r="A19" s="3" t="s">
        <v>7</v>
      </c>
      <c r="B19" s="4">
        <v>215154615.59397528</v>
      </c>
      <c r="C19" s="4">
        <v>211621060.56989628</v>
      </c>
      <c r="D19" s="4">
        <v>210545956.46915621</v>
      </c>
      <c r="E19" s="4">
        <v>210213761.495332</v>
      </c>
      <c r="F19" s="4">
        <v>206590774.18842801</v>
      </c>
    </row>
    <row r="20" spans="1:6" x14ac:dyDescent="0.25">
      <c r="A20" s="3" t="s">
        <v>37</v>
      </c>
      <c r="B20" s="4">
        <v>708040594.12299919</v>
      </c>
      <c r="C20" s="4">
        <v>699132182.00892913</v>
      </c>
      <c r="D20" s="4">
        <v>695644046.98040676</v>
      </c>
      <c r="E20" s="4">
        <v>694424652.96011996</v>
      </c>
      <c r="F20" s="4">
        <v>680660213.05589032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FA385-9E7F-46D1-8057-1980F1B77D02}">
  <dimension ref="C9:G17"/>
  <sheetViews>
    <sheetView tabSelected="1" workbookViewId="0">
      <selection activeCell="I13" sqref="I13"/>
    </sheetView>
  </sheetViews>
  <sheetFormatPr defaultRowHeight="15" x14ac:dyDescent="0.25"/>
  <cols>
    <col min="3" max="3" width="30.85546875" bestFit="1" customWidth="1"/>
    <col min="4" max="4" width="10.7109375" bestFit="1" customWidth="1"/>
    <col min="6" max="6" width="27.42578125" bestFit="1" customWidth="1"/>
  </cols>
  <sheetData>
    <row r="9" spans="3:7" x14ac:dyDescent="0.25">
      <c r="C9" t="s">
        <v>43</v>
      </c>
      <c r="D9" t="s">
        <v>44</v>
      </c>
      <c r="F9" t="s">
        <v>43</v>
      </c>
      <c r="G9" t="s">
        <v>44</v>
      </c>
    </row>
    <row r="10" spans="3:7" x14ac:dyDescent="0.25">
      <c r="C10" t="s">
        <v>45</v>
      </c>
      <c r="D10" s="8">
        <v>0.84179999999999999</v>
      </c>
      <c r="F10" t="s">
        <v>53</v>
      </c>
      <c r="G10" s="8">
        <f>D10</f>
        <v>0.84179999999999999</v>
      </c>
    </row>
    <row r="11" spans="3:7" x14ac:dyDescent="0.25">
      <c r="C11" t="s">
        <v>46</v>
      </c>
      <c r="D11" s="8">
        <v>5.7999999999999996E-3</v>
      </c>
      <c r="F11" t="s">
        <v>52</v>
      </c>
      <c r="G11" s="8">
        <f>D17</f>
        <v>2.75E-2</v>
      </c>
    </row>
    <row r="12" spans="3:7" x14ac:dyDescent="0.25">
      <c r="C12" t="s">
        <v>47</v>
      </c>
      <c r="D12" s="8">
        <v>4.1200000000000001E-2</v>
      </c>
      <c r="F12" t="s">
        <v>54</v>
      </c>
      <c r="G12" s="8">
        <f>D13</f>
        <v>1.7299999999999999E-2</v>
      </c>
    </row>
    <row r="13" spans="3:7" x14ac:dyDescent="0.25">
      <c r="C13" t="s">
        <v>48</v>
      </c>
      <c r="D13" s="8">
        <v>1.7299999999999999E-2</v>
      </c>
      <c r="F13" t="s">
        <v>55</v>
      </c>
      <c r="G13" s="8">
        <f>D12+D16</f>
        <v>7.7800000000000008E-2</v>
      </c>
    </row>
    <row r="14" spans="3:7" x14ac:dyDescent="0.25">
      <c r="C14" t="s">
        <v>49</v>
      </c>
      <c r="D14" s="8">
        <v>2.3E-3</v>
      </c>
      <c r="F14" t="s">
        <v>56</v>
      </c>
      <c r="G14" s="8">
        <f>D14</f>
        <v>2.3E-3</v>
      </c>
    </row>
    <row r="15" spans="3:7" x14ac:dyDescent="0.25">
      <c r="C15" t="s">
        <v>50</v>
      </c>
      <c r="D15" s="8">
        <v>2.75E-2</v>
      </c>
      <c r="F15" t="s">
        <v>46</v>
      </c>
      <c r="G15" s="8">
        <f>D11</f>
        <v>5.7999999999999996E-3</v>
      </c>
    </row>
    <row r="16" spans="3:7" x14ac:dyDescent="0.25">
      <c r="C16" t="s">
        <v>51</v>
      </c>
      <c r="D16" s="8">
        <v>3.6600000000000001E-2</v>
      </c>
      <c r="F16" t="s">
        <v>57</v>
      </c>
      <c r="G16" s="8">
        <f>D15</f>
        <v>2.75E-2</v>
      </c>
    </row>
    <row r="17" spans="3:7" x14ac:dyDescent="0.25">
      <c r="C17" t="s">
        <v>52</v>
      </c>
      <c r="D17" s="8">
        <v>2.75E-2</v>
      </c>
      <c r="G17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workbookViewId="0">
      <selection activeCell="B12" sqref="B12"/>
    </sheetView>
  </sheetViews>
  <sheetFormatPr defaultRowHeight="15" x14ac:dyDescent="0.25"/>
  <cols>
    <col min="1" max="1" width="59.42578125" bestFit="1" customWidth="1"/>
    <col min="2" max="2" width="12" bestFit="1" customWidth="1"/>
    <col min="3" max="3" width="15.28515625" bestFit="1" customWidth="1"/>
    <col min="4" max="4" width="22.28515625" bestFit="1" customWidth="1"/>
    <col min="5" max="5" width="21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>
        <v>3</v>
      </c>
      <c r="G1" s="6">
        <v>5</v>
      </c>
      <c r="H1" s="6">
        <v>7</v>
      </c>
      <c r="I1" s="7">
        <v>9</v>
      </c>
      <c r="J1" s="7"/>
    </row>
    <row r="2" spans="1:10" x14ac:dyDescent="0.25">
      <c r="A2" t="s">
        <v>5</v>
      </c>
      <c r="B2">
        <v>0.352162617276225</v>
      </c>
      <c r="C2" t="s">
        <v>6</v>
      </c>
      <c r="D2">
        <v>98031755.310000002</v>
      </c>
      <c r="E2">
        <v>34523119.526152067</v>
      </c>
      <c r="F2">
        <v>34523119.526152067</v>
      </c>
      <c r="G2" s="5">
        <f>F2*0.97</f>
        <v>33487425.940367505</v>
      </c>
      <c r="H2" s="6">
        <v>33487425.940367505</v>
      </c>
      <c r="I2" s="6">
        <v>33487425.940367505</v>
      </c>
      <c r="J2" s="6"/>
    </row>
    <row r="3" spans="1:10" x14ac:dyDescent="0.25">
      <c r="A3" t="s">
        <v>7</v>
      </c>
      <c r="B3">
        <v>0.31873823734484802</v>
      </c>
      <c r="C3" t="s">
        <v>6</v>
      </c>
      <c r="D3">
        <v>98031755.310000002</v>
      </c>
      <c r="E3">
        <v>31246468.891330849</v>
      </c>
      <c r="F3">
        <v>31246468.891330849</v>
      </c>
      <c r="G3" s="5">
        <f t="shared" ref="G3:G5" si="0">F3*0.97</f>
        <v>30309074.824590921</v>
      </c>
      <c r="H3" s="6">
        <v>30309074.824590921</v>
      </c>
      <c r="I3" s="6">
        <v>30309074.824590921</v>
      </c>
      <c r="J3" s="6"/>
    </row>
    <row r="4" spans="1:10" x14ac:dyDescent="0.25">
      <c r="A4" t="s">
        <v>8</v>
      </c>
      <c r="B4">
        <v>0.192155901226716</v>
      </c>
      <c r="C4" t="s">
        <v>6</v>
      </c>
      <c r="D4">
        <v>98031755.310000002</v>
      </c>
      <c r="E4">
        <v>18837380.29042995</v>
      </c>
      <c r="F4">
        <v>18837380.29042995</v>
      </c>
      <c r="G4" s="5">
        <f t="shared" si="0"/>
        <v>18272258.881717052</v>
      </c>
      <c r="H4" s="6">
        <v>18272258.881717052</v>
      </c>
      <c r="I4" s="6">
        <v>18272258.881717052</v>
      </c>
      <c r="J4" s="6"/>
    </row>
    <row r="5" spans="1:10" x14ac:dyDescent="0.25">
      <c r="A5" t="s">
        <v>9</v>
      </c>
      <c r="B5">
        <v>0.13694324415220899</v>
      </c>
      <c r="C5" t="s">
        <v>6</v>
      </c>
      <c r="D5">
        <v>98031755.310000002</v>
      </c>
      <c r="E5">
        <v>13424786.602086941</v>
      </c>
      <c r="F5">
        <v>13424786.602086941</v>
      </c>
      <c r="G5" s="5">
        <f t="shared" si="0"/>
        <v>13022043.004024332</v>
      </c>
      <c r="H5" s="6">
        <v>13022043.004024332</v>
      </c>
      <c r="I5" s="6">
        <v>13022043.004024332</v>
      </c>
      <c r="J5" s="6"/>
    </row>
    <row r="6" spans="1:10" x14ac:dyDescent="0.25">
      <c r="A6" t="s">
        <v>7</v>
      </c>
      <c r="B6">
        <v>0.52512572032754001</v>
      </c>
      <c r="C6" t="s">
        <v>10</v>
      </c>
      <c r="D6">
        <v>6977250.5789999999</v>
      </c>
      <c r="E6">
        <v>3663933.736203121</v>
      </c>
      <c r="F6">
        <v>3663933.736203121</v>
      </c>
      <c r="G6">
        <v>3663933.736203121</v>
      </c>
      <c r="H6" s="5">
        <f>G6*0.93</f>
        <v>3407458.3746689027</v>
      </c>
      <c r="I6" s="6">
        <v>3407458.3746689027</v>
      </c>
      <c r="J6" s="6"/>
    </row>
    <row r="7" spans="1:10" x14ac:dyDescent="0.25">
      <c r="A7" t="s">
        <v>11</v>
      </c>
      <c r="B7">
        <v>0.47487427967245899</v>
      </c>
      <c r="C7" t="s">
        <v>10</v>
      </c>
      <c r="D7">
        <v>6977250.5789999999</v>
      </c>
      <c r="E7">
        <v>3313316.8427968719</v>
      </c>
      <c r="F7">
        <v>3313316.8427968719</v>
      </c>
      <c r="G7">
        <v>3313316.8427968719</v>
      </c>
      <c r="H7" s="5">
        <f>G7*0.93</f>
        <v>3081384.6638010913</v>
      </c>
      <c r="I7" s="6">
        <v>3081384.6638010913</v>
      </c>
      <c r="J7" s="6"/>
    </row>
    <row r="8" spans="1:10" x14ac:dyDescent="0.25">
      <c r="A8" t="s">
        <v>7</v>
      </c>
      <c r="B8">
        <v>0.53444696028713201</v>
      </c>
      <c r="C8" t="s">
        <v>12</v>
      </c>
      <c r="D8">
        <v>8588942.9780000001</v>
      </c>
      <c r="E8">
        <v>4590334.4666716075</v>
      </c>
      <c r="F8">
        <v>4590334.4666716075</v>
      </c>
      <c r="G8" s="5">
        <f t="shared" ref="G8:G10" si="1">F8*0.97</f>
        <v>4452624.4326714594</v>
      </c>
      <c r="H8" s="6">
        <v>4452624.4326714594</v>
      </c>
      <c r="I8" s="6">
        <v>4452624.4326714594</v>
      </c>
      <c r="J8" s="6"/>
    </row>
    <row r="9" spans="1:10" x14ac:dyDescent="0.25">
      <c r="A9" t="s">
        <v>9</v>
      </c>
      <c r="B9">
        <v>0.32690479884347101</v>
      </c>
      <c r="C9" t="s">
        <v>12</v>
      </c>
      <c r="D9">
        <v>8588942.9780000001</v>
      </c>
      <c r="E9">
        <v>2807766.676501133</v>
      </c>
      <c r="F9">
        <v>2807766.676501133</v>
      </c>
      <c r="G9" s="5">
        <f t="shared" si="1"/>
        <v>2723533.6762060989</v>
      </c>
      <c r="H9" s="6">
        <v>2723533.6762060989</v>
      </c>
      <c r="I9" s="6">
        <v>2723533.6762060989</v>
      </c>
      <c r="J9" s="6"/>
    </row>
    <row r="10" spans="1:10" x14ac:dyDescent="0.25">
      <c r="A10" t="s">
        <v>5</v>
      </c>
      <c r="B10">
        <v>0.13864824086939601</v>
      </c>
      <c r="C10" t="s">
        <v>12</v>
      </c>
      <c r="D10">
        <v>8588942.9780000001</v>
      </c>
      <c r="E10">
        <v>1190841.834827251</v>
      </c>
      <c r="F10">
        <v>1190841.834827251</v>
      </c>
      <c r="G10" s="5">
        <f t="shared" si="1"/>
        <v>1155116.5797824336</v>
      </c>
      <c r="H10" s="6">
        <v>1155116.5797824336</v>
      </c>
      <c r="I10" s="6">
        <v>1155116.5797824336</v>
      </c>
      <c r="J10" s="6"/>
    </row>
    <row r="11" spans="1:10" x14ac:dyDescent="0.25">
      <c r="A11" t="s">
        <v>13</v>
      </c>
      <c r="B11">
        <v>0.56344220359613195</v>
      </c>
      <c r="C11" t="s">
        <v>14</v>
      </c>
      <c r="D11">
        <v>109415283.90000001</v>
      </c>
      <c r="E11">
        <v>61649188.667712383</v>
      </c>
      <c r="F11" s="5">
        <f>E11*0.97</f>
        <v>59799713.007681012</v>
      </c>
      <c r="G11" s="6">
        <v>59799713.007681012</v>
      </c>
      <c r="H11" s="6">
        <v>59799713.007681012</v>
      </c>
      <c r="I11" s="6">
        <v>59799713.007681012</v>
      </c>
      <c r="J11" s="6"/>
    </row>
    <row r="12" spans="1:10" x14ac:dyDescent="0.25">
      <c r="A12" t="s">
        <v>15</v>
      </c>
      <c r="B12">
        <v>0.407494488007414</v>
      </c>
      <c r="C12" t="s">
        <v>14</v>
      </c>
      <c r="D12">
        <v>109415283.90000001</v>
      </c>
      <c r="E12">
        <v>44586125.093016349</v>
      </c>
      <c r="F12" s="5">
        <f t="shared" ref="F12:G27" si="2">E12*0.97</f>
        <v>43248541.34022586</v>
      </c>
      <c r="G12" s="6">
        <v>43248541.34022586</v>
      </c>
      <c r="H12" s="6">
        <v>43248541.34022586</v>
      </c>
      <c r="I12" s="6">
        <v>43248541.34022586</v>
      </c>
      <c r="J12" s="6"/>
    </row>
    <row r="13" spans="1:10" x14ac:dyDescent="0.25">
      <c r="A13" t="s">
        <v>7</v>
      </c>
      <c r="B13">
        <v>2.9063308396452301E-2</v>
      </c>
      <c r="C13" t="s">
        <v>14</v>
      </c>
      <c r="D13">
        <v>109415283.90000001</v>
      </c>
      <c r="E13">
        <v>3179970.1392710819</v>
      </c>
      <c r="F13" s="5">
        <f t="shared" si="2"/>
        <v>3084571.0350929494</v>
      </c>
      <c r="G13" s="6">
        <v>3084571.0350929494</v>
      </c>
      <c r="H13" s="6">
        <v>3084571.0350929494</v>
      </c>
      <c r="I13" s="6">
        <v>3084571.0350929494</v>
      </c>
      <c r="J13" s="6"/>
    </row>
    <row r="14" spans="1:10" x14ac:dyDescent="0.25">
      <c r="A14" t="s">
        <v>7</v>
      </c>
      <c r="B14">
        <v>0.39454798551666598</v>
      </c>
      <c r="C14" t="s">
        <v>16</v>
      </c>
      <c r="D14">
        <v>78105242.920000002</v>
      </c>
      <c r="E14">
        <v>30816266.252375841</v>
      </c>
      <c r="F14" s="5">
        <f t="shared" si="2"/>
        <v>29891778.264804564</v>
      </c>
      <c r="G14" s="6">
        <v>29891778.264804564</v>
      </c>
      <c r="H14" s="6">
        <v>29891778.264804564</v>
      </c>
      <c r="I14" s="6">
        <v>29891778.264804564</v>
      </c>
      <c r="J14" s="6"/>
    </row>
    <row r="15" spans="1:10" x14ac:dyDescent="0.25">
      <c r="A15" t="s">
        <v>17</v>
      </c>
      <c r="B15">
        <v>0.23280346724176701</v>
      </c>
      <c r="C15" t="s">
        <v>16</v>
      </c>
      <c r="D15">
        <v>78105242.920000002</v>
      </c>
      <c r="E15">
        <v>18183171.36153648</v>
      </c>
      <c r="F15" s="5">
        <f t="shared" si="2"/>
        <v>17637676.220690385</v>
      </c>
      <c r="G15" s="6">
        <v>17637676.220690385</v>
      </c>
      <c r="H15" s="6">
        <v>17637676.220690385</v>
      </c>
      <c r="I15" s="6">
        <v>17637676.220690385</v>
      </c>
      <c r="J15" s="6"/>
    </row>
    <row r="16" spans="1:10" x14ac:dyDescent="0.25">
      <c r="A16" t="s">
        <v>18</v>
      </c>
      <c r="B16">
        <v>0.165439934217085</v>
      </c>
      <c r="C16" t="s">
        <v>16</v>
      </c>
      <c r="D16">
        <v>78105242.920000002</v>
      </c>
      <c r="E16">
        <v>12921726.250694251</v>
      </c>
      <c r="F16" s="5">
        <f t="shared" si="2"/>
        <v>12534074.463173423</v>
      </c>
      <c r="G16" s="6">
        <v>12534074.463173423</v>
      </c>
      <c r="H16" s="6">
        <v>12534074.463173423</v>
      </c>
      <c r="I16" s="6">
        <v>12534074.463173423</v>
      </c>
      <c r="J16" s="6"/>
    </row>
    <row r="17" spans="1:10" x14ac:dyDescent="0.25">
      <c r="A17" t="s">
        <v>15</v>
      </c>
      <c r="B17">
        <v>7.9812538359880295E-2</v>
      </c>
      <c r="C17" t="s">
        <v>16</v>
      </c>
      <c r="D17">
        <v>78105242.920000002</v>
      </c>
      <c r="E17">
        <v>6233777.6966602691</v>
      </c>
      <c r="F17" s="5">
        <f t="shared" si="2"/>
        <v>6046764.3657604605</v>
      </c>
      <c r="G17" s="6">
        <v>6046764.3657604605</v>
      </c>
      <c r="H17" s="6">
        <v>6046764.3657604605</v>
      </c>
      <c r="I17" s="6">
        <v>6046764.3657604605</v>
      </c>
      <c r="J17" s="6"/>
    </row>
    <row r="18" spans="1:10" x14ac:dyDescent="0.25">
      <c r="A18" t="s">
        <v>19</v>
      </c>
      <c r="B18">
        <v>6.4497366297362302E-2</v>
      </c>
      <c r="C18" t="s">
        <v>16</v>
      </c>
      <c r="D18">
        <v>78105242.920000002</v>
      </c>
      <c r="E18">
        <v>5037582.462355704</v>
      </c>
      <c r="F18" s="5">
        <f t="shared" si="2"/>
        <v>4886454.9884850327</v>
      </c>
      <c r="G18" s="6">
        <v>4886454.9884850327</v>
      </c>
      <c r="H18" s="6">
        <v>4886454.9884850327</v>
      </c>
      <c r="I18" s="6">
        <v>4886454.9884850327</v>
      </c>
      <c r="J18" s="6"/>
    </row>
    <row r="19" spans="1:10" x14ac:dyDescent="0.25">
      <c r="A19" t="s">
        <v>20</v>
      </c>
      <c r="B19">
        <v>3.0077883934385902E-2</v>
      </c>
      <c r="C19" t="s">
        <v>16</v>
      </c>
      <c r="D19">
        <v>78105242.920000002</v>
      </c>
      <c r="E19">
        <v>2349240.4312147759</v>
      </c>
      <c r="F19" s="5">
        <f t="shared" si="2"/>
        <v>2278763.2182783326</v>
      </c>
      <c r="G19" s="6">
        <v>2278763.2182783326</v>
      </c>
      <c r="H19" s="6">
        <v>2278763.2182783326</v>
      </c>
      <c r="I19" s="6">
        <v>2278763.2182783326</v>
      </c>
      <c r="J19" s="6"/>
    </row>
    <row r="20" spans="1:10" x14ac:dyDescent="0.25">
      <c r="A20" t="s">
        <v>9</v>
      </c>
      <c r="B20">
        <v>3.00746331444584E-2</v>
      </c>
      <c r="C20" t="s">
        <v>16</v>
      </c>
      <c r="D20">
        <v>78105242.920000002</v>
      </c>
      <c r="E20">
        <v>2348986.5274778069</v>
      </c>
      <c r="F20" s="5">
        <f t="shared" si="2"/>
        <v>2278516.9316534726</v>
      </c>
      <c r="G20" s="6">
        <v>2278516.9316534726</v>
      </c>
      <c r="H20" s="6">
        <v>2278516.9316534726</v>
      </c>
      <c r="I20" s="6">
        <v>2278516.9316534726</v>
      </c>
      <c r="J20" s="6"/>
    </row>
    <row r="21" spans="1:10" x14ac:dyDescent="0.25">
      <c r="A21" t="s">
        <v>21</v>
      </c>
      <c r="B21">
        <v>2.7461912883932999E-3</v>
      </c>
      <c r="C21" t="s">
        <v>16</v>
      </c>
      <c r="D21">
        <v>78105242.920000002</v>
      </c>
      <c r="E21">
        <v>214491.93768474649</v>
      </c>
      <c r="F21" s="5">
        <f t="shared" si="2"/>
        <v>208057.17955420408</v>
      </c>
      <c r="G21" s="6">
        <v>208057.17955420408</v>
      </c>
      <c r="H21" s="6">
        <v>208057.17955420408</v>
      </c>
      <c r="I21" s="6">
        <v>208057.17955420408</v>
      </c>
      <c r="J21" s="6"/>
    </row>
    <row r="22" spans="1:10" x14ac:dyDescent="0.25">
      <c r="A22" t="s">
        <v>7</v>
      </c>
      <c r="B22">
        <v>0.73266544221843499</v>
      </c>
      <c r="C22" t="s">
        <v>22</v>
      </c>
      <c r="D22">
        <v>1192043.416</v>
      </c>
      <c r="E22">
        <v>873369.01652721385</v>
      </c>
      <c r="F22" s="5">
        <f t="shared" si="2"/>
        <v>847167.94603139744</v>
      </c>
      <c r="G22" s="6">
        <v>847167.94603139744</v>
      </c>
      <c r="H22" s="6">
        <v>847167.94603139744</v>
      </c>
      <c r="I22" s="6">
        <v>847167.94603139744</v>
      </c>
      <c r="J22" s="6"/>
    </row>
    <row r="23" spans="1:10" x14ac:dyDescent="0.25">
      <c r="A23" t="s">
        <v>15</v>
      </c>
      <c r="B23">
        <v>0.26733455778156401</v>
      </c>
      <c r="C23" t="s">
        <v>22</v>
      </c>
      <c r="D23">
        <v>1192043.416</v>
      </c>
      <c r="E23">
        <v>318674.39947278489</v>
      </c>
      <c r="F23" s="5">
        <f t="shared" si="2"/>
        <v>309114.16748860135</v>
      </c>
      <c r="G23" s="6">
        <v>309114.16748860135</v>
      </c>
      <c r="H23" s="6">
        <v>309114.16748860135</v>
      </c>
      <c r="I23" s="6">
        <v>309114.16748860135</v>
      </c>
      <c r="J23" s="6"/>
    </row>
    <row r="24" spans="1:10" x14ac:dyDescent="0.25">
      <c r="A24" t="s">
        <v>23</v>
      </c>
      <c r="B24">
        <v>0.92129794230680595</v>
      </c>
      <c r="C24" t="s">
        <v>24</v>
      </c>
      <c r="D24">
        <v>9948937.4529999997</v>
      </c>
      <c r="E24">
        <v>9165935.6035880148</v>
      </c>
      <c r="F24" s="5">
        <f t="shared" si="2"/>
        <v>8890957.5354803745</v>
      </c>
      <c r="G24" s="5">
        <f t="shared" si="2"/>
        <v>8624228.8094159625</v>
      </c>
      <c r="H24" s="5">
        <f t="shared" ref="H24:H25" si="3">G24*0.93</f>
        <v>8020532.7927568452</v>
      </c>
      <c r="I24" s="6">
        <v>8020532.7927568452</v>
      </c>
      <c r="J24" s="6"/>
    </row>
    <row r="25" spans="1:10" x14ac:dyDescent="0.25">
      <c r="A25" t="s">
        <v>15</v>
      </c>
      <c r="B25">
        <v>7.8702057693193106E-2</v>
      </c>
      <c r="C25" t="s">
        <v>24</v>
      </c>
      <c r="D25">
        <v>9948937.4529999997</v>
      </c>
      <c r="E25">
        <v>783001.84941197571</v>
      </c>
      <c r="F25" s="5">
        <f t="shared" si="2"/>
        <v>759511.79392961645</v>
      </c>
      <c r="G25" s="5">
        <f t="shared" si="2"/>
        <v>736726.44011172792</v>
      </c>
      <c r="H25" s="5">
        <f t="shared" si="3"/>
        <v>685155.58930390701</v>
      </c>
      <c r="I25" s="6">
        <v>685155.58930390701</v>
      </c>
      <c r="J25" s="6"/>
    </row>
    <row r="26" spans="1:10" x14ac:dyDescent="0.25">
      <c r="A26" t="s">
        <v>7</v>
      </c>
      <c r="B26">
        <v>0.841178437394558</v>
      </c>
      <c r="C26" t="s">
        <v>25</v>
      </c>
      <c r="D26">
        <v>59350830.350000001</v>
      </c>
      <c r="E26">
        <v>49924638.731882513</v>
      </c>
      <c r="F26" s="5">
        <f t="shared" si="2"/>
        <v>48426899.569926038</v>
      </c>
      <c r="G26" s="6">
        <v>48426899.569926038</v>
      </c>
      <c r="H26" s="6">
        <v>48426899.569926038</v>
      </c>
      <c r="I26" s="6">
        <v>48426899.569926038</v>
      </c>
      <c r="J26" s="6"/>
    </row>
    <row r="27" spans="1:10" x14ac:dyDescent="0.25">
      <c r="A27" t="s">
        <v>5</v>
      </c>
      <c r="B27">
        <v>0.158821562605441</v>
      </c>
      <c r="C27" t="s">
        <v>25</v>
      </c>
      <c r="D27">
        <v>59350830.350000001</v>
      </c>
      <c r="E27">
        <v>9426191.618117433</v>
      </c>
      <c r="F27" s="5">
        <f t="shared" si="2"/>
        <v>9143405.8695739098</v>
      </c>
      <c r="G27" s="6">
        <v>9143405.8695739098</v>
      </c>
      <c r="H27" s="6">
        <v>9143405.8695739098</v>
      </c>
      <c r="I27" s="6">
        <v>9143405.8695739098</v>
      </c>
      <c r="J27" s="6"/>
    </row>
    <row r="28" spans="1:10" x14ac:dyDescent="0.25">
      <c r="A28" t="s">
        <v>7</v>
      </c>
      <c r="B28">
        <v>0.50508041868836795</v>
      </c>
      <c r="C28" t="s">
        <v>26</v>
      </c>
      <c r="D28">
        <v>95748333.180000007</v>
      </c>
      <c r="E28">
        <v>48360608.211267747</v>
      </c>
      <c r="F28">
        <v>48360608.211267747</v>
      </c>
      <c r="G28" s="6">
        <v>48360608.211267747</v>
      </c>
      <c r="H28" s="6">
        <v>48360608.211267747</v>
      </c>
      <c r="I28" s="5">
        <f>H28*0.93</f>
        <v>44975365.636479005</v>
      </c>
      <c r="J28" s="6"/>
    </row>
    <row r="29" spans="1:10" x14ac:dyDescent="0.25">
      <c r="A29" t="s">
        <v>5</v>
      </c>
      <c r="B29">
        <v>0.23963301566776399</v>
      </c>
      <c r="C29" t="s">
        <v>26</v>
      </c>
      <c r="D29">
        <v>95748333.180000007</v>
      </c>
      <c r="E29">
        <v>22944461.82508523</v>
      </c>
      <c r="F29">
        <v>22944461.82508523</v>
      </c>
      <c r="G29" s="6">
        <v>22944461.82508523</v>
      </c>
      <c r="H29" s="6">
        <v>22944461.82508523</v>
      </c>
      <c r="I29" s="5">
        <f t="shared" ref="I29:I43" si="4">H29*0.93</f>
        <v>21338349.497329265</v>
      </c>
      <c r="J29" s="6"/>
    </row>
    <row r="30" spans="1:10" x14ac:dyDescent="0.25">
      <c r="A30" t="s">
        <v>11</v>
      </c>
      <c r="B30">
        <v>0.19210678946315199</v>
      </c>
      <c r="C30" t="s">
        <v>26</v>
      </c>
      <c r="D30">
        <v>95748333.180000007</v>
      </c>
      <c r="E30">
        <v>18393904.883657988</v>
      </c>
      <c r="F30">
        <v>18393904.883657988</v>
      </c>
      <c r="G30" s="6">
        <v>18393904.883657988</v>
      </c>
      <c r="H30" s="6">
        <v>18393904.883657988</v>
      </c>
      <c r="I30" s="5">
        <f t="shared" si="4"/>
        <v>17106331.541801929</v>
      </c>
      <c r="J30" s="6"/>
    </row>
    <row r="31" spans="1:10" x14ac:dyDescent="0.25">
      <c r="A31" t="s">
        <v>21</v>
      </c>
      <c r="B31">
        <v>5.0439283720812897E-2</v>
      </c>
      <c r="C31" t="s">
        <v>26</v>
      </c>
      <c r="D31">
        <v>95748333.180000007</v>
      </c>
      <c r="E31">
        <v>4829477.3430609433</v>
      </c>
      <c r="F31">
        <v>4829477.3430609433</v>
      </c>
      <c r="G31" s="6">
        <v>4829477.3430609433</v>
      </c>
      <c r="H31" s="6">
        <v>4829477.3430609433</v>
      </c>
      <c r="I31" s="5">
        <f t="shared" si="4"/>
        <v>4491413.9290466774</v>
      </c>
      <c r="J31" s="6"/>
    </row>
    <row r="32" spans="1:10" x14ac:dyDescent="0.25">
      <c r="A32" t="s">
        <v>9</v>
      </c>
      <c r="B32">
        <v>1.2740492459903101E-2</v>
      </c>
      <c r="C32" t="s">
        <v>26</v>
      </c>
      <c r="D32">
        <v>95748333.180000007</v>
      </c>
      <c r="E32">
        <v>1219880.9169280799</v>
      </c>
      <c r="F32">
        <v>1219880.9169280799</v>
      </c>
      <c r="G32" s="6">
        <v>1219880.9169280799</v>
      </c>
      <c r="H32" s="6">
        <v>1219880.9169280799</v>
      </c>
      <c r="I32" s="5">
        <f t="shared" si="4"/>
        <v>1134489.2527431145</v>
      </c>
      <c r="J32" s="6"/>
    </row>
    <row r="33" spans="1:10" x14ac:dyDescent="0.25">
      <c r="A33" t="s">
        <v>8</v>
      </c>
      <c r="B33">
        <v>0.45420990015180701</v>
      </c>
      <c r="C33" t="s">
        <v>27</v>
      </c>
      <c r="D33">
        <v>1330887.28</v>
      </c>
      <c r="E33">
        <v>604502.17856211006</v>
      </c>
      <c r="F33">
        <v>604502.17856211006</v>
      </c>
      <c r="G33" s="6">
        <v>604502.17856211006</v>
      </c>
      <c r="H33" s="6">
        <v>604502.17856211006</v>
      </c>
      <c r="I33" s="5">
        <f t="shared" si="4"/>
        <v>562187.02606276236</v>
      </c>
      <c r="J33" s="6"/>
    </row>
    <row r="34" spans="1:10" x14ac:dyDescent="0.25">
      <c r="A34" t="s">
        <v>9</v>
      </c>
      <c r="B34">
        <v>0.28037992773423698</v>
      </c>
      <c r="C34" t="s">
        <v>27</v>
      </c>
      <c r="D34">
        <v>1330887.28</v>
      </c>
      <c r="E34">
        <v>373154.07938881521</v>
      </c>
      <c r="F34">
        <v>373154.07938881521</v>
      </c>
      <c r="G34" s="6">
        <v>373154.07938881521</v>
      </c>
      <c r="H34" s="6">
        <v>373154.07938881521</v>
      </c>
      <c r="I34" s="5">
        <f t="shared" si="4"/>
        <v>347033.29383159819</v>
      </c>
      <c r="J34" s="6"/>
    </row>
    <row r="35" spans="1:10" x14ac:dyDescent="0.25">
      <c r="A35" t="s">
        <v>7</v>
      </c>
      <c r="B35">
        <v>0.26541017211395501</v>
      </c>
      <c r="C35" t="s">
        <v>27</v>
      </c>
      <c r="D35">
        <v>1330887.28</v>
      </c>
      <c r="E35">
        <v>353231.02204907342</v>
      </c>
      <c r="F35">
        <v>353231.02204907342</v>
      </c>
      <c r="G35" s="6">
        <v>353231.02204907342</v>
      </c>
      <c r="H35" s="6">
        <v>353231.02204907342</v>
      </c>
      <c r="I35" s="5">
        <f t="shared" si="4"/>
        <v>328504.85050563829</v>
      </c>
      <c r="J35" s="6"/>
    </row>
    <row r="36" spans="1:10" x14ac:dyDescent="0.25">
      <c r="A36" t="s">
        <v>5</v>
      </c>
      <c r="B36">
        <v>0.590178760593704</v>
      </c>
      <c r="C36" t="s">
        <v>28</v>
      </c>
      <c r="D36">
        <v>11549646.18</v>
      </c>
      <c r="E36">
        <v>6816355.8678082079</v>
      </c>
      <c r="F36">
        <v>6816355.8678082079</v>
      </c>
      <c r="G36" s="6">
        <v>6816355.8678082079</v>
      </c>
      <c r="H36" s="6">
        <v>6816355.8678082079</v>
      </c>
      <c r="I36" s="5">
        <f t="shared" si="4"/>
        <v>6339210.9570616335</v>
      </c>
      <c r="J36" s="6"/>
    </row>
    <row r="37" spans="1:10" x14ac:dyDescent="0.25">
      <c r="A37" t="s">
        <v>8</v>
      </c>
      <c r="B37">
        <v>0.17977648197656701</v>
      </c>
      <c r="C37" t="s">
        <v>28</v>
      </c>
      <c r="D37">
        <v>11549646.18</v>
      </c>
      <c r="E37">
        <v>2076354.7583144959</v>
      </c>
      <c r="F37">
        <v>2076354.7583144959</v>
      </c>
      <c r="G37" s="6">
        <v>2076354.7583144959</v>
      </c>
      <c r="H37" s="6">
        <v>2076354.7583144959</v>
      </c>
      <c r="I37" s="5">
        <f t="shared" si="4"/>
        <v>1931009.9252324812</v>
      </c>
      <c r="J37" s="6"/>
    </row>
    <row r="38" spans="1:10" x14ac:dyDescent="0.25">
      <c r="A38" t="s">
        <v>7</v>
      </c>
      <c r="B38">
        <v>0.176380568497469</v>
      </c>
      <c r="C38" t="s">
        <v>28</v>
      </c>
      <c r="D38">
        <v>11549646.18</v>
      </c>
      <c r="E38">
        <v>2037133.1591730211</v>
      </c>
      <c r="F38">
        <v>2037133.1591730211</v>
      </c>
      <c r="G38" s="6">
        <v>2037133.1591730211</v>
      </c>
      <c r="H38" s="6">
        <v>2037133.1591730211</v>
      </c>
      <c r="I38" s="5">
        <f t="shared" si="4"/>
        <v>1894533.8380309097</v>
      </c>
      <c r="J38" s="6"/>
    </row>
    <row r="39" spans="1:10" x14ac:dyDescent="0.25">
      <c r="A39" t="s">
        <v>9</v>
      </c>
      <c r="B39">
        <v>5.3664188932258203E-2</v>
      </c>
      <c r="C39" t="s">
        <v>28</v>
      </c>
      <c r="D39">
        <v>11549646.18</v>
      </c>
      <c r="E39">
        <v>619802.39470425423</v>
      </c>
      <c r="F39">
        <v>619802.39470425423</v>
      </c>
      <c r="G39" s="6">
        <v>619802.39470425423</v>
      </c>
      <c r="H39" s="6">
        <v>619802.39470425423</v>
      </c>
      <c r="I39" s="5">
        <f t="shared" si="4"/>
        <v>576416.2270749564</v>
      </c>
      <c r="J39" s="6"/>
    </row>
    <row r="40" spans="1:10" x14ac:dyDescent="0.25">
      <c r="A40" t="s">
        <v>19</v>
      </c>
      <c r="B40">
        <v>0.659705587320493</v>
      </c>
      <c r="C40" t="s">
        <v>29</v>
      </c>
      <c r="D40">
        <v>87000000</v>
      </c>
      <c r="E40">
        <v>57394386.096882887</v>
      </c>
      <c r="F40">
        <v>57394386.096882887</v>
      </c>
      <c r="G40" s="6">
        <v>57394386.096882887</v>
      </c>
      <c r="H40" s="6">
        <v>57394386.096882887</v>
      </c>
      <c r="I40" s="5">
        <f t="shared" si="4"/>
        <v>53376779.07010109</v>
      </c>
      <c r="J40" s="6"/>
    </row>
    <row r="41" spans="1:10" x14ac:dyDescent="0.25">
      <c r="A41" t="s">
        <v>30</v>
      </c>
      <c r="B41">
        <v>0.14276864940585099</v>
      </c>
      <c r="C41" t="s">
        <v>29</v>
      </c>
      <c r="D41">
        <v>87000000</v>
      </c>
      <c r="E41">
        <v>12420872.49830904</v>
      </c>
      <c r="F41">
        <v>12420872.49830904</v>
      </c>
      <c r="G41" s="6">
        <v>12420872.49830904</v>
      </c>
      <c r="H41" s="6">
        <v>12420872.49830904</v>
      </c>
      <c r="I41" s="5">
        <f t="shared" si="4"/>
        <v>11551411.423427409</v>
      </c>
      <c r="J41" s="6"/>
    </row>
    <row r="42" spans="1:10" x14ac:dyDescent="0.25">
      <c r="A42" t="s">
        <v>31</v>
      </c>
      <c r="B42">
        <v>0.106151642178585</v>
      </c>
      <c r="C42" t="s">
        <v>29</v>
      </c>
      <c r="D42">
        <v>87000000</v>
      </c>
      <c r="E42">
        <v>9235192.8695368953</v>
      </c>
      <c r="F42">
        <v>9235192.8695368953</v>
      </c>
      <c r="G42" s="6">
        <v>9235192.8695368953</v>
      </c>
      <c r="H42" s="6">
        <v>9235192.8695368953</v>
      </c>
      <c r="I42" s="5">
        <f t="shared" si="4"/>
        <v>8588729.3686693124</v>
      </c>
      <c r="J42" s="6"/>
    </row>
    <row r="43" spans="1:10" x14ac:dyDescent="0.25">
      <c r="A43" t="s">
        <v>32</v>
      </c>
      <c r="B43">
        <v>9.1374121095069802E-2</v>
      </c>
      <c r="C43" t="s">
        <v>29</v>
      </c>
      <c r="D43">
        <v>87000000</v>
      </c>
      <c r="E43">
        <v>7949548.5352710728</v>
      </c>
      <c r="F43">
        <v>7949548.5352710728</v>
      </c>
      <c r="G43" s="6">
        <v>7949548.5352710728</v>
      </c>
      <c r="H43" s="6">
        <v>7949548.5352710728</v>
      </c>
      <c r="I43" s="5">
        <f t="shared" si="4"/>
        <v>7393080.1378020979</v>
      </c>
      <c r="J43" s="6"/>
    </row>
    <row r="44" spans="1:10" x14ac:dyDescent="0.25">
      <c r="A44" t="s">
        <v>7</v>
      </c>
      <c r="B44">
        <v>1</v>
      </c>
      <c r="C44" t="s">
        <v>33</v>
      </c>
      <c r="D44">
        <v>1081708.747</v>
      </c>
      <c r="E44">
        <v>1081708.747</v>
      </c>
      <c r="F44">
        <v>1081708.747</v>
      </c>
      <c r="G44" s="6">
        <v>1081708.747</v>
      </c>
      <c r="H44" s="5">
        <f>G44*0.93</f>
        <v>1005989.13471</v>
      </c>
      <c r="I44" s="5">
        <f>H44*0.93</f>
        <v>935569.89528030006</v>
      </c>
      <c r="J44" s="6"/>
    </row>
    <row r="45" spans="1:10" x14ac:dyDescent="0.25">
      <c r="A45" t="s">
        <v>15</v>
      </c>
      <c r="B45">
        <v>0.91502251799193601</v>
      </c>
      <c r="C45" t="s">
        <v>34</v>
      </c>
      <c r="D45">
        <v>100784999.40000001</v>
      </c>
      <c r="E45">
        <v>92220543.926803768</v>
      </c>
      <c r="F45">
        <v>92220543.926803768</v>
      </c>
      <c r="G45" s="6">
        <v>92220543.926803768</v>
      </c>
      <c r="H45" s="6">
        <v>92220543.926803768</v>
      </c>
      <c r="I45" s="6">
        <v>92220543.926803768</v>
      </c>
      <c r="J45" s="6"/>
    </row>
    <row r="46" spans="1:10" x14ac:dyDescent="0.25">
      <c r="A46" t="s">
        <v>7</v>
      </c>
      <c r="B46">
        <v>5.9890161501362497E-2</v>
      </c>
      <c r="C46" t="s">
        <v>34</v>
      </c>
      <c r="D46">
        <v>100784999.40000001</v>
      </c>
      <c r="E46">
        <v>6036029.8909807224</v>
      </c>
      <c r="F46">
        <v>6036029.8909807224</v>
      </c>
      <c r="G46" s="6">
        <v>6036029.8909807224</v>
      </c>
      <c r="H46" s="6">
        <v>6036029.8909807224</v>
      </c>
      <c r="I46" s="6">
        <v>6036029.8909807224</v>
      </c>
      <c r="J46" s="6"/>
    </row>
    <row r="47" spans="1:10" x14ac:dyDescent="0.25">
      <c r="A47" t="s">
        <v>18</v>
      </c>
      <c r="B47">
        <v>2.5087320506701101E-2</v>
      </c>
      <c r="C47" t="s">
        <v>34</v>
      </c>
      <c r="D47">
        <v>100784999.40000001</v>
      </c>
      <c r="E47">
        <v>2528425.5822154782</v>
      </c>
      <c r="F47">
        <v>2528425.5822154782</v>
      </c>
      <c r="G47" s="6">
        <v>2528425.5822154782</v>
      </c>
      <c r="H47" s="6">
        <v>2528425.5822154782</v>
      </c>
      <c r="I47" s="6">
        <v>2528425.5822154782</v>
      </c>
      <c r="J47" s="6"/>
    </row>
    <row r="48" spans="1:10" x14ac:dyDescent="0.25">
      <c r="A48" t="s">
        <v>7</v>
      </c>
      <c r="B48">
        <v>0.84733915633184897</v>
      </c>
      <c r="C48" t="s">
        <v>35</v>
      </c>
      <c r="D48">
        <v>38934732.43</v>
      </c>
      <c r="E48">
        <v>32990923.329242479</v>
      </c>
      <c r="F48" s="5">
        <f t="shared" ref="F48:F49" si="5">E48*0.97</f>
        <v>32001195.629365202</v>
      </c>
      <c r="G48" s="6">
        <v>32001195.629365202</v>
      </c>
      <c r="H48" s="6">
        <v>32001195.629365202</v>
      </c>
      <c r="I48" s="6">
        <v>32001195.629365202</v>
      </c>
      <c r="J48" s="6"/>
    </row>
    <row r="49" spans="1:10" x14ac:dyDescent="0.25">
      <c r="A49" t="s">
        <v>9</v>
      </c>
      <c r="B49">
        <v>0.15266084366815</v>
      </c>
      <c r="C49" t="s">
        <v>35</v>
      </c>
      <c r="D49">
        <v>38934732.43</v>
      </c>
      <c r="E49">
        <v>5943809.1007574797</v>
      </c>
      <c r="F49" s="5">
        <f t="shared" si="5"/>
        <v>5765494.8277347554</v>
      </c>
      <c r="G49" s="6">
        <v>5765494.8277347554</v>
      </c>
      <c r="H49" s="6">
        <v>5765494.8277347554</v>
      </c>
      <c r="I49" s="6">
        <v>5765494.8277347554</v>
      </c>
      <c r="J49" s="6"/>
    </row>
  </sheetData>
  <autoFilter ref="A1:E4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Sheet8</vt:lpstr>
      <vt:lpstr>Sheet9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2024-06-23T18:22:30Z</dcterms:created>
  <dcterms:modified xsi:type="dcterms:W3CDTF">2024-06-23T19:34:49Z</dcterms:modified>
</cp:coreProperties>
</file>