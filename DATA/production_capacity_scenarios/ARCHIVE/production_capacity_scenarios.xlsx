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218" documentId="11_E9A9F30C1951581E657004B543245E3FA404C5E2" xr6:coauthVersionLast="47" xr6:coauthVersionMax="47" xr10:uidLastSave="{E997BC50-9278-498E-BB33-7B085954940F}"/>
  <bookViews>
    <workbookView xWindow="-120" yWindow="-120" windowWidth="20730" windowHeight="11040" xr2:uid="{00000000-000D-0000-FFFF-FFFF00000000}"/>
  </bookViews>
  <sheets>
    <sheet name="Nothing" sheetId="1" r:id="rId1"/>
    <sheet name="Pandemic" sheetId="4" r:id="rId2"/>
    <sheet name="shortage_IPV" sheetId="5" r:id="rId3"/>
    <sheet name="delays" sheetId="6" r:id="rId4"/>
    <sheet name="innacurate_forecast" sheetId="7" r:id="rId5"/>
    <sheet name="supply_chain" sheetId="8" r:id="rId6"/>
    <sheet name="Other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</calcChain>
</file>

<file path=xl/sharedStrings.xml><?xml version="1.0" encoding="utf-8"?>
<sst xmlns="http://schemas.openxmlformats.org/spreadsheetml/2006/main" count="120" uniqueCount="18">
  <si>
    <t>Manufacturer</t>
  </si>
  <si>
    <t>AJ Vaccines A/S</t>
  </si>
  <si>
    <t>Bharat Biotech</t>
  </si>
  <si>
    <t>Bilthoven Biologicals</t>
  </si>
  <si>
    <t>Biological E. Limited</t>
  </si>
  <si>
    <t>Bul Bio - National Center of Infectious and Parasitic Diseases Ltd.</t>
  </si>
  <si>
    <t>China National Biotec Group</t>
  </si>
  <si>
    <t>GlaxoSmithKline Biologicals SA</t>
  </si>
  <si>
    <t>Haffkine Bio Pharmaceutical Corporation Ltd</t>
  </si>
  <si>
    <t>LG Chem Ltd</t>
  </si>
  <si>
    <t>Merck Vaccines</t>
  </si>
  <si>
    <t>PT Bio Farma (Persero)</t>
  </si>
  <si>
    <t>Panacea Biotec Ltd.</t>
  </si>
  <si>
    <t>Pfizer</t>
  </si>
  <si>
    <t>Sanofi Healthcare India Private Limited</t>
  </si>
  <si>
    <t>Sanofi Pasteur</t>
  </si>
  <si>
    <t>Serum Institute of India Pvt. Ltd.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</si>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</sst>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11" sqref="C11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v>7949548.5352710728</v>
      </c>
      <c r="F2">
        <v>7949548.5352710728</v>
      </c>
      <c r="G2">
        <v>7949548.5352710728</v>
      </c>
      <c r="H2">
        <v>7949548.5352710728</v>
      </c>
      <c r="I2">
        <v>7949548.5352710728</v>
      </c>
      <c r="J2">
        <v>7949548.5352710728</v>
      </c>
      <c r="K2">
        <v>7949548.5352710728</v>
      </c>
    </row>
    <row r="3" spans="1:11" x14ac:dyDescent="0.25">
      <c r="A3" t="s">
        <v>2</v>
      </c>
      <c r="B3">
        <v>15450151.83290972</v>
      </c>
      <c r="C3">
        <v>15450151.83290972</v>
      </c>
      <c r="D3">
        <v>15450151.83290972</v>
      </c>
      <c r="E3">
        <v>15450151.83290972</v>
      </c>
      <c r="F3">
        <v>15450151.83290972</v>
      </c>
      <c r="G3">
        <v>15450151.83290972</v>
      </c>
      <c r="H3">
        <v>15450151.83290972</v>
      </c>
      <c r="I3">
        <v>15450151.83290972</v>
      </c>
      <c r="J3">
        <v>15450151.83290972</v>
      </c>
      <c r="K3">
        <v>15450151.83290972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v>12420872.49830904</v>
      </c>
      <c r="F4">
        <v>12420872.49830904</v>
      </c>
      <c r="G4">
        <v>12420872.49830904</v>
      </c>
      <c r="H4">
        <v>12420872.49830904</v>
      </c>
      <c r="I4">
        <v>12420872.49830904</v>
      </c>
      <c r="J4">
        <v>12420872.49830904</v>
      </c>
      <c r="K4">
        <v>12420872.49830904</v>
      </c>
    </row>
    <row r="5" spans="1:11" x14ac:dyDescent="0.25">
      <c r="A5" t="s">
        <v>4</v>
      </c>
      <c r="B5">
        <v>74900970.671990186</v>
      </c>
      <c r="C5">
        <v>74900970.671990186</v>
      </c>
      <c r="D5">
        <v>74900970.671990186</v>
      </c>
      <c r="E5">
        <v>74900970.671990186</v>
      </c>
      <c r="F5">
        <v>74900970.671990186</v>
      </c>
      <c r="G5">
        <v>74900970.671990186</v>
      </c>
      <c r="H5">
        <v>74900970.671990186</v>
      </c>
      <c r="I5">
        <v>74900970.671990186</v>
      </c>
      <c r="J5">
        <v>74900970.671990186</v>
      </c>
      <c r="K5">
        <v>74900970.671990186</v>
      </c>
    </row>
    <row r="6" spans="1:11" x14ac:dyDescent="0.25">
      <c r="A6" t="s">
        <v>5</v>
      </c>
      <c r="B6">
        <v>21518237.22730656</v>
      </c>
      <c r="C6">
        <v>21518237.22730656</v>
      </c>
      <c r="D6">
        <v>21518237.22730656</v>
      </c>
      <c r="E6">
        <v>21518237.22730656</v>
      </c>
      <c r="F6">
        <v>21518237.22730656</v>
      </c>
      <c r="G6">
        <v>21518237.22730656</v>
      </c>
      <c r="H6">
        <v>21518237.22730656</v>
      </c>
      <c r="I6">
        <v>21518237.22730656</v>
      </c>
      <c r="J6">
        <v>21518237.22730656</v>
      </c>
      <c r="K6">
        <v>21518237.22730656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v>2349240.4312147759</v>
      </c>
      <c r="F7">
        <v>2349240.4312147759</v>
      </c>
      <c r="G7">
        <v>2349240.4312147759</v>
      </c>
      <c r="H7">
        <v>2349240.4312147759</v>
      </c>
      <c r="I7">
        <v>2349240.4312147759</v>
      </c>
      <c r="J7">
        <v>2349240.4312147759</v>
      </c>
      <c r="K7">
        <v>2349240.4312147759</v>
      </c>
    </row>
    <row r="8" spans="1:11" x14ac:dyDescent="0.25">
      <c r="A8" t="s">
        <v>7</v>
      </c>
      <c r="B8">
        <v>144142122.96536511</v>
      </c>
      <c r="C8">
        <v>144142122.96536511</v>
      </c>
      <c r="D8">
        <v>144142122.96536511</v>
      </c>
      <c r="E8">
        <v>144142122.96536511</v>
      </c>
      <c r="F8">
        <v>144142122.96536511</v>
      </c>
      <c r="G8">
        <v>144142122.96536511</v>
      </c>
      <c r="H8">
        <v>144142122.96536511</v>
      </c>
      <c r="I8">
        <v>144142122.96536511</v>
      </c>
      <c r="J8">
        <v>144142122.96536511</v>
      </c>
      <c r="K8">
        <v>144142122.96536511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v>18183171.36153648</v>
      </c>
      <c r="F9">
        <v>18183171.36153648</v>
      </c>
      <c r="G9">
        <v>18183171.36153648</v>
      </c>
      <c r="H9">
        <v>18183171.36153648</v>
      </c>
      <c r="I9">
        <v>18183171.36153648</v>
      </c>
      <c r="J9">
        <v>18183171.36153648</v>
      </c>
      <c r="K9">
        <v>18183171.36153648</v>
      </c>
    </row>
    <row r="10" spans="1:11" x14ac:dyDescent="0.25">
      <c r="A10" t="s">
        <v>9</v>
      </c>
      <c r="B10">
        <v>21707221.726454869</v>
      </c>
      <c r="C10">
        <v>21707221.726454869</v>
      </c>
      <c r="D10">
        <v>21707221.726454869</v>
      </c>
      <c r="E10">
        <v>21707221.726454869</v>
      </c>
      <c r="F10">
        <v>21707221.726454869</v>
      </c>
      <c r="G10">
        <v>21707221.726454869</v>
      </c>
      <c r="H10">
        <v>21707221.726454869</v>
      </c>
      <c r="I10">
        <v>21707221.726454869</v>
      </c>
      <c r="J10">
        <v>21707221.726454869</v>
      </c>
      <c r="K10">
        <v>21707221.726454869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v>9165935.6035880148</v>
      </c>
      <c r="F11">
        <v>9165935.6035880148</v>
      </c>
      <c r="G11">
        <v>9165935.6035880148</v>
      </c>
      <c r="H11">
        <v>9165935.6035880148</v>
      </c>
      <c r="I11">
        <v>9165935.6035880148</v>
      </c>
      <c r="J11">
        <v>9165935.6035880148</v>
      </c>
      <c r="K11">
        <v>9165935.6035880148</v>
      </c>
    </row>
    <row r="12" spans="1:11" x14ac:dyDescent="0.25">
      <c r="A12" t="s">
        <v>11</v>
      </c>
      <c r="B12">
        <v>26738186.297844511</v>
      </c>
      <c r="C12">
        <v>26738186.297844511</v>
      </c>
      <c r="D12">
        <v>26738186.297844511</v>
      </c>
      <c r="E12">
        <v>26738186.297844511</v>
      </c>
      <c r="F12">
        <v>26738186.297844511</v>
      </c>
      <c r="G12">
        <v>26738186.297844511</v>
      </c>
      <c r="H12">
        <v>26738186.297844511</v>
      </c>
      <c r="I12">
        <v>26738186.297844511</v>
      </c>
      <c r="J12">
        <v>26738186.297844511</v>
      </c>
      <c r="K12">
        <v>26738186.297844511</v>
      </c>
    </row>
    <row r="13" spans="1:11" x14ac:dyDescent="0.25">
      <c r="A13" t="s">
        <v>12</v>
      </c>
      <c r="B13">
        <v>5043969.2807456898</v>
      </c>
      <c r="C13">
        <v>5043969.2807456898</v>
      </c>
      <c r="D13">
        <v>5043969.2807456898</v>
      </c>
      <c r="E13">
        <v>5043969.2807456898</v>
      </c>
      <c r="F13">
        <v>5043969.2807456898</v>
      </c>
      <c r="G13">
        <v>5043969.2807456898</v>
      </c>
      <c r="H13">
        <v>5043969.2807456898</v>
      </c>
      <c r="I13">
        <v>5043969.2807456898</v>
      </c>
      <c r="J13">
        <v>5043969.2807456898</v>
      </c>
      <c r="K13">
        <v>5043969.2807456898</v>
      </c>
    </row>
    <row r="14" spans="1:11" x14ac:dyDescent="0.25">
      <c r="A14" t="s">
        <v>13</v>
      </c>
      <c r="B14">
        <v>61649188.667712383</v>
      </c>
      <c r="C14">
        <v>61649188.667712383</v>
      </c>
      <c r="D14">
        <v>61649188.667712383</v>
      </c>
      <c r="E14">
        <v>61649188.667712383</v>
      </c>
      <c r="F14">
        <v>61649188.667712383</v>
      </c>
      <c r="G14">
        <v>61649188.667712383</v>
      </c>
      <c r="H14">
        <v>61649188.667712383</v>
      </c>
      <c r="I14">
        <v>61649188.667712383</v>
      </c>
      <c r="J14">
        <v>61649188.667712383</v>
      </c>
      <c r="K14">
        <v>61649188.667712383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v>9235192.8695368953</v>
      </c>
      <c r="F15">
        <v>9235192.8695368953</v>
      </c>
      <c r="G15">
        <v>9235192.8695368953</v>
      </c>
      <c r="H15">
        <v>9235192.8695368953</v>
      </c>
      <c r="I15">
        <v>9235192.8695368953</v>
      </c>
      <c r="J15">
        <v>9235192.8695368953</v>
      </c>
      <c r="K15">
        <v>9235192.8695368953</v>
      </c>
    </row>
    <row r="16" spans="1:11" x14ac:dyDescent="0.25">
      <c r="A16" t="s">
        <v>15</v>
      </c>
      <c r="B16">
        <v>62431968.559238598</v>
      </c>
      <c r="C16">
        <v>62431968.559238598</v>
      </c>
      <c r="D16">
        <v>62431968.559238598</v>
      </c>
      <c r="E16">
        <v>62431968.559238598</v>
      </c>
      <c r="F16">
        <v>62431968.559238598</v>
      </c>
      <c r="G16">
        <v>62431968.559238598</v>
      </c>
      <c r="H16">
        <v>62431968.559238598</v>
      </c>
      <c r="I16">
        <v>62431968.559238598</v>
      </c>
      <c r="J16">
        <v>62431968.559238598</v>
      </c>
      <c r="K16">
        <v>62431968.559238598</v>
      </c>
    </row>
    <row r="17" spans="1:11" x14ac:dyDescent="0.25">
      <c r="A17" t="s">
        <v>16</v>
      </c>
      <c r="B17">
        <v>215154615.59397531</v>
      </c>
      <c r="C17">
        <v>215154615.59397531</v>
      </c>
      <c r="D17">
        <v>215154615.59397531</v>
      </c>
      <c r="E17">
        <v>215154615.59397531</v>
      </c>
      <c r="F17">
        <v>215154615.59397531</v>
      </c>
      <c r="G17">
        <v>215154615.59397531</v>
      </c>
      <c r="H17">
        <v>215154615.59397531</v>
      </c>
      <c r="I17">
        <v>215154615.59397531</v>
      </c>
      <c r="J17">
        <v>215154615.59397531</v>
      </c>
      <c r="K17">
        <v>215154615.59397531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DB60-6882-4095-A628-7136BFAAC876}">
  <dimension ref="A1:K20"/>
  <sheetViews>
    <sheetView zoomScale="85" zoomScaleNormal="85" workbookViewId="0">
      <selection activeCell="C15" sqref="C15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f>$D2*(1-0.44)</f>
        <v>4451747.1797518013</v>
      </c>
      <c r="F2">
        <f>$D2*(1-0.35)</f>
        <v>5167206.5479261978</v>
      </c>
      <c r="G2">
        <f>$D2*(1-0.06)</f>
        <v>7472575.6231548078</v>
      </c>
      <c r="H2">
        <v>7949548.5352710728</v>
      </c>
      <c r="I2">
        <v>7949548.5352710728</v>
      </c>
      <c r="J2">
        <v>7949548.5352710728</v>
      </c>
      <c r="K2">
        <v>7949548.5352710728</v>
      </c>
    </row>
    <row r="3" spans="1:11" x14ac:dyDescent="0.25">
      <c r="A3" t="s">
        <v>2</v>
      </c>
      <c r="B3">
        <v>15450151.83290972</v>
      </c>
      <c r="C3">
        <v>15450151.83290972</v>
      </c>
      <c r="D3">
        <v>15450151.83290972</v>
      </c>
      <c r="E3">
        <f t="shared" ref="E3:E17" si="0">$D3*(1-0.44)</f>
        <v>8652085.0264294446</v>
      </c>
      <c r="F3">
        <f t="shared" ref="F3:F17" si="1">$D3*(1-0.35)</f>
        <v>10042598.691391319</v>
      </c>
      <c r="G3">
        <f t="shared" ref="G3:G17" si="2">$D3*(1-0.06)</f>
        <v>14523142.722935136</v>
      </c>
      <c r="H3">
        <v>15450151.83290972</v>
      </c>
      <c r="I3">
        <v>15450151.83290972</v>
      </c>
      <c r="J3">
        <v>15450151.83290972</v>
      </c>
      <c r="K3">
        <v>15450151.83290972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f t="shared" si="0"/>
        <v>6955688.5990530634</v>
      </c>
      <c r="F4">
        <f t="shared" si="1"/>
        <v>8073567.1239008764</v>
      </c>
      <c r="G4">
        <f t="shared" si="2"/>
        <v>11675620.148410497</v>
      </c>
      <c r="H4">
        <v>12420872.49830904</v>
      </c>
      <c r="I4">
        <v>12420872.49830904</v>
      </c>
      <c r="J4">
        <v>12420872.49830904</v>
      </c>
      <c r="K4">
        <v>12420872.49830904</v>
      </c>
    </row>
    <row r="5" spans="1:11" x14ac:dyDescent="0.25">
      <c r="A5" t="s">
        <v>4</v>
      </c>
      <c r="B5">
        <v>74900970.671990186</v>
      </c>
      <c r="C5">
        <v>74900970.671990186</v>
      </c>
      <c r="D5">
        <v>74900970.671990186</v>
      </c>
      <c r="E5">
        <f t="shared" si="0"/>
        <v>41944543.576314509</v>
      </c>
      <c r="F5">
        <f t="shared" si="1"/>
        <v>48685630.936793625</v>
      </c>
      <c r="G5">
        <f t="shared" si="2"/>
        <v>70406912.43167077</v>
      </c>
      <c r="H5">
        <v>74900970.671990186</v>
      </c>
      <c r="I5">
        <v>74900970.671990186</v>
      </c>
      <c r="J5">
        <v>74900970.671990186</v>
      </c>
      <c r="K5">
        <v>74900970.671990186</v>
      </c>
    </row>
    <row r="6" spans="1:11" x14ac:dyDescent="0.25">
      <c r="A6" t="s">
        <v>5</v>
      </c>
      <c r="B6">
        <v>21518237.22730656</v>
      </c>
      <c r="C6">
        <v>21518237.22730656</v>
      </c>
      <c r="D6">
        <v>21518237.22730656</v>
      </c>
      <c r="E6">
        <f t="shared" si="0"/>
        <v>12050212.847291674</v>
      </c>
      <c r="F6">
        <f t="shared" si="1"/>
        <v>13986854.197749265</v>
      </c>
      <c r="G6">
        <f t="shared" si="2"/>
        <v>20227142.993668165</v>
      </c>
      <c r="H6">
        <v>21518237.22730656</v>
      </c>
      <c r="I6">
        <v>21518237.22730656</v>
      </c>
      <c r="J6">
        <v>21518237.22730656</v>
      </c>
      <c r="K6">
        <v>21518237.22730656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f t="shared" si="0"/>
        <v>1315574.6414802747</v>
      </c>
      <c r="F7">
        <f t="shared" si="1"/>
        <v>1527006.2802896043</v>
      </c>
      <c r="G7">
        <f t="shared" si="2"/>
        <v>2208286.0053418893</v>
      </c>
      <c r="H7">
        <v>2349240.4312147759</v>
      </c>
      <c r="I7">
        <v>2349240.4312147759</v>
      </c>
      <c r="J7">
        <v>2349240.4312147759</v>
      </c>
      <c r="K7">
        <v>2349240.4312147759</v>
      </c>
    </row>
    <row r="8" spans="1:11" x14ac:dyDescent="0.25">
      <c r="A8" t="s">
        <v>7</v>
      </c>
      <c r="B8">
        <v>144142122.96536511</v>
      </c>
      <c r="C8">
        <v>144142122.96536511</v>
      </c>
      <c r="D8">
        <v>144142122.96536511</v>
      </c>
      <c r="E8">
        <f t="shared" si="0"/>
        <v>80719588.860604465</v>
      </c>
      <c r="F8">
        <f t="shared" si="1"/>
        <v>93692379.927487329</v>
      </c>
      <c r="G8">
        <f t="shared" si="2"/>
        <v>135493595.5874432</v>
      </c>
      <c r="H8">
        <v>144142122.96536511</v>
      </c>
      <c r="I8">
        <v>144142122.96536511</v>
      </c>
      <c r="J8">
        <v>144142122.96536511</v>
      </c>
      <c r="K8">
        <v>144142122.96536511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f t="shared" si="0"/>
        <v>10182575.96246043</v>
      </c>
      <c r="F9">
        <f t="shared" si="1"/>
        <v>11819061.384998713</v>
      </c>
      <c r="G9">
        <f t="shared" si="2"/>
        <v>17092181.079844292</v>
      </c>
      <c r="H9">
        <v>18183171.36153648</v>
      </c>
      <c r="I9">
        <v>18183171.36153648</v>
      </c>
      <c r="J9">
        <v>18183171.36153648</v>
      </c>
      <c r="K9">
        <v>18183171.36153648</v>
      </c>
    </row>
    <row r="10" spans="1:11" x14ac:dyDescent="0.25">
      <c r="A10" t="s">
        <v>9</v>
      </c>
      <c r="B10">
        <v>21707221.726454869</v>
      </c>
      <c r="C10">
        <v>21707221.726454869</v>
      </c>
      <c r="D10">
        <v>21707221.726454869</v>
      </c>
      <c r="E10">
        <f t="shared" si="0"/>
        <v>12156044.166814728</v>
      </c>
      <c r="F10">
        <f t="shared" si="1"/>
        <v>14109694.122195665</v>
      </c>
      <c r="G10">
        <f t="shared" si="2"/>
        <v>20404788.422867574</v>
      </c>
      <c r="H10">
        <v>21707221.726454869</v>
      </c>
      <c r="I10">
        <v>21707221.726454869</v>
      </c>
      <c r="J10">
        <v>21707221.726454869</v>
      </c>
      <c r="K10">
        <v>21707221.726454869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f t="shared" si="0"/>
        <v>5132923.9380092891</v>
      </c>
      <c r="F11">
        <f t="shared" si="1"/>
        <v>5957858.1423322102</v>
      </c>
      <c r="G11">
        <f t="shared" si="2"/>
        <v>8615979.4673727341</v>
      </c>
      <c r="H11">
        <v>9165935.6035880148</v>
      </c>
      <c r="I11">
        <v>9165935.6035880148</v>
      </c>
      <c r="J11">
        <v>9165935.6035880148</v>
      </c>
      <c r="K11">
        <v>9165935.6035880148</v>
      </c>
    </row>
    <row r="12" spans="1:11" x14ac:dyDescent="0.25">
      <c r="A12" t="s">
        <v>11</v>
      </c>
      <c r="B12">
        <v>26738186.297844511</v>
      </c>
      <c r="C12">
        <v>26738186.297844511</v>
      </c>
      <c r="D12">
        <v>26738186.297844511</v>
      </c>
      <c r="E12">
        <f t="shared" si="0"/>
        <v>14973384.326792927</v>
      </c>
      <c r="F12">
        <f t="shared" si="1"/>
        <v>17379821.093598932</v>
      </c>
      <c r="G12">
        <f t="shared" si="2"/>
        <v>25133895.119973838</v>
      </c>
      <c r="H12">
        <v>26738186.297844511</v>
      </c>
      <c r="I12">
        <v>26738186.297844511</v>
      </c>
      <c r="J12">
        <v>26738186.297844511</v>
      </c>
      <c r="K12">
        <v>26738186.297844511</v>
      </c>
    </row>
    <row r="13" spans="1:11" x14ac:dyDescent="0.25">
      <c r="A13" t="s">
        <v>12</v>
      </c>
      <c r="B13">
        <v>5043969.2807456898</v>
      </c>
      <c r="C13">
        <v>5043969.2807456898</v>
      </c>
      <c r="D13">
        <v>5043969.2807456898</v>
      </c>
      <c r="E13">
        <f t="shared" si="0"/>
        <v>2824622.7972175865</v>
      </c>
      <c r="F13">
        <f t="shared" si="1"/>
        <v>3278580.0324846986</v>
      </c>
      <c r="G13">
        <f t="shared" si="2"/>
        <v>4741331.1239009481</v>
      </c>
      <c r="H13">
        <v>5043969.2807456898</v>
      </c>
      <c r="I13">
        <v>5043969.2807456898</v>
      </c>
      <c r="J13">
        <v>5043969.2807456898</v>
      </c>
      <c r="K13">
        <v>5043969.2807456898</v>
      </c>
    </row>
    <row r="14" spans="1:11" x14ac:dyDescent="0.25">
      <c r="A14" t="s">
        <v>13</v>
      </c>
      <c r="B14">
        <v>61649188.667712383</v>
      </c>
      <c r="C14">
        <v>61649188.667712383</v>
      </c>
      <c r="D14">
        <v>61649188.667712383</v>
      </c>
      <c r="E14">
        <f t="shared" si="0"/>
        <v>34523545.653918937</v>
      </c>
      <c r="F14">
        <f t="shared" si="1"/>
        <v>40071972.634013049</v>
      </c>
      <c r="G14">
        <f t="shared" si="2"/>
        <v>57950237.347649634</v>
      </c>
      <c r="H14">
        <v>61649188.667712383</v>
      </c>
      <c r="I14">
        <v>61649188.667712383</v>
      </c>
      <c r="J14">
        <v>61649188.667712383</v>
      </c>
      <c r="K14">
        <v>61649188.667712383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f t="shared" si="0"/>
        <v>5171708.0069406619</v>
      </c>
      <c r="F15">
        <f t="shared" si="1"/>
        <v>6002875.3651989819</v>
      </c>
      <c r="G15">
        <f t="shared" si="2"/>
        <v>8681081.297364682</v>
      </c>
      <c r="H15">
        <v>9235192.8695368953</v>
      </c>
      <c r="I15">
        <v>9235192.8695368953</v>
      </c>
      <c r="J15">
        <v>9235192.8695368953</v>
      </c>
      <c r="K15">
        <v>9235192.8695368953</v>
      </c>
    </row>
    <row r="16" spans="1:11" x14ac:dyDescent="0.25">
      <c r="A16" t="s">
        <v>15</v>
      </c>
      <c r="B16">
        <v>62431968.559238598</v>
      </c>
      <c r="C16">
        <v>62431968.559238598</v>
      </c>
      <c r="D16">
        <v>62431968.559238598</v>
      </c>
      <c r="E16">
        <f t="shared" si="0"/>
        <v>34961902.39317362</v>
      </c>
      <c r="F16">
        <f t="shared" si="1"/>
        <v>40580779.563505091</v>
      </c>
      <c r="G16">
        <f t="shared" si="2"/>
        <v>58686050.445684277</v>
      </c>
      <c r="H16">
        <v>62431968.559238598</v>
      </c>
      <c r="I16">
        <v>62431968.559238598</v>
      </c>
      <c r="J16">
        <v>62431968.559238598</v>
      </c>
      <c r="K16">
        <v>62431968.559238598</v>
      </c>
    </row>
    <row r="17" spans="1:11" x14ac:dyDescent="0.25">
      <c r="A17" t="s">
        <v>16</v>
      </c>
      <c r="B17">
        <v>215154615.59397531</v>
      </c>
      <c r="C17">
        <v>215154615.59397531</v>
      </c>
      <c r="D17">
        <v>215154615.59397531</v>
      </c>
      <c r="E17">
        <f t="shared" si="0"/>
        <v>120486584.73262618</v>
      </c>
      <c r="F17">
        <f t="shared" si="1"/>
        <v>139850500.13608396</v>
      </c>
      <c r="G17">
        <f t="shared" si="2"/>
        <v>202245338.65833679</v>
      </c>
      <c r="H17">
        <v>215154615.59397531</v>
      </c>
      <c r="I17">
        <v>215154615.59397531</v>
      </c>
      <c r="J17">
        <v>215154615.59397531</v>
      </c>
      <c r="K17">
        <v>215154615.59397531</v>
      </c>
    </row>
    <row r="20" spans="1:11" x14ac:dyDescent="0.25">
      <c r="H20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0BCD-B154-40B0-8ABA-F99F0152967E}">
  <dimension ref="A1:K17"/>
  <sheetViews>
    <sheetView workbookViewId="0">
      <selection activeCell="G2" sqref="G2:K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 s="2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7313584.6524493871</v>
      </c>
      <c r="E2">
        <v>7154593.6817439655</v>
      </c>
      <c r="F2">
        <v>7711062.0792129403</v>
      </c>
      <c r="G2">
        <v>7949548.5352710728</v>
      </c>
      <c r="H2">
        <v>7949548.5352710728</v>
      </c>
      <c r="I2">
        <v>7949548.5352710728</v>
      </c>
      <c r="J2">
        <v>7949548.5352710728</v>
      </c>
      <c r="K2">
        <v>7949548.5352710728</v>
      </c>
    </row>
    <row r="3" spans="1:11" x14ac:dyDescent="0.25">
      <c r="A3" t="s">
        <v>2</v>
      </c>
      <c r="B3">
        <v>15450151.832909729</v>
      </c>
      <c r="C3">
        <v>15450151.832909729</v>
      </c>
      <c r="D3">
        <v>15450151.832909729</v>
      </c>
      <c r="E3">
        <v>15450151.832909729</v>
      </c>
      <c r="F3">
        <v>15450151.832909729</v>
      </c>
      <c r="G3">
        <v>15450151.832909729</v>
      </c>
      <c r="H3">
        <v>15450151.832909729</v>
      </c>
      <c r="I3">
        <v>15450151.832909729</v>
      </c>
      <c r="J3">
        <v>15450151.832909729</v>
      </c>
      <c r="K3">
        <v>15450151.832909729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11427202.698444318</v>
      </c>
      <c r="E4">
        <v>11178785.248478137</v>
      </c>
      <c r="F4">
        <v>12048246.323359769</v>
      </c>
      <c r="G4">
        <v>12420872.49830904</v>
      </c>
      <c r="H4">
        <v>12420872.49830904</v>
      </c>
      <c r="I4">
        <v>12420872.49830904</v>
      </c>
      <c r="J4">
        <v>12420872.49830904</v>
      </c>
      <c r="K4">
        <v>12420872.49830904</v>
      </c>
    </row>
    <row r="5" spans="1:11" x14ac:dyDescent="0.25">
      <c r="A5" t="s">
        <v>4</v>
      </c>
      <c r="B5">
        <v>74900970.671990201</v>
      </c>
      <c r="C5">
        <v>74900970.671990201</v>
      </c>
      <c r="D5">
        <v>74900970.671990201</v>
      </c>
      <c r="E5">
        <v>74900970.671990201</v>
      </c>
      <c r="F5">
        <v>74900970.671990201</v>
      </c>
      <c r="G5">
        <v>74900970.671990201</v>
      </c>
      <c r="H5">
        <v>74900970.671990201</v>
      </c>
      <c r="I5">
        <v>74900970.671990201</v>
      </c>
      <c r="J5">
        <v>74900970.671990201</v>
      </c>
      <c r="K5">
        <v>74900970.671990201</v>
      </c>
    </row>
    <row r="6" spans="1:11" x14ac:dyDescent="0.25">
      <c r="A6" t="s">
        <v>5</v>
      </c>
      <c r="B6">
        <v>21518237.227306552</v>
      </c>
      <c r="C6">
        <v>21518237.227306552</v>
      </c>
      <c r="D6">
        <v>21518237.227306552</v>
      </c>
      <c r="E6">
        <v>21518237.227306552</v>
      </c>
      <c r="F6">
        <v>21518237.227306552</v>
      </c>
      <c r="G6">
        <v>21518237.227306552</v>
      </c>
      <c r="H6">
        <v>21518237.227306552</v>
      </c>
      <c r="I6">
        <v>21518237.227306552</v>
      </c>
      <c r="J6">
        <v>21518237.227306552</v>
      </c>
      <c r="K6">
        <v>21518237.227306552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v>2349240.4312147759</v>
      </c>
      <c r="F7">
        <v>2349240.4312147759</v>
      </c>
      <c r="G7">
        <v>2349240.4312147759</v>
      </c>
      <c r="H7">
        <v>2349240.4312147759</v>
      </c>
      <c r="I7">
        <v>2349240.4312147759</v>
      </c>
      <c r="J7">
        <v>2349240.4312147759</v>
      </c>
      <c r="K7">
        <v>2349240.4312147759</v>
      </c>
    </row>
    <row r="8" spans="1:11" x14ac:dyDescent="0.25">
      <c r="A8" t="s">
        <v>7</v>
      </c>
      <c r="B8">
        <v>144142122.96536517</v>
      </c>
      <c r="C8">
        <v>144142122.96536517</v>
      </c>
      <c r="D8">
        <v>144142122.96536517</v>
      </c>
      <c r="E8">
        <v>144142122.96536517</v>
      </c>
      <c r="F8">
        <v>144142122.96536517</v>
      </c>
      <c r="G8">
        <v>144142122.96536517</v>
      </c>
      <c r="H8">
        <v>144142122.96536517</v>
      </c>
      <c r="I8">
        <v>144142122.96536517</v>
      </c>
      <c r="J8">
        <v>144142122.96536517</v>
      </c>
      <c r="K8">
        <v>144142122.96536517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v>18183171.36153648</v>
      </c>
      <c r="F9">
        <v>18183171.36153648</v>
      </c>
      <c r="G9">
        <v>18183171.36153648</v>
      </c>
      <c r="H9">
        <v>18183171.36153648</v>
      </c>
      <c r="I9">
        <v>18183171.36153648</v>
      </c>
      <c r="J9">
        <v>18183171.36153648</v>
      </c>
      <c r="K9">
        <v>18183171.36153648</v>
      </c>
    </row>
    <row r="10" spans="1:11" x14ac:dyDescent="0.25">
      <c r="A10" t="s">
        <v>9</v>
      </c>
      <c r="B10">
        <v>21707221.726454861</v>
      </c>
      <c r="C10">
        <v>21707221.726454861</v>
      </c>
      <c r="D10">
        <v>21707221.726454861</v>
      </c>
      <c r="E10">
        <v>21707221.726454861</v>
      </c>
      <c r="F10">
        <v>21707221.726454861</v>
      </c>
      <c r="G10">
        <v>21707221.726454861</v>
      </c>
      <c r="H10">
        <v>21707221.726454861</v>
      </c>
      <c r="I10">
        <v>21707221.726454861</v>
      </c>
      <c r="J10">
        <v>21707221.726454861</v>
      </c>
      <c r="K10">
        <v>21707221.726454861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v>9165935.6035880148</v>
      </c>
      <c r="F11">
        <v>9165935.6035880148</v>
      </c>
      <c r="G11">
        <v>9165935.6035880148</v>
      </c>
      <c r="H11">
        <v>9165935.6035880148</v>
      </c>
      <c r="I11">
        <v>9165935.6035880148</v>
      </c>
      <c r="J11">
        <v>9165935.6035880148</v>
      </c>
      <c r="K11">
        <v>9165935.6035880148</v>
      </c>
    </row>
    <row r="12" spans="1:11" x14ac:dyDescent="0.25">
      <c r="A12" t="s">
        <v>11</v>
      </c>
      <c r="B12">
        <v>5043969.2807456898</v>
      </c>
      <c r="C12">
        <v>5043969.2807456898</v>
      </c>
      <c r="D12">
        <v>5043969.2807456898</v>
      </c>
      <c r="E12">
        <v>5043969.2807456898</v>
      </c>
      <c r="F12">
        <v>5043969.2807456898</v>
      </c>
      <c r="G12">
        <v>5043969.2807456898</v>
      </c>
      <c r="H12">
        <v>5043969.2807456898</v>
      </c>
      <c r="I12">
        <v>5043969.2807456898</v>
      </c>
      <c r="J12">
        <v>5043969.2807456898</v>
      </c>
      <c r="K12">
        <v>5043969.2807456898</v>
      </c>
    </row>
    <row r="13" spans="1:11" x14ac:dyDescent="0.25">
      <c r="A13" t="s">
        <v>12</v>
      </c>
      <c r="B13">
        <v>61649188.667712383</v>
      </c>
      <c r="C13">
        <v>61649188.667712383</v>
      </c>
      <c r="D13">
        <v>61649188.667712383</v>
      </c>
      <c r="E13">
        <v>61649188.667712383</v>
      </c>
      <c r="F13">
        <v>61649188.667712383</v>
      </c>
      <c r="G13">
        <v>61649188.667712383</v>
      </c>
      <c r="H13">
        <v>61649188.667712383</v>
      </c>
      <c r="I13">
        <v>61649188.667712383</v>
      </c>
      <c r="J13">
        <v>61649188.667712383</v>
      </c>
      <c r="K13">
        <v>61649188.667712383</v>
      </c>
    </row>
    <row r="14" spans="1:11" x14ac:dyDescent="0.25">
      <c r="A14" t="s">
        <v>13</v>
      </c>
      <c r="B14">
        <v>26738186.297844507</v>
      </c>
      <c r="C14">
        <v>26738186.297844507</v>
      </c>
      <c r="D14">
        <v>26738186.297844507</v>
      </c>
      <c r="E14">
        <v>26738186.297844507</v>
      </c>
      <c r="F14">
        <v>26738186.297844507</v>
      </c>
      <c r="G14">
        <v>26738186.297844507</v>
      </c>
      <c r="H14">
        <v>26738186.297844507</v>
      </c>
      <c r="I14">
        <v>26738186.297844507</v>
      </c>
      <c r="J14">
        <v>26738186.297844507</v>
      </c>
      <c r="K14">
        <v>26738186.297844507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8496377.4399739448</v>
      </c>
      <c r="E15">
        <v>8311673.5825832058</v>
      </c>
      <c r="F15">
        <v>8958137.0834507886</v>
      </c>
      <c r="G15">
        <v>9235192.8695368953</v>
      </c>
      <c r="H15">
        <v>9235192.8695368953</v>
      </c>
      <c r="I15">
        <v>9235192.8695368953</v>
      </c>
      <c r="J15">
        <v>9235192.8695368953</v>
      </c>
      <c r="K15">
        <v>9235192.8695368953</v>
      </c>
    </row>
    <row r="16" spans="1:11" x14ac:dyDescent="0.25">
      <c r="A16" t="s">
        <v>15</v>
      </c>
      <c r="B16">
        <v>62431968.55923859</v>
      </c>
      <c r="C16">
        <v>62431968.55923859</v>
      </c>
      <c r="D16">
        <v>57840417.671487965</v>
      </c>
      <c r="E16">
        <v>56692529.949550301</v>
      </c>
      <c r="F16">
        <v>60710136.976332106</v>
      </c>
      <c r="G16">
        <v>62431968.55923859</v>
      </c>
      <c r="H16">
        <v>62431968.55923859</v>
      </c>
      <c r="I16">
        <v>62431968.55923859</v>
      </c>
      <c r="J16">
        <v>62431968.55923859</v>
      </c>
      <c r="K16">
        <v>62431968.55923859</v>
      </c>
    </row>
    <row r="17" spans="1:11" x14ac:dyDescent="0.25">
      <c r="A17" t="s">
        <v>16</v>
      </c>
      <c r="B17">
        <v>215154615.59397528</v>
      </c>
      <c r="C17">
        <v>215154615.59397528</v>
      </c>
      <c r="D17">
        <v>215154615.59397528</v>
      </c>
      <c r="E17">
        <v>215154615.59397528</v>
      </c>
      <c r="F17">
        <v>215154615.59397528</v>
      </c>
      <c r="G17">
        <v>215154615.59397528</v>
      </c>
      <c r="H17">
        <v>215154615.59397528</v>
      </c>
      <c r="I17">
        <v>215154615.59397528</v>
      </c>
      <c r="J17">
        <v>215154615.59397528</v>
      </c>
      <c r="K17">
        <v>215154615.59397528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10F-886D-4A67-8ED4-FA119A104A81}">
  <dimension ref="A1:K17"/>
  <sheetViews>
    <sheetView zoomScale="106" zoomScaleNormal="106" workbookViewId="0">
      <selection activeCell="BM48" sqref="BM48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4" max="5" width="12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>
        <v>5</v>
      </c>
      <c r="G1" s="2">
        <v>6</v>
      </c>
      <c r="H1">
        <v>7</v>
      </c>
      <c r="I1">
        <v>8</v>
      </c>
      <c r="J1" s="2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v>7949548.5352710728</v>
      </c>
      <c r="F2">
        <v>7949548.5352710728</v>
      </c>
      <c r="G2">
        <v>7313584.6524493871</v>
      </c>
      <c r="H2">
        <v>7949548.5352710728</v>
      </c>
      <c r="I2">
        <v>7949548.5352710728</v>
      </c>
      <c r="J2">
        <v>6728497.880253436</v>
      </c>
      <c r="K2">
        <v>7949548.5352710728</v>
      </c>
    </row>
    <row r="3" spans="1:11" x14ac:dyDescent="0.25">
      <c r="A3" t="s">
        <v>2</v>
      </c>
      <c r="B3">
        <v>15450151.83290972</v>
      </c>
      <c r="C3">
        <v>15450151.83290972</v>
      </c>
      <c r="D3">
        <v>15450151.832909729</v>
      </c>
      <c r="E3">
        <v>15247877.786332492</v>
      </c>
      <c r="F3">
        <v>15450151.83290972</v>
      </c>
      <c r="G3">
        <v>14028047.563425891</v>
      </c>
      <c r="H3">
        <v>15450151.83290972</v>
      </c>
      <c r="I3">
        <v>15450151.83290972</v>
      </c>
      <c r="J3">
        <v>12905803.75835182</v>
      </c>
      <c r="K3">
        <v>15450151.83290972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v>12420872.49830904</v>
      </c>
      <c r="F4">
        <v>12420872.49830904</v>
      </c>
      <c r="G4">
        <v>11427202.698444318</v>
      </c>
      <c r="H4">
        <v>12420872.49830904</v>
      </c>
      <c r="I4">
        <v>12420872.49830904</v>
      </c>
      <c r="J4">
        <v>10513026.482568773</v>
      </c>
      <c r="K4">
        <v>12420872.49830904</v>
      </c>
    </row>
    <row r="5" spans="1:11" x14ac:dyDescent="0.25">
      <c r="A5" t="s">
        <v>4</v>
      </c>
      <c r="B5">
        <v>74900970.671990186</v>
      </c>
      <c r="C5">
        <v>74900970.671990186</v>
      </c>
      <c r="D5">
        <v>68908893.01823099</v>
      </c>
      <c r="E5">
        <v>68908893.01823099</v>
      </c>
      <c r="F5">
        <v>74900970.671990186</v>
      </c>
      <c r="G5">
        <v>63396181.576772504</v>
      </c>
      <c r="H5">
        <v>74900970.671990186</v>
      </c>
      <c r="I5">
        <v>74900970.671990186</v>
      </c>
      <c r="J5">
        <v>58324487.050630704</v>
      </c>
      <c r="K5">
        <v>74900970.671990186</v>
      </c>
    </row>
    <row r="6" spans="1:11" x14ac:dyDescent="0.25">
      <c r="A6" t="s">
        <v>5</v>
      </c>
      <c r="B6">
        <v>21518237.22730656</v>
      </c>
      <c r="C6">
        <v>21518237.22730656</v>
      </c>
      <c r="D6">
        <v>19796778.249122031</v>
      </c>
      <c r="E6">
        <v>19796778.249122031</v>
      </c>
      <c r="F6">
        <v>21518237.22730656</v>
      </c>
      <c r="G6">
        <v>18213035.98919227</v>
      </c>
      <c r="H6">
        <v>21518237.22730656</v>
      </c>
      <c r="I6">
        <v>21518237.22730656</v>
      </c>
      <c r="J6">
        <v>16755993.110056888</v>
      </c>
      <c r="K6">
        <v>21518237.22730656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v>2349240.4312147759</v>
      </c>
      <c r="F7">
        <v>2349240.4312147759</v>
      </c>
      <c r="G7">
        <v>2161301.1967175938</v>
      </c>
      <c r="H7">
        <v>2349240.4312147759</v>
      </c>
      <c r="I7">
        <v>2349240.4312147759</v>
      </c>
      <c r="J7">
        <v>1988397.1009801864</v>
      </c>
      <c r="K7">
        <v>2349240.4312147759</v>
      </c>
    </row>
    <row r="8" spans="1:11" x14ac:dyDescent="0.25">
      <c r="A8" t="s">
        <v>7</v>
      </c>
      <c r="B8">
        <v>144142122.96536511</v>
      </c>
      <c r="C8">
        <v>144142122.96536511</v>
      </c>
      <c r="D8">
        <v>144116629.01340732</v>
      </c>
      <c r="E8">
        <v>133172095.49182171</v>
      </c>
      <c r="F8">
        <v>144142122.96536511</v>
      </c>
      <c r="G8">
        <v>122518327.852476</v>
      </c>
      <c r="H8">
        <v>144142122.96536511</v>
      </c>
      <c r="I8">
        <v>144142122.96536511</v>
      </c>
      <c r="J8">
        <v>112716861.62427792</v>
      </c>
      <c r="K8">
        <v>144142122.96536511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v>18183171.36153648</v>
      </c>
      <c r="F9">
        <v>18183171.36153648</v>
      </c>
      <c r="G9">
        <v>16728517.652613563</v>
      </c>
      <c r="H9">
        <v>18183171.36153648</v>
      </c>
      <c r="I9">
        <v>18183171.36153648</v>
      </c>
      <c r="J9">
        <v>15390236.240404479</v>
      </c>
      <c r="K9">
        <v>18183171.36153648</v>
      </c>
    </row>
    <row r="10" spans="1:11" x14ac:dyDescent="0.25">
      <c r="A10" t="s">
        <v>9</v>
      </c>
      <c r="B10">
        <v>21707221.726454869</v>
      </c>
      <c r="C10">
        <v>21707221.726454869</v>
      </c>
      <c r="D10">
        <v>20235709.335762221</v>
      </c>
      <c r="E10">
        <v>20235709.335762221</v>
      </c>
      <c r="F10">
        <v>21707221.726454869</v>
      </c>
      <c r="G10">
        <v>18616852.588901244</v>
      </c>
      <c r="H10">
        <v>21707221.726454869</v>
      </c>
      <c r="I10">
        <v>21707221.726454869</v>
      </c>
      <c r="J10">
        <v>17127504.381789144</v>
      </c>
      <c r="K10">
        <v>21707221.726454869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v>9165935.6035880148</v>
      </c>
      <c r="F11">
        <v>9165935.6035880148</v>
      </c>
      <c r="G11">
        <v>8432660.7553009745</v>
      </c>
      <c r="H11">
        <v>9165935.6035880148</v>
      </c>
      <c r="I11">
        <v>9165935.6035880148</v>
      </c>
      <c r="J11">
        <v>7758047.8948768964</v>
      </c>
      <c r="K11">
        <v>9165935.6035880148</v>
      </c>
    </row>
    <row r="12" spans="1:11" x14ac:dyDescent="0.25">
      <c r="A12" t="s">
        <v>11</v>
      </c>
      <c r="B12">
        <v>26738186.297844511</v>
      </c>
      <c r="C12">
        <v>26738186.297844511</v>
      </c>
      <c r="D12">
        <v>4657611.0933008147</v>
      </c>
      <c r="E12">
        <v>4657611.0933008147</v>
      </c>
      <c r="F12">
        <v>26738186.297844511</v>
      </c>
      <c r="G12">
        <v>4285002.2058367496</v>
      </c>
      <c r="H12">
        <v>26738186.297844511</v>
      </c>
      <c r="I12">
        <v>26738186.297844511</v>
      </c>
      <c r="J12">
        <v>3942202.0293698097</v>
      </c>
      <c r="K12">
        <v>26738186.297844511</v>
      </c>
    </row>
    <row r="13" spans="1:11" x14ac:dyDescent="0.25">
      <c r="A13" t="s">
        <v>12</v>
      </c>
      <c r="B13">
        <v>5043969.2807456898</v>
      </c>
      <c r="C13">
        <v>5043969.2807456898</v>
      </c>
      <c r="D13">
        <v>61649188.667712383</v>
      </c>
      <c r="E13">
        <v>56717253.574295394</v>
      </c>
      <c r="F13">
        <v>5043969.2807456898</v>
      </c>
      <c r="G13">
        <v>52179873.288351767</v>
      </c>
      <c r="H13">
        <v>5043969.2807456898</v>
      </c>
      <c r="I13">
        <v>5043969.2807456898</v>
      </c>
      <c r="J13">
        <v>48005483.425283626</v>
      </c>
      <c r="K13">
        <v>5043969.2807456898</v>
      </c>
    </row>
    <row r="14" spans="1:11" x14ac:dyDescent="0.25">
      <c r="A14" t="s">
        <v>13</v>
      </c>
      <c r="B14">
        <v>61649188.667712383</v>
      </c>
      <c r="C14">
        <v>61649188.667712383</v>
      </c>
      <c r="D14">
        <v>24787050.316215172</v>
      </c>
      <c r="E14">
        <v>24787050.316215172</v>
      </c>
      <c r="F14">
        <v>61649188.667712383</v>
      </c>
      <c r="G14">
        <v>22804086.290917967</v>
      </c>
      <c r="H14">
        <v>61649188.667712383</v>
      </c>
      <c r="I14">
        <v>61649188.667712383</v>
      </c>
      <c r="J14">
        <v>20979759.387644526</v>
      </c>
      <c r="K14">
        <v>61649188.667712383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v>9235192.8695368953</v>
      </c>
      <c r="F15">
        <v>9235192.8695368953</v>
      </c>
      <c r="G15">
        <v>8496377.4399739448</v>
      </c>
      <c r="H15">
        <v>9235192.8695368953</v>
      </c>
      <c r="I15">
        <v>9235192.8695368953</v>
      </c>
      <c r="J15">
        <v>7816667.2447760291</v>
      </c>
      <c r="K15">
        <v>9235192.8695368953</v>
      </c>
    </row>
    <row r="16" spans="1:11" x14ac:dyDescent="0.25">
      <c r="A16" t="s">
        <v>15</v>
      </c>
      <c r="B16">
        <v>62431968.559238598</v>
      </c>
      <c r="C16">
        <v>62431968.559238598</v>
      </c>
      <c r="D16">
        <v>62431968.55923859</v>
      </c>
      <c r="E16">
        <v>62431968.55923859</v>
      </c>
      <c r="F16">
        <v>62431968.559238598</v>
      </c>
      <c r="G16">
        <v>57437411.07449951</v>
      </c>
      <c r="H16">
        <v>62431968.559238598</v>
      </c>
      <c r="I16">
        <v>62431968.559238598</v>
      </c>
      <c r="J16">
        <v>52842418.18853955</v>
      </c>
      <c r="K16">
        <v>62431968.559238598</v>
      </c>
    </row>
    <row r="17" spans="1:11" x14ac:dyDescent="0.25">
      <c r="A17" t="s">
        <v>16</v>
      </c>
      <c r="B17">
        <v>215154615.59397531</v>
      </c>
      <c r="C17">
        <v>215154615.59397531</v>
      </c>
      <c r="D17">
        <v>201524479.04772371</v>
      </c>
      <c r="E17">
        <v>200787199.04530358</v>
      </c>
      <c r="F17">
        <v>215154615.59397531</v>
      </c>
      <c r="G17">
        <v>184724223.12167928</v>
      </c>
      <c r="H17">
        <v>215154615.59397531</v>
      </c>
      <c r="I17">
        <v>215154615.59397531</v>
      </c>
      <c r="J17">
        <v>169946285.27194494</v>
      </c>
      <c r="K17">
        <v>215154615.59397531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A8EC-A6E3-4FA3-9625-017F6CBA2BFF}">
  <dimension ref="A1:K17"/>
  <sheetViews>
    <sheetView workbookViewId="0">
      <selection activeCell="K2" sqref="K2:K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4">
        <v>2</v>
      </c>
      <c r="D1">
        <v>3</v>
      </c>
      <c r="E1" s="2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v>7949548.5352710728</v>
      </c>
      <c r="F2">
        <v>7949548.5352710728</v>
      </c>
      <c r="G2">
        <v>7949548.5352710728</v>
      </c>
      <c r="H2">
        <v>7552071.1085075187</v>
      </c>
      <c r="I2">
        <v>7949548.5352710728</v>
      </c>
      <c r="J2">
        <v>7949548.5352710728</v>
      </c>
      <c r="K2">
        <v>7949548.5352710728</v>
      </c>
    </row>
    <row r="3" spans="1:11" x14ac:dyDescent="0.25">
      <c r="A3" t="s">
        <v>2</v>
      </c>
      <c r="B3">
        <v>15450151.832909729</v>
      </c>
      <c r="C3">
        <v>15450151.832909729</v>
      </c>
      <c r="D3">
        <v>15450151.832909729</v>
      </c>
      <c r="E3">
        <v>15450151.832909729</v>
      </c>
      <c r="F3">
        <v>15450151.832909729</v>
      </c>
      <c r="G3">
        <v>15450151.832909729</v>
      </c>
      <c r="H3">
        <v>15450151.832909729</v>
      </c>
      <c r="I3">
        <v>15450151.832909729</v>
      </c>
      <c r="J3">
        <v>15450151.83290972</v>
      </c>
      <c r="K3">
        <v>15450151.832909729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v>12420872.49830904</v>
      </c>
      <c r="F4">
        <v>12420872.49830904</v>
      </c>
      <c r="G4">
        <v>12420872.49830904</v>
      </c>
      <c r="H4">
        <v>11799828.873393588</v>
      </c>
      <c r="I4">
        <v>12420872.49830904</v>
      </c>
      <c r="J4">
        <v>12420872.49830904</v>
      </c>
      <c r="K4">
        <v>12420872.49830904</v>
      </c>
    </row>
    <row r="5" spans="1:11" x14ac:dyDescent="0.25">
      <c r="A5" t="s">
        <v>4</v>
      </c>
      <c r="B5">
        <v>74900970.671990201</v>
      </c>
      <c r="C5">
        <v>74900970.671990201</v>
      </c>
      <c r="D5">
        <v>74900970.671990201</v>
      </c>
      <c r="E5">
        <v>73694205.488994569</v>
      </c>
      <c r="F5">
        <v>72547778.565148726</v>
      </c>
      <c r="G5">
        <v>74900970.671990201</v>
      </c>
      <c r="H5">
        <v>71458672.987495154</v>
      </c>
      <c r="I5">
        <v>74900970.671990201</v>
      </c>
      <c r="J5">
        <v>74900970.671990186</v>
      </c>
      <c r="K5">
        <v>74900970.671990201</v>
      </c>
    </row>
    <row r="6" spans="1:11" x14ac:dyDescent="0.25">
      <c r="A6" t="s">
        <v>5</v>
      </c>
      <c r="B6">
        <v>21518237.227306552</v>
      </c>
      <c r="C6">
        <v>21518237.227306552</v>
      </c>
      <c r="D6">
        <v>21518237.227306552</v>
      </c>
      <c r="E6">
        <v>21518237.227306552</v>
      </c>
      <c r="F6">
        <v>21518237.227306552</v>
      </c>
      <c r="G6">
        <v>21518237.227306552</v>
      </c>
      <c r="H6">
        <v>21518237.227306552</v>
      </c>
      <c r="I6">
        <v>21518237.227306552</v>
      </c>
      <c r="J6">
        <v>21518237.22730656</v>
      </c>
      <c r="K6">
        <v>21518237.227306552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v>2349240.4312147759</v>
      </c>
      <c r="F7">
        <v>2349240.4312147759</v>
      </c>
      <c r="G7">
        <v>2349240.4312147759</v>
      </c>
      <c r="H7">
        <v>2349240.4312147759</v>
      </c>
      <c r="I7">
        <v>2349240.4312147759</v>
      </c>
      <c r="J7">
        <v>2349240.4312147759</v>
      </c>
      <c r="K7">
        <v>2349240.4312147759</v>
      </c>
    </row>
    <row r="8" spans="1:11" x14ac:dyDescent="0.25">
      <c r="A8" t="s">
        <v>7</v>
      </c>
      <c r="B8">
        <v>144142122.96536517</v>
      </c>
      <c r="C8">
        <v>144142122.96536517</v>
      </c>
      <c r="D8">
        <v>144142122.96536517</v>
      </c>
      <c r="E8">
        <v>144142122.96536517</v>
      </c>
      <c r="F8">
        <v>141912816.71071434</v>
      </c>
      <c r="G8">
        <v>144142122.96536517</v>
      </c>
      <c r="H8">
        <v>139794975.76879606</v>
      </c>
      <c r="I8">
        <v>144142122.96536517</v>
      </c>
      <c r="J8">
        <v>144142122.96536511</v>
      </c>
      <c r="K8">
        <v>144142122.96536517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v>18183171.36153648</v>
      </c>
      <c r="F9">
        <v>18183171.36153648</v>
      </c>
      <c r="G9">
        <v>18183171.36153648</v>
      </c>
      <c r="H9">
        <v>18183171.36153648</v>
      </c>
      <c r="I9">
        <v>18183171.36153648</v>
      </c>
      <c r="J9">
        <v>18183171.36153648</v>
      </c>
      <c r="K9">
        <v>18183171.36153648</v>
      </c>
    </row>
    <row r="10" spans="1:11" x14ac:dyDescent="0.25">
      <c r="A10" t="s">
        <v>9</v>
      </c>
      <c r="B10">
        <v>21707221.726454861</v>
      </c>
      <c r="C10">
        <v>21707221.726454861</v>
      </c>
      <c r="D10">
        <v>21707221.726454861</v>
      </c>
      <c r="E10">
        <v>20464478.090099264</v>
      </c>
      <c r="F10">
        <v>19441254.185594298</v>
      </c>
      <c r="G10">
        <v>21707221.726454861</v>
      </c>
      <c r="H10">
        <v>18469191.476314582</v>
      </c>
      <c r="I10">
        <v>21707221.726454861</v>
      </c>
      <c r="J10">
        <v>21707221.726454869</v>
      </c>
      <c r="K10">
        <v>21707221.726454861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v>9165935.6035880148</v>
      </c>
      <c r="F11">
        <v>9165935.6035880148</v>
      </c>
      <c r="G11">
        <v>9165935.6035880148</v>
      </c>
      <c r="H11">
        <v>9165935.6035880148</v>
      </c>
      <c r="I11">
        <v>9165935.6035880148</v>
      </c>
      <c r="J11">
        <v>9165935.6035880148</v>
      </c>
      <c r="K11">
        <v>9165935.6035880148</v>
      </c>
    </row>
    <row r="12" spans="1:11" x14ac:dyDescent="0.25">
      <c r="A12" t="s">
        <v>11</v>
      </c>
      <c r="B12">
        <v>5043969.2807456898</v>
      </c>
      <c r="C12">
        <v>5043969.2807456898</v>
      </c>
      <c r="D12">
        <v>5043969.2807456898</v>
      </c>
      <c r="E12">
        <v>4802495.4135926422</v>
      </c>
      <c r="F12">
        <v>4573095.2397972476</v>
      </c>
      <c r="G12">
        <v>5043969.2807456898</v>
      </c>
      <c r="H12">
        <v>4355165.0746916225</v>
      </c>
      <c r="I12">
        <v>5043969.2807456898</v>
      </c>
      <c r="J12">
        <v>26738186.297844511</v>
      </c>
      <c r="K12">
        <v>5043969.2807456898</v>
      </c>
    </row>
    <row r="13" spans="1:11" x14ac:dyDescent="0.25">
      <c r="A13" t="s">
        <v>12</v>
      </c>
      <c r="B13">
        <v>61649188.667712383</v>
      </c>
      <c r="C13">
        <v>61649188.667712383</v>
      </c>
      <c r="D13">
        <v>61649188.667712383</v>
      </c>
      <c r="E13">
        <v>61649188.667712383</v>
      </c>
      <c r="F13">
        <v>58566729.234326757</v>
      </c>
      <c r="G13">
        <v>61649188.667712383</v>
      </c>
      <c r="H13">
        <v>55638392.772610418</v>
      </c>
      <c r="I13">
        <v>61649188.667712383</v>
      </c>
      <c r="J13">
        <v>5043969.2807456898</v>
      </c>
      <c r="K13">
        <v>61649188.667712383</v>
      </c>
    </row>
    <row r="14" spans="1:11" x14ac:dyDescent="0.25">
      <c r="A14" t="s">
        <v>13</v>
      </c>
      <c r="B14">
        <v>26738186.297844507</v>
      </c>
      <c r="C14">
        <v>26738186.297844507</v>
      </c>
      <c r="D14">
        <v>26738186.297844507</v>
      </c>
      <c r="E14">
        <v>26536803.918173049</v>
      </c>
      <c r="F14">
        <v>26345490.657485161</v>
      </c>
      <c r="G14">
        <v>26738186.297844507</v>
      </c>
      <c r="H14">
        <v>26163743.059831668</v>
      </c>
      <c r="I14">
        <v>26738186.297844507</v>
      </c>
      <c r="J14">
        <v>61649188.667712383</v>
      </c>
      <c r="K14">
        <v>26738186.297844507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v>9235192.8695368953</v>
      </c>
      <c r="F15">
        <v>9235192.8695368953</v>
      </c>
      <c r="G15">
        <v>9235192.8695368953</v>
      </c>
      <c r="H15">
        <v>8773433.2260600496</v>
      </c>
      <c r="I15">
        <v>9235192.8695368953</v>
      </c>
      <c r="J15">
        <v>9235192.8695368953</v>
      </c>
      <c r="K15">
        <v>9235192.8695368953</v>
      </c>
    </row>
    <row r="16" spans="1:11" x14ac:dyDescent="0.25">
      <c r="A16" t="s">
        <v>15</v>
      </c>
      <c r="B16">
        <v>62431968.55923859</v>
      </c>
      <c r="C16">
        <v>62431968.55923859</v>
      </c>
      <c r="D16">
        <v>62431968.55923859</v>
      </c>
      <c r="E16">
        <v>62431968.55923859</v>
      </c>
      <c r="F16">
        <v>62431968.55923859</v>
      </c>
      <c r="G16">
        <v>62431968.55923859</v>
      </c>
      <c r="H16">
        <v>59562249.254394442</v>
      </c>
      <c r="I16">
        <v>62431968.55923859</v>
      </c>
      <c r="J16">
        <v>62431968.559238598</v>
      </c>
      <c r="K16">
        <v>62431968.55923859</v>
      </c>
    </row>
    <row r="17" spans="1:11" x14ac:dyDescent="0.25">
      <c r="A17" t="s">
        <v>16</v>
      </c>
      <c r="B17">
        <v>215154615.59397528</v>
      </c>
      <c r="C17">
        <v>215154615.59397528</v>
      </c>
      <c r="D17">
        <v>215154615.59397528</v>
      </c>
      <c r="E17">
        <v>212149834.92079851</v>
      </c>
      <c r="F17">
        <v>209310331.62678665</v>
      </c>
      <c r="G17">
        <v>215154615.59397528</v>
      </c>
      <c r="H17">
        <v>206612803.49747539</v>
      </c>
      <c r="I17">
        <v>215154615.59397528</v>
      </c>
      <c r="J17">
        <v>215154615.59397531</v>
      </c>
      <c r="K17">
        <v>215154615.59397528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2A7E-97D6-493D-A2C3-34F8E1A0C2EF}">
  <dimension ref="A1:K17"/>
  <sheetViews>
    <sheetView workbookViewId="0">
      <selection activeCell="K2" sqref="K2:K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>
        <v>2</v>
      </c>
      <c r="D1" s="2">
        <v>3</v>
      </c>
      <c r="E1" s="2">
        <v>4</v>
      </c>
      <c r="F1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v>7949548.5352710728</v>
      </c>
      <c r="F2">
        <v>7949548.5352710728</v>
      </c>
      <c r="G2">
        <v>7949548.5352710728</v>
      </c>
      <c r="H2">
        <v>7949548.5352710728</v>
      </c>
      <c r="I2">
        <v>7949548.5352710728</v>
      </c>
      <c r="J2">
        <v>7949548.5352710728</v>
      </c>
      <c r="K2">
        <v>7949548.5352710728</v>
      </c>
    </row>
    <row r="3" spans="1:11" x14ac:dyDescent="0.25">
      <c r="A3" t="s">
        <v>2</v>
      </c>
      <c r="B3">
        <v>15450151.832909729</v>
      </c>
      <c r="C3">
        <v>15450151.832909729</v>
      </c>
      <c r="D3">
        <v>15450151.83290972</v>
      </c>
      <c r="E3">
        <v>15450151.83290972</v>
      </c>
      <c r="F3">
        <v>15450151.832909729</v>
      </c>
      <c r="G3">
        <v>15450151.832909729</v>
      </c>
      <c r="H3">
        <v>15450151.83290972</v>
      </c>
      <c r="I3">
        <v>15450151.832909729</v>
      </c>
      <c r="J3">
        <v>15450151.83290972</v>
      </c>
      <c r="K3">
        <v>15450151.832909729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v>12420872.49830904</v>
      </c>
      <c r="F4">
        <v>12420872.49830904</v>
      </c>
      <c r="G4">
        <v>12420872.49830904</v>
      </c>
      <c r="H4">
        <v>12420872.49830904</v>
      </c>
      <c r="I4">
        <v>12420872.49830904</v>
      </c>
      <c r="J4">
        <v>12420872.49830904</v>
      </c>
      <c r="K4">
        <v>12420872.49830904</v>
      </c>
    </row>
    <row r="5" spans="1:11" x14ac:dyDescent="0.25">
      <c r="A5" t="s">
        <v>4</v>
      </c>
      <c r="B5">
        <v>74900970.671990201</v>
      </c>
      <c r="C5">
        <v>74900970.671990201</v>
      </c>
      <c r="D5">
        <v>74900970.671990186</v>
      </c>
      <c r="E5">
        <v>74900970.671990186</v>
      </c>
      <c r="F5">
        <v>74900970.671990201</v>
      </c>
      <c r="G5">
        <v>74900970.671990201</v>
      </c>
      <c r="H5">
        <v>74900970.671990186</v>
      </c>
      <c r="I5">
        <v>74900970.671990201</v>
      </c>
      <c r="J5">
        <v>74900970.671990186</v>
      </c>
      <c r="K5">
        <v>74900970.671990201</v>
      </c>
    </row>
    <row r="6" spans="1:11" x14ac:dyDescent="0.25">
      <c r="A6" t="s">
        <v>5</v>
      </c>
      <c r="B6">
        <v>21518237.227306552</v>
      </c>
      <c r="C6">
        <v>21518237.227306552</v>
      </c>
      <c r="D6">
        <v>21518237.22730656</v>
      </c>
      <c r="E6">
        <v>21518237.22730656</v>
      </c>
      <c r="F6">
        <v>21518237.227306552</v>
      </c>
      <c r="G6">
        <v>21518237.227306552</v>
      </c>
      <c r="H6">
        <v>21518237.22730656</v>
      </c>
      <c r="I6">
        <v>21518237.227306552</v>
      </c>
      <c r="J6">
        <v>21518237.22730656</v>
      </c>
      <c r="K6">
        <v>21518237.227306552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2349240.4312147759</v>
      </c>
      <c r="E7">
        <v>2349240.4312147759</v>
      </c>
      <c r="F7">
        <v>2349240.4312147759</v>
      </c>
      <c r="G7">
        <v>2349240.4312147759</v>
      </c>
      <c r="H7">
        <v>2349240.4312147759</v>
      </c>
      <c r="I7">
        <v>2349240.4312147759</v>
      </c>
      <c r="J7">
        <v>2349240.4312147759</v>
      </c>
      <c r="K7">
        <v>2349240.4312147759</v>
      </c>
    </row>
    <row r="8" spans="1:11" x14ac:dyDescent="0.25">
      <c r="A8" t="s">
        <v>7</v>
      </c>
      <c r="B8">
        <v>144142122.96536517</v>
      </c>
      <c r="C8">
        <v>144142122.96536517</v>
      </c>
      <c r="D8">
        <v>144142122.96536511</v>
      </c>
      <c r="E8">
        <v>144142122.96536511</v>
      </c>
      <c r="F8">
        <v>144142122.96536517</v>
      </c>
      <c r="G8">
        <v>144142122.96536517</v>
      </c>
      <c r="H8">
        <v>144142122.96536511</v>
      </c>
      <c r="I8">
        <v>144142122.96536517</v>
      </c>
      <c r="J8">
        <v>144142122.96536511</v>
      </c>
      <c r="K8">
        <v>144142122.96536517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18183171.36153648</v>
      </c>
      <c r="E9">
        <v>18183171.36153648</v>
      </c>
      <c r="F9">
        <v>18183171.36153648</v>
      </c>
      <c r="G9">
        <v>18183171.36153648</v>
      </c>
      <c r="H9">
        <v>18183171.36153648</v>
      </c>
      <c r="I9">
        <v>18183171.36153648</v>
      </c>
      <c r="J9">
        <v>18183171.36153648</v>
      </c>
      <c r="K9">
        <v>18183171.36153648</v>
      </c>
    </row>
    <row r="10" spans="1:11" x14ac:dyDescent="0.25">
      <c r="A10" t="s">
        <v>9</v>
      </c>
      <c r="B10">
        <v>21707221.726454861</v>
      </c>
      <c r="C10">
        <v>21707221.726454861</v>
      </c>
      <c r="D10">
        <v>21707221.726454869</v>
      </c>
      <c r="E10">
        <v>21707221.726454869</v>
      </c>
      <c r="F10">
        <v>21707221.726454861</v>
      </c>
      <c r="G10">
        <v>21707221.726454861</v>
      </c>
      <c r="H10">
        <v>21707221.726454869</v>
      </c>
      <c r="I10">
        <v>21707221.726454861</v>
      </c>
      <c r="J10">
        <v>21707221.726454869</v>
      </c>
      <c r="K10">
        <v>21707221.726454861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9165935.6035880148</v>
      </c>
      <c r="E11">
        <v>9165935.6035880148</v>
      </c>
      <c r="F11">
        <v>9165935.6035880148</v>
      </c>
      <c r="G11">
        <v>9165935.6035880148</v>
      </c>
      <c r="H11">
        <v>9165935.6035880148</v>
      </c>
      <c r="I11">
        <v>9165935.6035880148</v>
      </c>
      <c r="J11">
        <v>9165935.6035880148</v>
      </c>
      <c r="K11">
        <v>9165935.6035880148</v>
      </c>
    </row>
    <row r="12" spans="1:11" x14ac:dyDescent="0.25">
      <c r="A12" t="s">
        <v>11</v>
      </c>
      <c r="B12">
        <v>5043969.2807456898</v>
      </c>
      <c r="C12">
        <v>5043969.2807456898</v>
      </c>
      <c r="D12">
        <v>26738186.297844511</v>
      </c>
      <c r="E12">
        <v>26738186.297844511</v>
      </c>
      <c r="F12">
        <v>5043969.2807456898</v>
      </c>
      <c r="G12">
        <v>5043969.2807456898</v>
      </c>
      <c r="H12">
        <v>26738186.297844511</v>
      </c>
      <c r="I12">
        <v>5043969.2807456898</v>
      </c>
      <c r="J12">
        <v>26738186.297844511</v>
      </c>
      <c r="K12">
        <v>5043969.2807456898</v>
      </c>
    </row>
    <row r="13" spans="1:11" x14ac:dyDescent="0.25">
      <c r="A13" t="s">
        <v>12</v>
      </c>
      <c r="B13">
        <v>61649188.667712383</v>
      </c>
      <c r="C13">
        <v>61649188.667712383</v>
      </c>
      <c r="D13">
        <v>5043969.2807456898</v>
      </c>
      <c r="E13">
        <v>5043969.2807456898</v>
      </c>
      <c r="F13">
        <v>61649188.667712383</v>
      </c>
      <c r="G13">
        <v>61649188.667712383</v>
      </c>
      <c r="H13">
        <v>5043969.2807456898</v>
      </c>
      <c r="I13">
        <v>61649188.667712383</v>
      </c>
      <c r="J13">
        <v>5043969.2807456898</v>
      </c>
      <c r="K13">
        <v>61649188.667712383</v>
      </c>
    </row>
    <row r="14" spans="1:11" x14ac:dyDescent="0.25">
      <c r="A14" t="s">
        <v>13</v>
      </c>
      <c r="B14">
        <v>26738186.297844507</v>
      </c>
      <c r="C14">
        <v>26738186.297844507</v>
      </c>
      <c r="D14">
        <v>61649188.667712383</v>
      </c>
      <c r="E14">
        <v>61649188.667712383</v>
      </c>
      <c r="F14">
        <v>26738186.297844507</v>
      </c>
      <c r="G14">
        <v>26738186.297844507</v>
      </c>
      <c r="H14">
        <v>61649188.667712383</v>
      </c>
      <c r="I14">
        <v>26738186.297844507</v>
      </c>
      <c r="J14">
        <v>61649188.667712383</v>
      </c>
      <c r="K14">
        <v>26738186.297844507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v>9235192.8695368953</v>
      </c>
      <c r="F15">
        <v>9235192.8695368953</v>
      </c>
      <c r="G15">
        <v>9235192.8695368953</v>
      </c>
      <c r="H15">
        <v>9235192.8695368953</v>
      </c>
      <c r="I15">
        <v>9235192.8695368953</v>
      </c>
      <c r="J15">
        <v>9235192.8695368953</v>
      </c>
      <c r="K15">
        <v>9235192.8695368953</v>
      </c>
    </row>
    <row r="16" spans="1:11" x14ac:dyDescent="0.25">
      <c r="A16" t="s">
        <v>15</v>
      </c>
      <c r="B16">
        <v>62431968.55923859</v>
      </c>
      <c r="C16">
        <v>62431968.55923859</v>
      </c>
      <c r="D16">
        <v>62431968.559238598</v>
      </c>
      <c r="E16">
        <v>62431968.559238598</v>
      </c>
      <c r="F16">
        <v>62431968.55923859</v>
      </c>
      <c r="G16">
        <v>62431968.55923859</v>
      </c>
      <c r="H16">
        <v>62431968.559238598</v>
      </c>
      <c r="I16">
        <v>62431968.55923859</v>
      </c>
      <c r="J16">
        <v>62431968.559238598</v>
      </c>
      <c r="K16">
        <v>62431968.55923859</v>
      </c>
    </row>
    <row r="17" spans="1:11" x14ac:dyDescent="0.25">
      <c r="A17" t="s">
        <v>16</v>
      </c>
      <c r="B17">
        <v>215154615.59397528</v>
      </c>
      <c r="C17">
        <v>215154615.59397528</v>
      </c>
      <c r="D17">
        <v>215154615.59397531</v>
      </c>
      <c r="E17">
        <v>215154615.59397531</v>
      </c>
      <c r="F17">
        <v>215154615.59397528</v>
      </c>
      <c r="G17">
        <v>215154615.59397528</v>
      </c>
      <c r="H17">
        <v>215154615.59397531</v>
      </c>
      <c r="I17">
        <v>215154615.59397528</v>
      </c>
      <c r="J17">
        <v>215154615.59397531</v>
      </c>
      <c r="K17">
        <v>215154615.59397528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24E-2072-4381-9CB4-77CC360E0A66}">
  <dimension ref="A1:K17"/>
  <sheetViews>
    <sheetView zoomScaleNormal="100" workbookViewId="0">
      <selection activeCell="K2" sqref="K2:K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1</v>
      </c>
      <c r="B2">
        <v>7949548.5352710728</v>
      </c>
      <c r="C2">
        <v>7949548.5352710728</v>
      </c>
      <c r="D2">
        <v>7949548.5352710728</v>
      </c>
      <c r="E2">
        <v>7949548.5352710728</v>
      </c>
      <c r="F2">
        <v>7949548.5352710728</v>
      </c>
      <c r="G2">
        <v>7949548.5352710728</v>
      </c>
      <c r="H2">
        <v>7949548.5352710728</v>
      </c>
      <c r="I2">
        <v>7949548.5352710728</v>
      </c>
      <c r="J2">
        <v>7393080.1378020979</v>
      </c>
      <c r="K2">
        <v>7949548.5352710728</v>
      </c>
    </row>
    <row r="3" spans="1:11" x14ac:dyDescent="0.25">
      <c r="A3" t="s">
        <v>2</v>
      </c>
      <c r="B3">
        <v>15450151.832909729</v>
      </c>
      <c r="C3">
        <v>15450151.832909729</v>
      </c>
      <c r="D3">
        <v>15062500.045388902</v>
      </c>
      <c r="E3">
        <v>15450151.832909729</v>
      </c>
      <c r="F3">
        <v>15062500.045388902</v>
      </c>
      <c r="G3">
        <v>15450151.832909729</v>
      </c>
      <c r="H3">
        <v>15062500.045388902</v>
      </c>
      <c r="I3">
        <v>15450151.832909729</v>
      </c>
      <c r="J3">
        <v>15062500.045388902</v>
      </c>
      <c r="K3">
        <v>15450151.832909729</v>
      </c>
    </row>
    <row r="4" spans="1:11" x14ac:dyDescent="0.25">
      <c r="A4" t="s">
        <v>3</v>
      </c>
      <c r="B4">
        <v>12420872.49830904</v>
      </c>
      <c r="C4">
        <v>12420872.49830904</v>
      </c>
      <c r="D4">
        <v>12420872.49830904</v>
      </c>
      <c r="E4">
        <v>12420872.49830904</v>
      </c>
      <c r="F4">
        <v>12420872.49830904</v>
      </c>
      <c r="G4">
        <v>12420872.49830904</v>
      </c>
      <c r="H4">
        <v>12420872.49830904</v>
      </c>
      <c r="I4">
        <v>12420872.49830904</v>
      </c>
      <c r="J4">
        <v>11551411.423427409</v>
      </c>
      <c r="K4">
        <v>12420872.49830904</v>
      </c>
    </row>
    <row r="5" spans="1:11" x14ac:dyDescent="0.25">
      <c r="A5" t="s">
        <v>4</v>
      </c>
      <c r="B5">
        <v>74900970.671990201</v>
      </c>
      <c r="C5">
        <v>74900970.671990201</v>
      </c>
      <c r="D5">
        <v>74618184.92344667</v>
      </c>
      <c r="E5">
        <v>74900970.671990201</v>
      </c>
      <c r="F5">
        <v>73546766.082617283</v>
      </c>
      <c r="G5">
        <v>74900970.671990201</v>
      </c>
      <c r="H5">
        <v>73546766.082617283</v>
      </c>
      <c r="I5">
        <v>74900970.671990201</v>
      </c>
      <c r="J5">
        <v>71463508.844114751</v>
      </c>
      <c r="K5">
        <v>74900970.671990201</v>
      </c>
    </row>
    <row r="6" spans="1:11" x14ac:dyDescent="0.25">
      <c r="A6" t="s">
        <v>5</v>
      </c>
      <c r="B6">
        <v>21518237.227306552</v>
      </c>
      <c r="C6">
        <v>21518237.227306552</v>
      </c>
      <c r="D6">
        <v>21518237.227306552</v>
      </c>
      <c r="E6">
        <v>21518237.227306552</v>
      </c>
      <c r="F6">
        <v>20953115.818593659</v>
      </c>
      <c r="G6">
        <v>21518237.227306552</v>
      </c>
      <c r="H6">
        <v>20953115.818593659</v>
      </c>
      <c r="I6">
        <v>21518237.227306552</v>
      </c>
      <c r="J6">
        <v>20765455.833012294</v>
      </c>
      <c r="K6">
        <v>21518237.227306552</v>
      </c>
    </row>
    <row r="7" spans="1:11" x14ac:dyDescent="0.25">
      <c r="A7" t="s">
        <v>6</v>
      </c>
      <c r="B7">
        <v>2349240.4312147759</v>
      </c>
      <c r="C7">
        <v>2349240.4312147759</v>
      </c>
      <c r="D7">
        <v>2278763.2182783326</v>
      </c>
      <c r="E7">
        <v>2349240.4312147759</v>
      </c>
      <c r="F7">
        <v>2278763.2182783326</v>
      </c>
      <c r="G7">
        <v>2349240.4312147759</v>
      </c>
      <c r="H7">
        <v>2278763.2182783326</v>
      </c>
      <c r="I7">
        <v>2349240.4312147759</v>
      </c>
      <c r="J7">
        <v>2278763.2182783326</v>
      </c>
      <c r="K7">
        <v>2349240.4312147759</v>
      </c>
    </row>
    <row r="8" spans="1:11" x14ac:dyDescent="0.25">
      <c r="A8" t="s">
        <v>7</v>
      </c>
      <c r="B8">
        <v>144142122.96536517</v>
      </c>
      <c r="C8">
        <v>144142122.96536517</v>
      </c>
      <c r="D8">
        <v>142584475.5942083</v>
      </c>
      <c r="E8">
        <v>144142122.96536517</v>
      </c>
      <c r="F8">
        <v>142561690.24039042</v>
      </c>
      <c r="G8">
        <v>144142122.96536517</v>
      </c>
      <c r="H8">
        <v>142510119.3895826</v>
      </c>
      <c r="I8">
        <v>144142122.96536517</v>
      </c>
      <c r="J8">
        <v>142510119.3895826</v>
      </c>
      <c r="K8">
        <v>144142122.96536517</v>
      </c>
    </row>
    <row r="9" spans="1:11" x14ac:dyDescent="0.25">
      <c r="A9" t="s">
        <v>8</v>
      </c>
      <c r="B9">
        <v>18183171.36153648</v>
      </c>
      <c r="C9">
        <v>18183171.36153648</v>
      </c>
      <c r="D9">
        <v>17637676.220690385</v>
      </c>
      <c r="E9">
        <v>18183171.36153648</v>
      </c>
      <c r="F9">
        <v>17637676.220690385</v>
      </c>
      <c r="G9">
        <v>18183171.36153648</v>
      </c>
      <c r="H9">
        <v>17637676.220690385</v>
      </c>
      <c r="I9">
        <v>18183171.36153648</v>
      </c>
      <c r="J9">
        <v>17637676.220690385</v>
      </c>
      <c r="K9">
        <v>18183171.36153648</v>
      </c>
    </row>
    <row r="10" spans="1:11" x14ac:dyDescent="0.25">
      <c r="A10" t="s">
        <v>9</v>
      </c>
      <c r="B10">
        <v>21707221.726454861</v>
      </c>
      <c r="C10">
        <v>21707221.726454861</v>
      </c>
      <c r="D10">
        <v>21707221.726454861</v>
      </c>
      <c r="E10">
        <v>21707221.726454861</v>
      </c>
      <c r="F10">
        <v>21707221.726454861</v>
      </c>
      <c r="G10">
        <v>21707221.726454861</v>
      </c>
      <c r="H10">
        <v>21475289.547459081</v>
      </c>
      <c r="I10">
        <v>21707221.726454861</v>
      </c>
      <c r="J10">
        <v>20187716.205603022</v>
      </c>
      <c r="K10">
        <v>21707221.726454861</v>
      </c>
    </row>
    <row r="11" spans="1:11" x14ac:dyDescent="0.25">
      <c r="A11" t="s">
        <v>10</v>
      </c>
      <c r="B11">
        <v>9165935.6035880148</v>
      </c>
      <c r="C11">
        <v>9165935.6035880148</v>
      </c>
      <c r="D11">
        <v>8890957.5354803745</v>
      </c>
      <c r="E11">
        <v>9165935.6035880148</v>
      </c>
      <c r="F11">
        <v>8624228.8094159625</v>
      </c>
      <c r="G11">
        <v>9165935.6035880148</v>
      </c>
      <c r="H11">
        <v>8020532.7927568452</v>
      </c>
      <c r="I11">
        <v>9165935.6035880148</v>
      </c>
      <c r="J11">
        <v>8020532.7927568452</v>
      </c>
      <c r="K11">
        <v>9165935.6035880148</v>
      </c>
    </row>
    <row r="12" spans="1:11" x14ac:dyDescent="0.25">
      <c r="A12" t="s">
        <v>11</v>
      </c>
      <c r="B12">
        <v>5043969.2807456898</v>
      </c>
      <c r="C12">
        <v>5043969.2807456898</v>
      </c>
      <c r="D12">
        <v>5037534.5226151478</v>
      </c>
      <c r="E12">
        <v>5043969.2807456898</v>
      </c>
      <c r="F12">
        <v>5037534.5226151478</v>
      </c>
      <c r="G12">
        <v>5043969.2807456898</v>
      </c>
      <c r="H12">
        <v>5037534.5226151478</v>
      </c>
      <c r="I12">
        <v>5043969.2807456898</v>
      </c>
      <c r="J12">
        <v>4699471.1086008819</v>
      </c>
      <c r="K12">
        <v>5043969.2807456898</v>
      </c>
    </row>
    <row r="13" spans="1:11" x14ac:dyDescent="0.25">
      <c r="A13" t="s">
        <v>12</v>
      </c>
      <c r="B13">
        <v>61649188.667712383</v>
      </c>
      <c r="C13">
        <v>61649188.667712383</v>
      </c>
      <c r="D13">
        <v>59799713.007681012</v>
      </c>
      <c r="E13">
        <v>61649188.667712383</v>
      </c>
      <c r="F13">
        <v>59799713.007681012</v>
      </c>
      <c r="G13">
        <v>61649188.667712383</v>
      </c>
      <c r="H13">
        <v>59799713.007681012</v>
      </c>
      <c r="I13">
        <v>61649188.667712383</v>
      </c>
      <c r="J13">
        <v>59799713.007681012</v>
      </c>
      <c r="K13">
        <v>61649188.667712383</v>
      </c>
    </row>
    <row r="14" spans="1:11" x14ac:dyDescent="0.25">
      <c r="A14" t="s">
        <v>13</v>
      </c>
      <c r="B14">
        <v>26738186.297844507</v>
      </c>
      <c r="C14">
        <v>26738186.297844507</v>
      </c>
      <c r="D14">
        <v>26489402.42899745</v>
      </c>
      <c r="E14">
        <v>26738186.297844507</v>
      </c>
      <c r="F14">
        <v>26002425.830639809</v>
      </c>
      <c r="G14">
        <v>26738186.297844507</v>
      </c>
      <c r="H14">
        <v>26002425.830639809</v>
      </c>
      <c r="I14">
        <v>26738186.297844507</v>
      </c>
      <c r="J14">
        <v>25847527.213268325</v>
      </c>
      <c r="K14">
        <v>26738186.297844507</v>
      </c>
    </row>
    <row r="15" spans="1:11" x14ac:dyDescent="0.25">
      <c r="A15" t="s">
        <v>14</v>
      </c>
      <c r="B15">
        <v>9235192.8695368953</v>
      </c>
      <c r="C15">
        <v>9235192.8695368953</v>
      </c>
      <c r="D15">
        <v>9235192.8695368953</v>
      </c>
      <c r="E15">
        <v>9235192.8695368953</v>
      </c>
      <c r="F15">
        <v>9235192.8695368953</v>
      </c>
      <c r="G15">
        <v>9235192.8695368953</v>
      </c>
      <c r="H15">
        <v>9235192.8695368953</v>
      </c>
      <c r="I15">
        <v>9235192.8695368953</v>
      </c>
      <c r="J15">
        <v>8588729.3686693124</v>
      </c>
      <c r="K15">
        <v>9235192.8695368953</v>
      </c>
    </row>
    <row r="16" spans="1:11" x14ac:dyDescent="0.25">
      <c r="A16" t="s">
        <v>15</v>
      </c>
      <c r="B16">
        <v>62431968.55923859</v>
      </c>
      <c r="C16">
        <v>62431968.55923859</v>
      </c>
      <c r="D16">
        <v>62280841.085367918</v>
      </c>
      <c r="E16">
        <v>62431968.55923859</v>
      </c>
      <c r="F16">
        <v>62280841.085367918</v>
      </c>
      <c r="G16">
        <v>62431968.55923859</v>
      </c>
      <c r="H16">
        <v>62280841.085367918</v>
      </c>
      <c r="I16">
        <v>62431968.55923859</v>
      </c>
      <c r="J16">
        <v>58263234.058586121</v>
      </c>
      <c r="K16">
        <v>62431968.55923859</v>
      </c>
    </row>
    <row r="17" spans="1:11" x14ac:dyDescent="0.25">
      <c r="A17" t="s">
        <v>16</v>
      </c>
      <c r="B17">
        <v>215154615.59397528</v>
      </c>
      <c r="C17">
        <v>215154615.59397528</v>
      </c>
      <c r="D17">
        <v>211621060.56989628</v>
      </c>
      <c r="E17">
        <v>215154615.59397528</v>
      </c>
      <c r="F17">
        <v>210545956.46915621</v>
      </c>
      <c r="G17">
        <v>215154615.59397528</v>
      </c>
      <c r="H17">
        <v>210213761.495332</v>
      </c>
      <c r="I17">
        <v>215154615.59397528</v>
      </c>
      <c r="J17">
        <v>206590774.18842801</v>
      </c>
      <c r="K17">
        <v>215154615.59397528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Nothing</vt:lpstr>
      <vt:lpstr>Pandemic</vt:lpstr>
      <vt:lpstr>shortage_IPV</vt:lpstr>
      <vt:lpstr>delays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2024-06-23T18:01:27Z</dcterms:created>
  <dcterms:modified xsi:type="dcterms:W3CDTF">2024-06-23T19:36:08Z</dcterms:modified>
</cp:coreProperties>
</file>