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ark-my.sharepoint.com/personal/uhorchak_uark_edu/Documents/Desktop/Vaccine_Tender/DATA/production_capacity_scenarios/"/>
    </mc:Choice>
  </mc:AlternateContent>
  <xr:revisionPtr revIDLastSave="284" documentId="8_{CA986233-5C84-4EAA-B96B-661799E682FA}" xr6:coauthVersionLast="47" xr6:coauthVersionMax="47" xr10:uidLastSave="{6F093489-6990-4AB0-8A55-24CDB159A350}"/>
  <bookViews>
    <workbookView xWindow="-28920" yWindow="-120" windowWidth="29040" windowHeight="15720" activeTab="1" xr2:uid="{CCA420AF-4493-4C79-A19E-AC0C61F28524}"/>
  </bookViews>
  <sheets>
    <sheet name="starting_cap" sheetId="1" r:id="rId1"/>
    <sheet name="prop_by_manuf" sheetId="2" r:id="rId2"/>
  </sheets>
  <definedNames>
    <definedName name="_xlnm._FilterDatabase" localSheetId="1" hidden="1">prop_by_manuf!$A$1:$E$50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2" l="1"/>
  <c r="D16" i="2"/>
  <c r="E16" i="2" s="1"/>
  <c r="J2" i="2" s="1"/>
  <c r="D2" i="2"/>
  <c r="D44" i="2"/>
  <c r="E44" i="2" s="1"/>
  <c r="D47" i="2"/>
  <c r="E47" i="2" s="1"/>
  <c r="D25" i="2"/>
  <c r="E25" i="2" s="1"/>
  <c r="D41" i="2"/>
  <c r="E41" i="2" s="1"/>
  <c r="D14" i="2"/>
  <c r="E14" i="2" s="1"/>
  <c r="J5" i="2" s="1"/>
  <c r="D5" i="2"/>
  <c r="E5" i="2" s="1"/>
  <c r="D22" i="2"/>
  <c r="E22" i="2" s="1"/>
  <c r="D35" i="2"/>
  <c r="E35" i="2" s="1"/>
  <c r="D42" i="2"/>
  <c r="E42" i="2" s="1"/>
  <c r="D3" i="2"/>
  <c r="E3" i="2" s="1"/>
  <c r="D4" i="2"/>
  <c r="E4" i="2" s="1"/>
  <c r="D6" i="2"/>
  <c r="E6" i="2" s="1"/>
  <c r="D7" i="2"/>
  <c r="E7" i="2" s="1"/>
  <c r="D8" i="2"/>
  <c r="E8" i="2" s="1"/>
  <c r="D9" i="2"/>
  <c r="E9" i="2" s="1"/>
  <c r="D10" i="2"/>
  <c r="E10" i="2" s="1"/>
  <c r="J11" i="2" s="1"/>
  <c r="D11" i="2"/>
  <c r="E11" i="2" s="1"/>
  <c r="D12" i="2"/>
  <c r="E12" i="2" s="1"/>
  <c r="D13" i="2"/>
  <c r="E13" i="2" s="1"/>
  <c r="D15" i="2"/>
  <c r="E15" i="2" s="1"/>
  <c r="D17" i="2"/>
  <c r="E17" i="2" s="1"/>
  <c r="D18" i="2"/>
  <c r="E18" i="2" s="1"/>
  <c r="D19" i="2"/>
  <c r="E19" i="2" s="1"/>
  <c r="D20" i="2"/>
  <c r="E20" i="2" s="1"/>
  <c r="D21" i="2"/>
  <c r="E21" i="2" s="1"/>
  <c r="D23" i="2"/>
  <c r="E23" i="2" s="1"/>
  <c r="D24" i="2"/>
  <c r="E24" i="2" s="1"/>
  <c r="J9" i="2" s="1"/>
  <c r="D26" i="2"/>
  <c r="E26" i="2" s="1"/>
  <c r="D27" i="2"/>
  <c r="E27" i="2" s="1"/>
  <c r="D28" i="2"/>
  <c r="E28" i="2" s="1"/>
  <c r="D29" i="2"/>
  <c r="E29" i="2" s="1"/>
  <c r="D30" i="2"/>
  <c r="E30" i="2" s="1"/>
  <c r="D31" i="2"/>
  <c r="E31" i="2" s="1"/>
  <c r="J13" i="2" s="1"/>
  <c r="D32" i="2"/>
  <c r="E32" i="2" s="1"/>
  <c r="D33" i="2"/>
  <c r="E33" i="2" s="1"/>
  <c r="D34" i="2"/>
  <c r="E34" i="2" s="1"/>
  <c r="D36" i="2"/>
  <c r="E36" i="2" s="1"/>
  <c r="D37" i="2"/>
  <c r="E37" i="2" s="1"/>
  <c r="D38" i="2"/>
  <c r="E38" i="2" s="1"/>
  <c r="D39" i="2"/>
  <c r="E39" i="2" s="1"/>
  <c r="D40" i="2"/>
  <c r="E40" i="2" s="1"/>
  <c r="D43" i="2"/>
  <c r="E43" i="2" s="1"/>
  <c r="D45" i="2"/>
  <c r="E45" i="2" s="1"/>
  <c r="D46" i="2"/>
  <c r="E46" i="2" s="1"/>
  <c r="D48" i="2"/>
  <c r="E48" i="2" s="1"/>
  <c r="D49" i="2"/>
  <c r="E49" i="2" s="1"/>
  <c r="J4" i="2" l="1"/>
  <c r="J3" i="2"/>
  <c r="J12" i="2"/>
  <c r="J10" i="2"/>
  <c r="J15" i="2"/>
  <c r="J7" i="2"/>
  <c r="J14" i="2"/>
  <c r="J8" i="2"/>
  <c r="J16" i="2"/>
  <c r="J6" i="2"/>
</calcChain>
</file>

<file path=xl/sharedStrings.xml><?xml version="1.0" encoding="utf-8"?>
<sst xmlns="http://schemas.openxmlformats.org/spreadsheetml/2006/main" count="137" uniqueCount="40">
  <si>
    <t>Vaccine</t>
  </si>
  <si>
    <t>Rota</t>
  </si>
  <si>
    <t>TT</t>
  </si>
  <si>
    <t>DT</t>
  </si>
  <si>
    <t>Measles</t>
  </si>
  <si>
    <t>PCV</t>
  </si>
  <si>
    <t>MMR</t>
  </si>
  <si>
    <t>DTwP</t>
  </si>
  <si>
    <t>HPV</t>
  </si>
  <si>
    <t>Td</t>
  </si>
  <si>
    <t>IPV</t>
  </si>
  <si>
    <t>MR</t>
  </si>
  <si>
    <t>Pfizer</t>
  </si>
  <si>
    <t>Proportion</t>
  </si>
  <si>
    <t>Manufacturer</t>
  </si>
  <si>
    <t>Sanofi</t>
  </si>
  <si>
    <t>China_National</t>
  </si>
  <si>
    <t>Hexa</t>
  </si>
  <si>
    <t>AJ_Vaccines</t>
  </si>
  <si>
    <t>BB_NCIPD</t>
  </si>
  <si>
    <t>Bharat_Biotech</t>
  </si>
  <si>
    <t>Bilthoven</t>
  </si>
  <si>
    <t>Biological_E</t>
  </si>
  <si>
    <t>GSK</t>
  </si>
  <si>
    <t>Haffkine_Bio</t>
  </si>
  <si>
    <t>LG_Chem</t>
  </si>
  <si>
    <t>Merck_Sharp</t>
  </si>
  <si>
    <t>Panacea_Biotec</t>
  </si>
  <si>
    <t>PT_Bio</t>
  </si>
  <si>
    <t>Serum_Institute</t>
  </si>
  <si>
    <t>Penta</t>
  </si>
  <si>
    <t>OPV</t>
  </si>
  <si>
    <t>DTwP-Hib</t>
  </si>
  <si>
    <t>Starting Cap</t>
  </si>
  <si>
    <t>Cap by ratio</t>
  </si>
  <si>
    <t>Scenario adjustment</t>
  </si>
  <si>
    <t>Company</t>
  </si>
  <si>
    <t>Totals</t>
  </si>
  <si>
    <t>Hep_B</t>
  </si>
  <si>
    <t>Predicted 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</si>
</sst>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7A5DA-6C9D-46FC-975A-A9F5DD878FF9}">
  <dimension ref="A1:B17"/>
  <sheetViews>
    <sheetView workbookViewId="0">
      <selection activeCell="F23" sqref="F23"/>
    </sheetView>
  </sheetViews>
  <sheetFormatPr defaultRowHeight="14.4" x14ac:dyDescent="0.3"/>
  <cols>
    <col min="1" max="1" width="18.6640625" bestFit="1" customWidth="1"/>
    <col min="2" max="2" width="17.5546875" bestFit="1" customWidth="1"/>
  </cols>
  <sheetData>
    <row r="1" spans="1:2" x14ac:dyDescent="0.3">
      <c r="A1" t="s">
        <v>0</v>
      </c>
      <c r="B1" t="s">
        <v>39</v>
      </c>
    </row>
    <row r="2" spans="1:2" x14ac:dyDescent="0.3">
      <c r="A2" t="s">
        <v>4</v>
      </c>
      <c r="B2">
        <v>977251.31527214276</v>
      </c>
    </row>
    <row r="3" spans="1:2" x14ac:dyDescent="0.3">
      <c r="A3" t="s">
        <v>11</v>
      </c>
      <c r="B3">
        <v>13328055.520714156</v>
      </c>
    </row>
    <row r="4" spans="1:2" x14ac:dyDescent="0.3">
      <c r="A4" t="s">
        <v>6</v>
      </c>
      <c r="B4">
        <v>321326687.20403224</v>
      </c>
    </row>
    <row r="5" spans="1:2" x14ac:dyDescent="0.3">
      <c r="A5" t="s">
        <v>3</v>
      </c>
      <c r="B5">
        <v>6402511.719496578</v>
      </c>
    </row>
    <row r="6" spans="1:2" x14ac:dyDescent="0.3">
      <c r="A6" t="s">
        <v>7</v>
      </c>
      <c r="B6">
        <v>59151603.417757481</v>
      </c>
    </row>
    <row r="7" spans="1:2" x14ac:dyDescent="0.3">
      <c r="A7" t="s">
        <v>30</v>
      </c>
      <c r="B7">
        <v>277874999.07853091</v>
      </c>
    </row>
    <row r="8" spans="1:2" x14ac:dyDescent="0.3">
      <c r="A8" t="s">
        <v>17</v>
      </c>
      <c r="B8">
        <v>302888.81815348461</v>
      </c>
    </row>
    <row r="9" spans="1:2" x14ac:dyDescent="0.3">
      <c r="A9" t="s">
        <v>32</v>
      </c>
      <c r="B9">
        <v>6311801.7126107905</v>
      </c>
    </row>
    <row r="10" spans="1:2" x14ac:dyDescent="0.3">
      <c r="A10" t="s">
        <v>38</v>
      </c>
      <c r="B10">
        <v>66709612.957940787</v>
      </c>
    </row>
    <row r="11" spans="1:2" x14ac:dyDescent="0.3">
      <c r="A11" t="s">
        <v>10</v>
      </c>
      <c r="B11">
        <v>136545787.17132425</v>
      </c>
    </row>
    <row r="12" spans="1:2" x14ac:dyDescent="0.3">
      <c r="A12" t="s">
        <v>9</v>
      </c>
      <c r="B12">
        <v>266622339.29579192</v>
      </c>
    </row>
    <row r="13" spans="1:2" x14ac:dyDescent="0.3">
      <c r="A13" t="s">
        <v>2</v>
      </c>
      <c r="B13">
        <v>3172885.866301666</v>
      </c>
    </row>
    <row r="14" spans="1:2" x14ac:dyDescent="0.3">
      <c r="A14" t="s">
        <v>31</v>
      </c>
      <c r="B14">
        <v>438402962.04456699</v>
      </c>
    </row>
    <row r="15" spans="1:2" x14ac:dyDescent="0.3">
      <c r="A15" t="s">
        <v>8</v>
      </c>
      <c r="B15">
        <v>35984585.712862946</v>
      </c>
    </row>
    <row r="16" spans="1:2" x14ac:dyDescent="0.3">
      <c r="A16" t="s">
        <v>1</v>
      </c>
      <c r="B16">
        <v>217521514.44316691</v>
      </c>
    </row>
    <row r="17" spans="1:2" x14ac:dyDescent="0.3">
      <c r="A17" t="s">
        <v>5</v>
      </c>
      <c r="B17">
        <v>226180575.91757733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0376C-AE0A-41BC-8998-FF6C9C8BC443}">
  <dimension ref="A1:J49"/>
  <sheetViews>
    <sheetView tabSelected="1" workbookViewId="0">
      <selection activeCell="F9" sqref="F9"/>
    </sheetView>
  </sheetViews>
  <sheetFormatPr defaultRowHeight="14.4" x14ac:dyDescent="0.3"/>
  <cols>
    <col min="1" max="1" width="15.109375" bestFit="1" customWidth="1"/>
    <col min="2" max="2" width="12.6640625" bestFit="1" customWidth="1"/>
    <col min="3" max="3" width="15" bestFit="1" customWidth="1"/>
    <col min="4" max="4" width="13.88671875" bestFit="1" customWidth="1"/>
    <col min="5" max="5" width="13.6640625" bestFit="1" customWidth="1"/>
    <col min="6" max="6" width="19.44140625" bestFit="1" customWidth="1"/>
    <col min="9" max="9" width="15.109375" bestFit="1" customWidth="1"/>
    <col min="10" max="10" width="12" bestFit="1" customWidth="1"/>
    <col min="11" max="11" width="14.88671875" bestFit="1" customWidth="1"/>
    <col min="12" max="12" width="14.44140625" bestFit="1" customWidth="1"/>
    <col min="14" max="14" width="11.6640625" bestFit="1" customWidth="1"/>
    <col min="15" max="15" width="15.109375" bestFit="1" customWidth="1"/>
    <col min="16" max="16" width="12" bestFit="1" customWidth="1"/>
    <col min="18" max="18" width="12.33203125" bestFit="1" customWidth="1"/>
    <col min="19" max="19" width="15.109375" bestFit="1" customWidth="1"/>
    <col min="20" max="20" width="6.88671875" bestFit="1" customWidth="1"/>
    <col min="21" max="21" width="6.5546875" bestFit="1" customWidth="1"/>
    <col min="22" max="22" width="14.6640625" bestFit="1" customWidth="1"/>
    <col min="23" max="23" width="5.88671875" bestFit="1" customWidth="1"/>
  </cols>
  <sheetData>
    <row r="1" spans="1:10" x14ac:dyDescent="0.3">
      <c r="A1" t="s">
        <v>14</v>
      </c>
      <c r="B1" t="s">
        <v>13</v>
      </c>
      <c r="C1" t="s">
        <v>0</v>
      </c>
      <c r="D1" t="s">
        <v>33</v>
      </c>
      <c r="E1" t="s">
        <v>34</v>
      </c>
      <c r="F1" t="s">
        <v>35</v>
      </c>
      <c r="I1" t="s">
        <v>36</v>
      </c>
      <c r="J1" t="s">
        <v>37</v>
      </c>
    </row>
    <row r="2" spans="1:10" x14ac:dyDescent="0.3">
      <c r="A2" t="s">
        <v>19</v>
      </c>
      <c r="B2">
        <v>0.61831770997823843</v>
      </c>
      <c r="C2" t="s">
        <v>3</v>
      </c>
      <c r="D2">
        <f>VLOOKUP(C2,starting_cap!$A$2:$B$17,2,FALSE)</f>
        <v>6402511.719496578</v>
      </c>
      <c r="E2">
        <f>D2*B2</f>
        <v>3958786.3845079578</v>
      </c>
      <c r="I2" t="s">
        <v>18</v>
      </c>
      <c r="J2">
        <f t="shared" ref="J2:J16" si="0">SUMIF(A:A, I2, E:E)</f>
        <v>12102355.415715292</v>
      </c>
    </row>
    <row r="3" spans="1:10" x14ac:dyDescent="0.3">
      <c r="A3" t="s">
        <v>28</v>
      </c>
      <c r="B3">
        <v>0.38168229002176157</v>
      </c>
      <c r="C3" t="s">
        <v>3</v>
      </c>
      <c r="D3">
        <f>VLOOKUP(C3,starting_cap!$A$2:$B$17,2,FALSE)</f>
        <v>6402511.719496578</v>
      </c>
      <c r="E3">
        <f t="shared" ref="E2:E49" si="1">D3*B3</f>
        <v>2443725.3349886201</v>
      </c>
      <c r="I3" t="s">
        <v>19</v>
      </c>
      <c r="J3">
        <f t="shared" si="0"/>
        <v>55762252.537822999</v>
      </c>
    </row>
    <row r="4" spans="1:10" x14ac:dyDescent="0.3">
      <c r="A4" t="s">
        <v>29</v>
      </c>
      <c r="B4">
        <v>0.79401392160994866</v>
      </c>
      <c r="C4" t="s">
        <v>7</v>
      </c>
      <c r="D4">
        <f>VLOOKUP(C4,starting_cap!$A$2:$B$17,2,FALSE)</f>
        <v>59151603.417757481</v>
      </c>
      <c r="E4">
        <f t="shared" si="1"/>
        <v>46967196.599250063</v>
      </c>
      <c r="I4" t="s">
        <v>20</v>
      </c>
      <c r="J4">
        <f t="shared" si="0"/>
        <v>77986389.151167125</v>
      </c>
    </row>
    <row r="5" spans="1:10" x14ac:dyDescent="0.3">
      <c r="A5" t="s">
        <v>22</v>
      </c>
      <c r="B5">
        <v>0.20598607839005142</v>
      </c>
      <c r="C5" t="s">
        <v>7</v>
      </c>
      <c r="D5">
        <f>VLOOKUP(C5,starting_cap!$A$2:$B$17,2,FALSE)</f>
        <v>59151603.417757481</v>
      </c>
      <c r="E5">
        <f t="shared" si="1"/>
        <v>12184406.818507425</v>
      </c>
      <c r="I5" t="s">
        <v>21</v>
      </c>
      <c r="J5">
        <f t="shared" si="0"/>
        <v>18909478.051597763</v>
      </c>
    </row>
    <row r="6" spans="1:10" x14ac:dyDescent="0.3">
      <c r="A6" t="s">
        <v>29</v>
      </c>
      <c r="B6">
        <v>1</v>
      </c>
      <c r="C6" t="s">
        <v>32</v>
      </c>
      <c r="D6">
        <f>VLOOKUP(C6,starting_cap!$A$2:$B$17,2,FALSE)</f>
        <v>6311801.7126107905</v>
      </c>
      <c r="E6">
        <f t="shared" si="1"/>
        <v>6311801.7126107905</v>
      </c>
      <c r="I6" t="s">
        <v>22</v>
      </c>
      <c r="J6">
        <f t="shared" si="0"/>
        <v>176656204.10945982</v>
      </c>
    </row>
    <row r="7" spans="1:10" x14ac:dyDescent="0.3">
      <c r="A7" t="s">
        <v>29</v>
      </c>
      <c r="B7">
        <v>0.52512572032754001</v>
      </c>
      <c r="C7" t="s">
        <v>38</v>
      </c>
      <c r="D7">
        <f>VLOOKUP(C7,starting_cap!$A$2:$B$17,2,FALSE)</f>
        <v>66709612.957940787</v>
      </c>
      <c r="E7">
        <f t="shared" si="1"/>
        <v>35030933.557310052</v>
      </c>
      <c r="I7" t="s">
        <v>16</v>
      </c>
      <c r="J7">
        <f t="shared" si="0"/>
        <v>14503588.18448288</v>
      </c>
    </row>
    <row r="8" spans="1:10" x14ac:dyDescent="0.3">
      <c r="A8" t="s">
        <v>25</v>
      </c>
      <c r="B8">
        <v>0.47487427967245899</v>
      </c>
      <c r="C8" t="s">
        <v>38</v>
      </c>
      <c r="D8">
        <f>VLOOKUP(C8,starting_cap!$A$2:$B$17,2,FALSE)</f>
        <v>66709612.957940787</v>
      </c>
      <c r="E8">
        <f t="shared" si="1"/>
        <v>31678679.400630668</v>
      </c>
      <c r="I8" t="s">
        <v>23</v>
      </c>
      <c r="J8">
        <f t="shared" si="0"/>
        <v>414824585.3056196</v>
      </c>
    </row>
    <row r="9" spans="1:10" x14ac:dyDescent="0.3">
      <c r="A9" t="s">
        <v>15</v>
      </c>
      <c r="B9">
        <v>1</v>
      </c>
      <c r="C9" t="s">
        <v>17</v>
      </c>
      <c r="D9">
        <f>VLOOKUP(C9,starting_cap!$A$2:$B$17,2,FALSE)</f>
        <v>302888.81815348461</v>
      </c>
      <c r="E9">
        <f t="shared" si="1"/>
        <v>302888.81815348461</v>
      </c>
      <c r="I9" t="s">
        <v>24</v>
      </c>
      <c r="J9">
        <f t="shared" si="0"/>
        <v>102061729.61303598</v>
      </c>
    </row>
    <row r="10" spans="1:10" x14ac:dyDescent="0.3">
      <c r="A10" t="s">
        <v>26</v>
      </c>
      <c r="B10">
        <v>0.88757027197187544</v>
      </c>
      <c r="C10" t="s">
        <v>8</v>
      </c>
      <c r="D10">
        <f>VLOOKUP(C10,starting_cap!$A$2:$B$17,2,FALSE)</f>
        <v>35984585.712862946</v>
      </c>
      <c r="E10">
        <f t="shared" si="1"/>
        <v>31938848.527961027</v>
      </c>
      <c r="I10" t="s">
        <v>25</v>
      </c>
      <c r="J10">
        <f t="shared" si="0"/>
        <v>89157748.448498234</v>
      </c>
    </row>
    <row r="11" spans="1:10" x14ac:dyDescent="0.3">
      <c r="A11" t="s">
        <v>23</v>
      </c>
      <c r="B11">
        <v>7.5820864829665865E-2</v>
      </c>
      <c r="C11" t="s">
        <v>8</v>
      </c>
      <c r="D11">
        <f>VLOOKUP(C11,starting_cap!$A$2:$B$17,2,FALSE)</f>
        <v>35984585.712862946</v>
      </c>
      <c r="E11">
        <f t="shared" si="1"/>
        <v>2728382.4092865069</v>
      </c>
      <c r="I11" t="s">
        <v>26</v>
      </c>
      <c r="J11">
        <f t="shared" si="0"/>
        <v>31938848.527961027</v>
      </c>
    </row>
    <row r="12" spans="1:10" x14ac:dyDescent="0.3">
      <c r="A12" t="s">
        <v>16</v>
      </c>
      <c r="B12">
        <v>3.6608863198458602E-2</v>
      </c>
      <c r="C12" t="s">
        <v>8</v>
      </c>
      <c r="D12">
        <f>VLOOKUP(C12,starting_cap!$A$2:$B$17,2,FALSE)</f>
        <v>35984585.712862946</v>
      </c>
      <c r="E12">
        <f t="shared" si="1"/>
        <v>1317354.7756154076</v>
      </c>
      <c r="I12" t="s">
        <v>27</v>
      </c>
      <c r="J12">
        <f t="shared" si="0"/>
        <v>15219754.312615251</v>
      </c>
    </row>
    <row r="13" spans="1:10" x14ac:dyDescent="0.3">
      <c r="A13" t="s">
        <v>15</v>
      </c>
      <c r="B13">
        <v>0.74287578329988224</v>
      </c>
      <c r="C13" t="s">
        <v>10</v>
      </c>
      <c r="D13">
        <f>VLOOKUP(C13,starting_cap!$A$2:$B$17,2,FALSE)</f>
        <v>136545787.17132425</v>
      </c>
      <c r="E13">
        <f t="shared" si="1"/>
        <v>101436558.60119651</v>
      </c>
      <c r="I13" t="s">
        <v>12</v>
      </c>
      <c r="J13">
        <f t="shared" si="0"/>
        <v>127439682.10564198</v>
      </c>
    </row>
    <row r="14" spans="1:10" x14ac:dyDescent="0.3">
      <c r="A14" t="s">
        <v>21</v>
      </c>
      <c r="B14">
        <v>0.13848452188328597</v>
      </c>
      <c r="C14" t="s">
        <v>10</v>
      </c>
      <c r="D14">
        <f>VLOOKUP(C14,starting_cap!$A$2:$B$17,2,FALSE)</f>
        <v>136545787.17132425</v>
      </c>
      <c r="E14">
        <f t="shared" si="1"/>
        <v>18909478.051597763</v>
      </c>
      <c r="I14" t="s">
        <v>28</v>
      </c>
      <c r="J14">
        <f t="shared" si="0"/>
        <v>56000384.381950192</v>
      </c>
    </row>
    <row r="15" spans="1:10" x14ac:dyDescent="0.3">
      <c r="A15" t="s">
        <v>25</v>
      </c>
      <c r="B15">
        <v>3.0007480916812632E-2</v>
      </c>
      <c r="C15" t="s">
        <v>10</v>
      </c>
      <c r="D15">
        <f>VLOOKUP(C15,starting_cap!$A$2:$B$17,2,FALSE)</f>
        <v>136545787.17132425</v>
      </c>
      <c r="E15">
        <f t="shared" si="1"/>
        <v>4097395.1028146716</v>
      </c>
      <c r="I15" t="s">
        <v>15</v>
      </c>
      <c r="J15">
        <f t="shared" si="0"/>
        <v>130015283.84818706</v>
      </c>
    </row>
    <row r="16" spans="1:10" x14ac:dyDescent="0.3">
      <c r="A16" t="s">
        <v>18</v>
      </c>
      <c r="B16">
        <v>8.8632213900019075E-2</v>
      </c>
      <c r="C16" t="s">
        <v>10</v>
      </c>
      <c r="D16">
        <f>VLOOKUP(C16,starting_cap!$A$2:$B$17,2,FALSE)</f>
        <v>136545787.17132425</v>
      </c>
      <c r="E16">
        <f t="shared" si="1"/>
        <v>12102355.415715292</v>
      </c>
      <c r="I16" t="s">
        <v>29</v>
      </c>
      <c r="J16">
        <f t="shared" si="0"/>
        <v>754237778.20234299</v>
      </c>
    </row>
    <row r="17" spans="1:5" x14ac:dyDescent="0.3">
      <c r="A17" t="s">
        <v>29</v>
      </c>
      <c r="B17">
        <v>0.84733915633184897</v>
      </c>
      <c r="C17" t="s">
        <v>4</v>
      </c>
      <c r="D17">
        <f>VLOOKUP(C17,starting_cap!$A$2:$B$17,2,FALSE)</f>
        <v>977251.31527214276</v>
      </c>
      <c r="E17">
        <f t="shared" si="1"/>
        <v>828063.30500688718</v>
      </c>
    </row>
    <row r="18" spans="1:5" x14ac:dyDescent="0.3">
      <c r="A18" t="s">
        <v>28</v>
      </c>
      <c r="B18">
        <v>0.15266084366815</v>
      </c>
      <c r="C18" t="s">
        <v>4</v>
      </c>
      <c r="D18">
        <f>VLOOKUP(C18,starting_cap!$A$2:$B$17,2,FALSE)</f>
        <v>977251.31527214276</v>
      </c>
      <c r="E18">
        <f t="shared" si="1"/>
        <v>149188.01026525456</v>
      </c>
    </row>
    <row r="19" spans="1:5" x14ac:dyDescent="0.3">
      <c r="A19" t="s">
        <v>29</v>
      </c>
      <c r="B19">
        <v>0.73266544221843499</v>
      </c>
      <c r="C19" t="s">
        <v>6</v>
      </c>
      <c r="D19">
        <f>VLOOKUP(C19,starting_cap!$A$2:$B$17,2,FALSE)</f>
        <v>321326687.20403224</v>
      </c>
      <c r="E19">
        <f t="shared" si="1"/>
        <v>235424959.37692702</v>
      </c>
    </row>
    <row r="20" spans="1:5" x14ac:dyDescent="0.3">
      <c r="A20" t="s">
        <v>23</v>
      </c>
      <c r="B20">
        <v>0.26733455778156401</v>
      </c>
      <c r="C20" t="s">
        <v>6</v>
      </c>
      <c r="D20">
        <f>VLOOKUP(C20,starting_cap!$A$2:$B$17,2,FALSE)</f>
        <v>321326687.20403224</v>
      </c>
      <c r="E20">
        <f t="shared" si="1"/>
        <v>85901727.827104896</v>
      </c>
    </row>
    <row r="21" spans="1:5" x14ac:dyDescent="0.3">
      <c r="A21" t="s">
        <v>29</v>
      </c>
      <c r="B21">
        <v>0.841178437394558</v>
      </c>
      <c r="C21" t="s">
        <v>11</v>
      </c>
      <c r="D21">
        <f>VLOOKUP(C21,starting_cap!$A$2:$B$17,2,FALSE)</f>
        <v>13328055.520714156</v>
      </c>
      <c r="E21">
        <f t="shared" si="1"/>
        <v>11211272.916422246</v>
      </c>
    </row>
    <row r="22" spans="1:5" x14ac:dyDescent="0.3">
      <c r="A22" t="s">
        <v>22</v>
      </c>
      <c r="B22">
        <v>0.158821562605441</v>
      </c>
      <c r="C22" t="s">
        <v>11</v>
      </c>
      <c r="D22">
        <f>VLOOKUP(C22,starting_cap!$A$2:$B$17,2,FALSE)</f>
        <v>13328055.520714156</v>
      </c>
      <c r="E22">
        <f t="shared" si="1"/>
        <v>2116782.6042918968</v>
      </c>
    </row>
    <row r="23" spans="1:5" x14ac:dyDescent="0.3">
      <c r="A23" t="s">
        <v>29</v>
      </c>
      <c r="B23">
        <v>0.39454798551666598</v>
      </c>
      <c r="C23" t="s">
        <v>31</v>
      </c>
      <c r="D23">
        <f>VLOOKUP(C23,starting_cap!$A$2:$B$17,2,FALSE)</f>
        <v>438402962.04456699</v>
      </c>
      <c r="E23">
        <f t="shared" si="1"/>
        <v>172971005.51922327</v>
      </c>
    </row>
    <row r="24" spans="1:5" x14ac:dyDescent="0.3">
      <c r="A24" t="s">
        <v>24</v>
      </c>
      <c r="B24">
        <v>0.23280346724176701</v>
      </c>
      <c r="C24" t="s">
        <v>31</v>
      </c>
      <c r="D24">
        <f>VLOOKUP(C24,starting_cap!$A$2:$B$17,2,FALSE)</f>
        <v>438402962.04456699</v>
      </c>
      <c r="E24">
        <f t="shared" si="1"/>
        <v>102061729.61303598</v>
      </c>
    </row>
    <row r="25" spans="1:5" x14ac:dyDescent="0.3">
      <c r="A25" t="s">
        <v>20</v>
      </c>
      <c r="B25">
        <v>0.165439934217085</v>
      </c>
      <c r="C25" t="s">
        <v>31</v>
      </c>
      <c r="D25">
        <f>VLOOKUP(C25,starting_cap!$A$2:$B$17,2,FALSE)</f>
        <v>438402962.04456699</v>
      </c>
      <c r="E25">
        <f t="shared" si="1"/>
        <v>72529357.20122838</v>
      </c>
    </row>
    <row r="26" spans="1:5" x14ac:dyDescent="0.3">
      <c r="A26" t="s">
        <v>23</v>
      </c>
      <c r="B26">
        <v>7.9812538359880295E-2</v>
      </c>
      <c r="C26" t="s">
        <v>31</v>
      </c>
      <c r="D26">
        <f>VLOOKUP(C26,starting_cap!$A$2:$B$17,2,FALSE)</f>
        <v>438402962.04456699</v>
      </c>
      <c r="E26">
        <f t="shared" si="1"/>
        <v>34990053.22526715</v>
      </c>
    </row>
    <row r="27" spans="1:5" x14ac:dyDescent="0.3">
      <c r="A27" t="s">
        <v>15</v>
      </c>
      <c r="B27">
        <v>6.4497366297362302E-2</v>
      </c>
      <c r="C27" t="s">
        <v>31</v>
      </c>
      <c r="D27">
        <f>VLOOKUP(C27,starting_cap!$A$2:$B$17,2,FALSE)</f>
        <v>438402962.04456699</v>
      </c>
      <c r="E27">
        <f t="shared" si="1"/>
        <v>28275836.428837061</v>
      </c>
    </row>
    <row r="28" spans="1:5" x14ac:dyDescent="0.3">
      <c r="A28" t="s">
        <v>16</v>
      </c>
      <c r="B28">
        <v>3.0077883934385902E-2</v>
      </c>
      <c r="C28" t="s">
        <v>31</v>
      </c>
      <c r="D28">
        <f>VLOOKUP(C28,starting_cap!$A$2:$B$17,2,FALSE)</f>
        <v>438402962.04456699</v>
      </c>
      <c r="E28">
        <f t="shared" si="1"/>
        <v>13186233.408867473</v>
      </c>
    </row>
    <row r="29" spans="1:5" x14ac:dyDescent="0.3">
      <c r="A29" t="s">
        <v>28</v>
      </c>
      <c r="B29">
        <v>3.00746331444584E-2</v>
      </c>
      <c r="C29" t="s">
        <v>31</v>
      </c>
      <c r="D29">
        <f>VLOOKUP(C29,starting_cap!$A$2:$B$17,2,FALSE)</f>
        <v>438402962.04456699</v>
      </c>
      <c r="E29">
        <f t="shared" si="1"/>
        <v>13184808.252934271</v>
      </c>
    </row>
    <row r="30" spans="1:5" x14ac:dyDescent="0.3">
      <c r="A30" t="s">
        <v>27</v>
      </c>
      <c r="B30">
        <v>2.7461912883932999E-3</v>
      </c>
      <c r="C30" t="s">
        <v>31</v>
      </c>
      <c r="D30">
        <f>VLOOKUP(C30,starting_cap!$A$2:$B$17,2,FALSE)</f>
        <v>438402962.04456699</v>
      </c>
      <c r="E30">
        <f t="shared" si="1"/>
        <v>1203938.3951726083</v>
      </c>
    </row>
    <row r="31" spans="1:5" x14ac:dyDescent="0.3">
      <c r="A31" t="s">
        <v>12</v>
      </c>
      <c r="B31">
        <v>0.56344220359613195</v>
      </c>
      <c r="C31" t="s">
        <v>5</v>
      </c>
      <c r="D31">
        <f>VLOOKUP(C31,starting_cap!$A$2:$B$17,2,FALSE)</f>
        <v>226180575.91757733</v>
      </c>
      <c r="E31">
        <f t="shared" si="1"/>
        <v>127439682.10564198</v>
      </c>
    </row>
    <row r="32" spans="1:5" x14ac:dyDescent="0.3">
      <c r="A32" t="s">
        <v>23</v>
      </c>
      <c r="B32">
        <v>0.407494488007414</v>
      </c>
      <c r="C32" t="s">
        <v>5</v>
      </c>
      <c r="D32">
        <f>VLOOKUP(C32,starting_cap!$A$2:$B$17,2,FALSE)</f>
        <v>226180575.91757733</v>
      </c>
      <c r="E32">
        <f t="shared" si="1"/>
        <v>92167337.98075521</v>
      </c>
    </row>
    <row r="33" spans="1:5" x14ac:dyDescent="0.3">
      <c r="A33" t="s">
        <v>29</v>
      </c>
      <c r="B33">
        <v>2.9063308396452301E-2</v>
      </c>
      <c r="C33" t="s">
        <v>5</v>
      </c>
      <c r="D33">
        <f>VLOOKUP(C33,starting_cap!$A$2:$B$17,2,FALSE)</f>
        <v>226180575.91757733</v>
      </c>
      <c r="E33">
        <f t="shared" si="1"/>
        <v>6573555.8311797418</v>
      </c>
    </row>
    <row r="34" spans="1:5" x14ac:dyDescent="0.3">
      <c r="A34" t="s">
        <v>29</v>
      </c>
      <c r="B34">
        <v>0.50508041868836795</v>
      </c>
      <c r="C34" t="s">
        <v>30</v>
      </c>
      <c r="D34">
        <f>VLOOKUP(C34,starting_cap!$A$2:$B$17,2,FALSE)</f>
        <v>277874999.07853091</v>
      </c>
      <c r="E34">
        <f t="shared" si="1"/>
        <v>140349220.87761426</v>
      </c>
    </row>
    <row r="35" spans="1:5" x14ac:dyDescent="0.3">
      <c r="A35" t="s">
        <v>22</v>
      </c>
      <c r="B35">
        <v>0.23963301566776399</v>
      </c>
      <c r="C35" t="s">
        <v>30</v>
      </c>
      <c r="D35">
        <f>VLOOKUP(C35,starting_cap!$A$2:$B$17,2,FALSE)</f>
        <v>277874999.07853091</v>
      </c>
      <c r="E35">
        <f t="shared" si="1"/>
        <v>66588024.007865503</v>
      </c>
    </row>
    <row r="36" spans="1:5" x14ac:dyDescent="0.3">
      <c r="A36" t="s">
        <v>25</v>
      </c>
      <c r="B36">
        <v>0.19210678946315199</v>
      </c>
      <c r="C36" t="s">
        <v>30</v>
      </c>
      <c r="D36">
        <f>VLOOKUP(C36,starting_cap!$A$2:$B$17,2,FALSE)</f>
        <v>277874999.07853091</v>
      </c>
      <c r="E36">
        <f t="shared" si="1"/>
        <v>53381673.945052892</v>
      </c>
    </row>
    <row r="37" spans="1:5" x14ac:dyDescent="0.3">
      <c r="A37" t="s">
        <v>27</v>
      </c>
      <c r="B37">
        <v>5.0439283720812897E-2</v>
      </c>
      <c r="C37" t="s">
        <v>30</v>
      </c>
      <c r="D37">
        <f>VLOOKUP(C37,starting_cap!$A$2:$B$17,2,FALSE)</f>
        <v>277874999.07853091</v>
      </c>
      <c r="E37">
        <f t="shared" si="1"/>
        <v>14015815.917442642</v>
      </c>
    </row>
    <row r="38" spans="1:5" x14ac:dyDescent="0.3">
      <c r="A38" t="s">
        <v>28</v>
      </c>
      <c r="B38">
        <v>1.2740492459903101E-2</v>
      </c>
      <c r="C38" t="s">
        <v>30</v>
      </c>
      <c r="D38">
        <f>VLOOKUP(C38,starting_cap!$A$2:$B$17,2,FALSE)</f>
        <v>277874999.07853091</v>
      </c>
      <c r="E38">
        <f t="shared" si="1"/>
        <v>3540264.3305556043</v>
      </c>
    </row>
    <row r="39" spans="1:5" x14ac:dyDescent="0.3">
      <c r="A39" t="s">
        <v>23</v>
      </c>
      <c r="B39">
        <v>0.91502251799193601</v>
      </c>
      <c r="C39" t="s">
        <v>1</v>
      </c>
      <c r="D39">
        <f>VLOOKUP(C39,starting_cap!$A$2:$B$17,2,FALSE)</f>
        <v>217521514.44316691</v>
      </c>
      <c r="E39">
        <f t="shared" si="1"/>
        <v>199037083.86320585</v>
      </c>
    </row>
    <row r="40" spans="1:5" x14ac:dyDescent="0.3">
      <c r="A40" t="s">
        <v>29</v>
      </c>
      <c r="B40">
        <v>5.9890161501362497E-2</v>
      </c>
      <c r="C40" t="s">
        <v>1</v>
      </c>
      <c r="D40">
        <f>VLOOKUP(C40,starting_cap!$A$2:$B$17,2,FALSE)</f>
        <v>217521514.44316691</v>
      </c>
      <c r="E40">
        <f t="shared" si="1"/>
        <v>13027398.630022222</v>
      </c>
    </row>
    <row r="41" spans="1:5" x14ac:dyDescent="0.3">
      <c r="A41" t="s">
        <v>20</v>
      </c>
      <c r="B41">
        <v>2.5087320506701101E-2</v>
      </c>
      <c r="C41" t="s">
        <v>1</v>
      </c>
      <c r="D41">
        <f>VLOOKUP(C41,starting_cap!$A$2:$B$17,2,FALSE)</f>
        <v>217521514.44316691</v>
      </c>
      <c r="E41">
        <f t="shared" si="1"/>
        <v>5457031.9499387406</v>
      </c>
    </row>
    <row r="42" spans="1:5" x14ac:dyDescent="0.3">
      <c r="A42" t="s">
        <v>22</v>
      </c>
      <c r="B42">
        <v>0.352162617276225</v>
      </c>
      <c r="C42" t="s">
        <v>9</v>
      </c>
      <c r="D42">
        <f>VLOOKUP(C42,starting_cap!$A$2:$B$17,2,FALSE)</f>
        <v>266622339.29579192</v>
      </c>
      <c r="E42">
        <f t="shared" si="1"/>
        <v>93894420.830715775</v>
      </c>
    </row>
    <row r="43" spans="1:5" x14ac:dyDescent="0.3">
      <c r="A43" t="s">
        <v>29</v>
      </c>
      <c r="B43">
        <v>0.31873823734484802</v>
      </c>
      <c r="C43" t="s">
        <v>9</v>
      </c>
      <c r="D43">
        <f>VLOOKUP(C43,starting_cap!$A$2:$B$17,2,FALSE)</f>
        <v>266622339.29579192</v>
      </c>
      <c r="E43">
        <f t="shared" si="1"/>
        <v>84982734.46390073</v>
      </c>
    </row>
    <row r="44" spans="1:5" x14ac:dyDescent="0.3">
      <c r="A44" t="s">
        <v>19</v>
      </c>
      <c r="B44">
        <v>0.192155901226716</v>
      </c>
      <c r="C44" t="s">
        <v>9</v>
      </c>
      <c r="D44">
        <f>VLOOKUP(C44,starting_cap!$A$2:$B$17,2,FALSE)</f>
        <v>266622339.29579192</v>
      </c>
      <c r="E44">
        <f t="shared" si="1"/>
        <v>51233055.894558154</v>
      </c>
    </row>
    <row r="45" spans="1:5" x14ac:dyDescent="0.3">
      <c r="A45" t="s">
        <v>28</v>
      </c>
      <c r="B45">
        <v>0.13694324415220899</v>
      </c>
      <c r="C45" t="s">
        <v>9</v>
      </c>
      <c r="D45">
        <f>VLOOKUP(C45,starting_cap!$A$2:$B$17,2,FALSE)</f>
        <v>266622339.29579192</v>
      </c>
      <c r="E45">
        <f t="shared" si="1"/>
        <v>36512128.106616735</v>
      </c>
    </row>
    <row r="46" spans="1:5" x14ac:dyDescent="0.3">
      <c r="A46" t="s">
        <v>22</v>
      </c>
      <c r="B46">
        <v>0.590178760593704</v>
      </c>
      <c r="C46" t="s">
        <v>2</v>
      </c>
      <c r="D46">
        <f>VLOOKUP(C46,starting_cap!$A$2:$B$17,2,FALSE)</f>
        <v>3172885.866301666</v>
      </c>
      <c r="E46">
        <f t="shared" si="1"/>
        <v>1872569.848079198</v>
      </c>
    </row>
    <row r="47" spans="1:5" x14ac:dyDescent="0.3">
      <c r="A47" t="s">
        <v>19</v>
      </c>
      <c r="B47">
        <v>0.17977648197656701</v>
      </c>
      <c r="C47" t="s">
        <v>2</v>
      </c>
      <c r="D47">
        <f>VLOOKUP(C47,starting_cap!$A$2:$B$17,2,FALSE)</f>
        <v>3172885.866301666</v>
      </c>
      <c r="E47">
        <f t="shared" si="1"/>
        <v>570410.25875688565</v>
      </c>
    </row>
    <row r="48" spans="1:5" x14ac:dyDescent="0.3">
      <c r="A48" t="s">
        <v>29</v>
      </c>
      <c r="B48">
        <v>0.176380568497469</v>
      </c>
      <c r="C48" t="s">
        <v>2</v>
      </c>
      <c r="D48">
        <f>VLOOKUP(C48,starting_cap!$A$2:$B$17,2,FALSE)</f>
        <v>3172885.866301666</v>
      </c>
      <c r="E48">
        <f t="shared" si="1"/>
        <v>559635.41287587222</v>
      </c>
    </row>
    <row r="49" spans="1:5" x14ac:dyDescent="0.3">
      <c r="A49" t="s">
        <v>28</v>
      </c>
      <c r="B49">
        <v>5.3664188932258203E-2</v>
      </c>
      <c r="C49" t="s">
        <v>2</v>
      </c>
      <c r="D49">
        <f>VLOOKUP(C49,starting_cap!$A$2:$B$17,2,FALSE)</f>
        <v>3172885.866301666</v>
      </c>
      <c r="E49">
        <f t="shared" si="1"/>
        <v>170270.34658970434</v>
      </c>
    </row>
  </sheetData>
  <autoFilter ref="A1:E50" xr:uid="{B5B0376C-AE0A-41BC-8998-FF6C9C8BC44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starting_cap</vt:lpstr>
      <vt:lpstr>prop_by_manuf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uhorchak</dc:creator>
  <cp:lastModifiedBy>Nicholas Uhorchak</cp:lastModifiedBy>
  <dcterms:created xsi:type="dcterms:W3CDTF">2024-06-28T16:02:18Z</dcterms:created>
  <dcterms:modified xsi:type="dcterms:W3CDTF">2025-09-11T16:07:15Z</dcterms:modified>
</cp:coreProperties>
</file>