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production_capacity_scenarios/"/>
    </mc:Choice>
  </mc:AlternateContent>
  <xr:revisionPtr revIDLastSave="146" documentId="8_{CA986233-5C84-4EAA-B96B-661799E682FA}" xr6:coauthVersionLast="47" xr6:coauthVersionMax="47" xr10:uidLastSave="{46DEBD7B-E1EA-429F-99E8-075FD2269C18}"/>
  <bookViews>
    <workbookView xWindow="-120" yWindow="-120" windowWidth="20730" windowHeight="11040" activeTab="1" xr2:uid="{CCA420AF-4493-4C79-A19E-AC0C61F28524}"/>
  </bookViews>
  <sheets>
    <sheet name="starting_cap" sheetId="1" r:id="rId1"/>
    <sheet name="prop_by_manuf" sheetId="2" r:id="rId2"/>
  </sheets>
  <definedNames>
    <definedName name="_xlnm._FilterDatabase" localSheetId="1" hidden="1">prop_by_manuf!$A$1:$E$51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" l="1"/>
  <c r="J6" i="2"/>
  <c r="D2" i="2"/>
  <c r="E2" i="2" s="1"/>
  <c r="D3" i="2"/>
  <c r="E3" i="2" s="1"/>
  <c r="D4" i="2"/>
  <c r="E4" i="2" s="1"/>
  <c r="D5" i="2"/>
  <c r="E5" i="2" s="1"/>
  <c r="D6" i="2"/>
  <c r="E6" i="2" s="1"/>
  <c r="D7" i="2"/>
  <c r="E7" i="2" s="1"/>
  <c r="D8" i="2"/>
  <c r="E8" i="2" s="1"/>
  <c r="D9" i="2"/>
  <c r="E9" i="2" s="1"/>
  <c r="D10" i="2"/>
  <c r="E10" i="2" s="1"/>
  <c r="D11" i="2"/>
  <c r="E11" i="2" s="1"/>
  <c r="J11" i="2" s="1"/>
  <c r="D12" i="2"/>
  <c r="E12" i="2" s="1"/>
  <c r="D13" i="2"/>
  <c r="E13" i="2" s="1"/>
  <c r="D14" i="2"/>
  <c r="E14" i="2" s="1"/>
  <c r="D15" i="2"/>
  <c r="E15" i="2" s="1"/>
  <c r="J5" i="2" s="1"/>
  <c r="D16" i="2"/>
  <c r="E16" i="2" s="1"/>
  <c r="D17" i="2"/>
  <c r="E17" i="2" s="1"/>
  <c r="J2" i="2" s="1"/>
  <c r="D18" i="2"/>
  <c r="E18" i="2" s="1"/>
  <c r="D19" i="2"/>
  <c r="E19" i="2" s="1"/>
  <c r="D20" i="2"/>
  <c r="E20" i="2" s="1"/>
  <c r="D21" i="2"/>
  <c r="E21" i="2" s="1"/>
  <c r="D22" i="2"/>
  <c r="E22" i="2" s="1"/>
  <c r="D23" i="2"/>
  <c r="E23" i="2" s="1"/>
  <c r="D24" i="2"/>
  <c r="E24" i="2" s="1"/>
  <c r="D25" i="2"/>
  <c r="E25" i="2" s="1"/>
  <c r="J9" i="2" s="1"/>
  <c r="D26" i="2"/>
  <c r="E26" i="2" s="1"/>
  <c r="J4" i="2" s="1"/>
  <c r="D27" i="2"/>
  <c r="E27" i="2" s="1"/>
  <c r="D28" i="2"/>
  <c r="E28" i="2" s="1"/>
  <c r="D29" i="2"/>
  <c r="E29" i="2" s="1"/>
  <c r="D30" i="2"/>
  <c r="E30" i="2" s="1"/>
  <c r="D31" i="2"/>
  <c r="E31" i="2" s="1"/>
  <c r="D32" i="2"/>
  <c r="E32" i="2" s="1"/>
  <c r="J13" i="2" s="1"/>
  <c r="D33" i="2"/>
  <c r="E33" i="2" s="1"/>
  <c r="D34" i="2"/>
  <c r="E34" i="2" s="1"/>
  <c r="D35" i="2"/>
  <c r="E35" i="2" s="1"/>
  <c r="D36" i="2"/>
  <c r="D37" i="2"/>
  <c r="E37" i="2" s="1"/>
  <c r="D38" i="2"/>
  <c r="E38" i="2" s="1"/>
  <c r="D39" i="2"/>
  <c r="E39" i="2" s="1"/>
  <c r="D40" i="2"/>
  <c r="E40" i="2" s="1"/>
  <c r="D41" i="2"/>
  <c r="E41" i="2" s="1"/>
  <c r="D42" i="2"/>
  <c r="E42" i="2" s="1"/>
  <c r="D43" i="2"/>
  <c r="E43" i="2" s="1"/>
  <c r="D44" i="2"/>
  <c r="E44" i="2" s="1"/>
  <c r="D45" i="2"/>
  <c r="E45" i="2" s="1"/>
  <c r="D46" i="2"/>
  <c r="E46" i="2" s="1"/>
  <c r="D47" i="2"/>
  <c r="E47" i="2" s="1"/>
  <c r="D48" i="2"/>
  <c r="E48" i="2" s="1"/>
  <c r="D49" i="2"/>
  <c r="E49" i="2" s="1"/>
  <c r="D50" i="2"/>
  <c r="E50" i="2" s="1"/>
  <c r="J10" i="2" l="1"/>
  <c r="J15" i="2"/>
  <c r="J3" i="2"/>
  <c r="J14" i="2"/>
  <c r="J12" i="2"/>
  <c r="J7" i="2"/>
  <c r="J16" i="2"/>
  <c r="J8" i="2"/>
</calcChain>
</file>

<file path=xl/sharedStrings.xml><?xml version="1.0" encoding="utf-8"?>
<sst xmlns="http://schemas.openxmlformats.org/spreadsheetml/2006/main" count="140" uniqueCount="41">
  <si>
    <t>Vaccine</t>
  </si>
  <si>
    <t>Predicted Capacity</t>
  </si>
  <si>
    <t>Rota</t>
  </si>
  <si>
    <t>Hib</t>
  </si>
  <si>
    <t>TT</t>
  </si>
  <si>
    <t>DT</t>
  </si>
  <si>
    <t>Measles</t>
  </si>
  <si>
    <t>HepB</t>
  </si>
  <si>
    <t>PCV</t>
  </si>
  <si>
    <t>MMR</t>
  </si>
  <si>
    <t>DTwP</t>
  </si>
  <si>
    <t>HPV</t>
  </si>
  <si>
    <t>Td</t>
  </si>
  <si>
    <t>IPV</t>
  </si>
  <si>
    <t>MR</t>
  </si>
  <si>
    <t>Pfizer</t>
  </si>
  <si>
    <t>Proportion</t>
  </si>
  <si>
    <t>Manufacturer</t>
  </si>
  <si>
    <t>Sanofi</t>
  </si>
  <si>
    <t>China_National</t>
  </si>
  <si>
    <t>Hexa</t>
  </si>
  <si>
    <t>AJ_Vaccines</t>
  </si>
  <si>
    <t>BB_NCIPD</t>
  </si>
  <si>
    <t>Bharat_Biotech</t>
  </si>
  <si>
    <t>Bilthoven</t>
  </si>
  <si>
    <t>Biological_E</t>
  </si>
  <si>
    <t>GSK</t>
  </si>
  <si>
    <t>Haffkine_Bio</t>
  </si>
  <si>
    <t>LG_Chem</t>
  </si>
  <si>
    <t>Merck_Sharp</t>
  </si>
  <si>
    <t>Panacea_Biotec</t>
  </si>
  <si>
    <t>PT_Bio</t>
  </si>
  <si>
    <t>Serum_Institute</t>
  </si>
  <si>
    <t>Penta</t>
  </si>
  <si>
    <t>OPV</t>
  </si>
  <si>
    <t>DTwP-Hib</t>
  </si>
  <si>
    <t>Starting Cap</t>
  </si>
  <si>
    <t>Cap by ratio</t>
  </si>
  <si>
    <t>Scenario adjustment</t>
  </si>
  <si>
    <t>Company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</si>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</sst>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_-;\-* #,##0_-;_-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42" applyNumberFormat="1" applyFont="1"/>
    <xf numFmtId="0" fontId="0" fillId="33" borderId="0" xfId="0" applyFill="1"/>
    <xf numFmtId="0" fontId="0" fillId="0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7A5DA-6C9D-46FC-975A-A9F5DD878FF9}">
  <dimension ref="A1:B18"/>
  <sheetViews>
    <sheetView workbookViewId="0">
      <selection activeCell="C15" sqref="C15"/>
    </sheetView>
  </sheetViews>
  <sheetFormatPr defaultRowHeight="15" x14ac:dyDescent="0.25"/>
  <cols>
    <col min="1" max="1" width="18.7109375" bestFit="1" customWidth="1"/>
    <col min="2" max="2" width="1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5</v>
      </c>
      <c r="B2">
        <v>1554268.8119999999</v>
      </c>
    </row>
    <row r="3" spans="1:2" x14ac:dyDescent="0.25">
      <c r="A3" t="s">
        <v>10</v>
      </c>
      <c r="B3">
        <v>61084402.119999997</v>
      </c>
    </row>
    <row r="4" spans="1:2" x14ac:dyDescent="0.25">
      <c r="A4" t="s">
        <v>35</v>
      </c>
      <c r="B4">
        <v>2674099.1159999999</v>
      </c>
    </row>
    <row r="5" spans="1:2" x14ac:dyDescent="0.25">
      <c r="A5" t="s">
        <v>7</v>
      </c>
      <c r="B5">
        <v>6977250.5789999999</v>
      </c>
    </row>
    <row r="6" spans="1:2" x14ac:dyDescent="0.25">
      <c r="A6" t="s">
        <v>20</v>
      </c>
      <c r="B6">
        <v>366000</v>
      </c>
    </row>
    <row r="7" spans="1:2" x14ac:dyDescent="0.25">
      <c r="A7" t="s">
        <v>3</v>
      </c>
      <c r="B7">
        <v>1081708.747</v>
      </c>
    </row>
    <row r="8" spans="1:2" x14ac:dyDescent="0.25">
      <c r="A8" t="s">
        <v>11</v>
      </c>
      <c r="B8">
        <v>64210185.420000002</v>
      </c>
    </row>
    <row r="9" spans="1:2" x14ac:dyDescent="0.25">
      <c r="A9" t="s">
        <v>13</v>
      </c>
      <c r="B9">
        <v>87000000</v>
      </c>
    </row>
    <row r="10" spans="1:2" x14ac:dyDescent="0.25">
      <c r="A10" t="s">
        <v>6</v>
      </c>
      <c r="B10">
        <v>38934732.43</v>
      </c>
    </row>
    <row r="11" spans="1:2" x14ac:dyDescent="0.25">
      <c r="A11" t="s">
        <v>9</v>
      </c>
      <c r="B11">
        <v>23500755.780000001</v>
      </c>
    </row>
    <row r="12" spans="1:2" x14ac:dyDescent="0.25">
      <c r="A12" t="s">
        <v>14</v>
      </c>
      <c r="B12">
        <v>201758499.40000001</v>
      </c>
    </row>
    <row r="13" spans="1:2" x14ac:dyDescent="0.25">
      <c r="A13" t="s">
        <v>34</v>
      </c>
      <c r="B13">
        <v>347816361</v>
      </c>
    </row>
    <row r="14" spans="1:2" x14ac:dyDescent="0.25">
      <c r="A14" t="s">
        <v>8</v>
      </c>
      <c r="B14">
        <v>148936259.09999999</v>
      </c>
    </row>
    <row r="15" spans="1:2" x14ac:dyDescent="0.25">
      <c r="A15" t="s">
        <v>33</v>
      </c>
      <c r="B15">
        <v>196652183.90000001</v>
      </c>
    </row>
    <row r="16" spans="1:2" x14ac:dyDescent="0.25">
      <c r="A16" t="s">
        <v>2</v>
      </c>
      <c r="B16">
        <v>138970173.69999999</v>
      </c>
    </row>
    <row r="17" spans="1:2" x14ac:dyDescent="0.25">
      <c r="A17" t="s">
        <v>12</v>
      </c>
      <c r="B17" s="1">
        <v>188318801.59999999</v>
      </c>
    </row>
    <row r="18" spans="1:2" x14ac:dyDescent="0.25">
      <c r="A18" t="s">
        <v>4</v>
      </c>
      <c r="B18">
        <v>11549646.18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376C-AE0A-41BC-8998-FF6C9C8BC443}">
  <dimension ref="A1:J50"/>
  <sheetViews>
    <sheetView tabSelected="1" topLeftCell="A43" workbookViewId="0">
      <selection activeCell="F60" sqref="F60"/>
    </sheetView>
  </sheetViews>
  <sheetFormatPr defaultRowHeight="15" x14ac:dyDescent="0.25"/>
  <cols>
    <col min="1" max="1" width="15.140625" bestFit="1" customWidth="1"/>
    <col min="2" max="2" width="12.7109375" bestFit="1" customWidth="1"/>
    <col min="3" max="3" width="15" bestFit="1" customWidth="1"/>
    <col min="4" max="4" width="12" bestFit="1" customWidth="1"/>
    <col min="5" max="5" width="11.42578125" bestFit="1" customWidth="1"/>
    <col min="6" max="6" width="19.42578125" bestFit="1" customWidth="1"/>
    <col min="9" max="9" width="15.140625" bestFit="1" customWidth="1"/>
    <col min="10" max="10" width="12" bestFit="1" customWidth="1"/>
    <col min="11" max="11" width="14.85546875" bestFit="1" customWidth="1"/>
    <col min="12" max="12" width="14.42578125" bestFit="1" customWidth="1"/>
    <col min="14" max="14" width="11.7109375" bestFit="1" customWidth="1"/>
    <col min="15" max="15" width="15.140625" bestFit="1" customWidth="1"/>
    <col min="16" max="16" width="12" bestFit="1" customWidth="1"/>
    <col min="18" max="18" width="12.28515625" bestFit="1" customWidth="1"/>
    <col min="19" max="19" width="15.140625" bestFit="1" customWidth="1"/>
    <col min="20" max="20" width="6.85546875" bestFit="1" customWidth="1"/>
    <col min="21" max="21" width="6.5703125" bestFit="1" customWidth="1"/>
    <col min="22" max="22" width="14.7109375" bestFit="1" customWidth="1"/>
    <col min="23" max="23" width="5.85546875" bestFit="1" customWidth="1"/>
  </cols>
  <sheetData>
    <row r="1" spans="1:10" x14ac:dyDescent="0.25">
      <c r="A1" t="s">
        <v>17</v>
      </c>
      <c r="B1" t="s">
        <v>16</v>
      </c>
      <c r="C1" t="s">
        <v>0</v>
      </c>
      <c r="D1" t="s">
        <v>36</v>
      </c>
      <c r="E1" t="s">
        <v>37</v>
      </c>
      <c r="F1" t="s">
        <v>38</v>
      </c>
      <c r="I1" t="s">
        <v>39</v>
      </c>
      <c r="J1" t="s">
        <v>40</v>
      </c>
    </row>
    <row r="2" spans="1:10" x14ac:dyDescent="0.25">
      <c r="A2" t="s">
        <v>22</v>
      </c>
      <c r="B2">
        <v>0.61831770997823843</v>
      </c>
      <c r="C2" t="s">
        <v>5</v>
      </c>
      <c r="D2">
        <f>VLOOKUP(C2,starting_cap!$A$2:$B$19,2)</f>
        <v>1554268.8119999999</v>
      </c>
      <c r="E2">
        <f>D2*B2</f>
        <v>961031.9325264371</v>
      </c>
      <c r="I2" t="s">
        <v>21</v>
      </c>
      <c r="J2">
        <f>SUMIF(A:A, I2, E:E)</f>
        <v>7711002.6093016593</v>
      </c>
    </row>
    <row r="3" spans="1:10" x14ac:dyDescent="0.25">
      <c r="A3" t="s">
        <v>31</v>
      </c>
      <c r="B3">
        <v>0.38168229002176157</v>
      </c>
      <c r="C3" t="s">
        <v>5</v>
      </c>
      <c r="D3">
        <f>VLOOKUP(C3,starting_cap!$A$2:$B$19,2)</f>
        <v>1554268.8119999999</v>
      </c>
      <c r="E3">
        <f t="shared" ref="E3:E50" si="0">D3*B3</f>
        <v>593236.87947356282</v>
      </c>
      <c r="I3" t="s">
        <v>22</v>
      </c>
      <c r="J3">
        <f>SUMIF(A:A, I3, E:E)</f>
        <v>39223955.730224065</v>
      </c>
    </row>
    <row r="4" spans="1:10" x14ac:dyDescent="0.25">
      <c r="A4" t="s">
        <v>32</v>
      </c>
      <c r="B4">
        <v>0.79401392160994866</v>
      </c>
      <c r="C4" t="s">
        <v>10</v>
      </c>
      <c r="D4">
        <f>VLOOKUP(C4,starting_cap!$A$2:$B$19,2)</f>
        <v>61084402.119999997</v>
      </c>
      <c r="E4">
        <f t="shared" si="0"/>
        <v>48501865.676500261</v>
      </c>
      <c r="I4" t="s">
        <v>23</v>
      </c>
      <c r="J4">
        <f>SUMIF(A:A, I4, E:E)</f>
        <v>61029105.171949707</v>
      </c>
    </row>
    <row r="5" spans="1:10" x14ac:dyDescent="0.25">
      <c r="A5" t="s">
        <v>25</v>
      </c>
      <c r="B5">
        <v>0.20598607839005142</v>
      </c>
      <c r="C5" t="s">
        <v>10</v>
      </c>
      <c r="D5">
        <f>VLOOKUP(C5,starting_cap!$A$2:$B$19,2)</f>
        <v>61084402.119999997</v>
      </c>
      <c r="E5">
        <f t="shared" si="0"/>
        <v>12582536.443499742</v>
      </c>
      <c r="I5" t="s">
        <v>24</v>
      </c>
      <c r="J5">
        <f>SUMIF(A:A, I5, E:E)</f>
        <v>12048153.40384588</v>
      </c>
    </row>
    <row r="6" spans="1:10" x14ac:dyDescent="0.25">
      <c r="A6" t="s">
        <v>32</v>
      </c>
      <c r="B6">
        <v>1</v>
      </c>
      <c r="C6" t="s">
        <v>35</v>
      </c>
      <c r="D6">
        <f>VLOOKUP(C6,starting_cap!$A$2:$B$19,2)</f>
        <v>2674099.1159999999</v>
      </c>
      <c r="E6">
        <f t="shared" si="0"/>
        <v>2674099.1159999999</v>
      </c>
      <c r="I6" t="s">
        <v>25</v>
      </c>
      <c r="J6">
        <f>SUMIF(A:A, I6, E:E)</f>
        <v>164885690.37433171</v>
      </c>
    </row>
    <row r="7" spans="1:10" x14ac:dyDescent="0.25">
      <c r="A7" t="s">
        <v>32</v>
      </c>
      <c r="B7">
        <v>0.52512572032754001</v>
      </c>
      <c r="C7" t="s">
        <v>7</v>
      </c>
      <c r="D7">
        <f>VLOOKUP(C7,starting_cap!$A$2:$B$19,2)</f>
        <v>6977250.5789999999</v>
      </c>
      <c r="E7">
        <f t="shared" si="0"/>
        <v>3663933.7362031206</v>
      </c>
      <c r="I7" t="s">
        <v>19</v>
      </c>
      <c r="J7">
        <f>SUMIF(A:A, I7, E:E)</f>
        <v>12812242.030626908</v>
      </c>
    </row>
    <row r="8" spans="1:10" x14ac:dyDescent="0.25">
      <c r="A8" t="s">
        <v>28</v>
      </c>
      <c r="B8">
        <v>0.47487427967245899</v>
      </c>
      <c r="C8" t="s">
        <v>7</v>
      </c>
      <c r="D8">
        <f>VLOOKUP(C8,starting_cap!$A$2:$B$19,2)</f>
        <v>6977250.5789999999</v>
      </c>
      <c r="E8">
        <f t="shared" si="0"/>
        <v>3313316.8427968724</v>
      </c>
      <c r="I8" t="s">
        <v>26</v>
      </c>
      <c r="J8">
        <f>SUMIF(A:A, I8, E:E)</f>
        <v>226762685.51034766</v>
      </c>
    </row>
    <row r="9" spans="1:10" x14ac:dyDescent="0.25">
      <c r="A9" t="s">
        <v>18</v>
      </c>
      <c r="B9">
        <v>1</v>
      </c>
      <c r="C9" t="s">
        <v>20</v>
      </c>
      <c r="D9">
        <f>VLOOKUP(C9,starting_cap!$A$2:$B$19,2)</f>
        <v>366000</v>
      </c>
      <c r="E9">
        <f t="shared" si="0"/>
        <v>366000</v>
      </c>
      <c r="I9" t="s">
        <v>27</v>
      </c>
      <c r="J9">
        <f>SUMIF(A:A, I9, E:E)</f>
        <v>80972854.804214105</v>
      </c>
    </row>
    <row r="10" spans="1:10" x14ac:dyDescent="0.25">
      <c r="A10" t="s">
        <v>32</v>
      </c>
      <c r="B10">
        <v>1</v>
      </c>
      <c r="C10" t="s">
        <v>3</v>
      </c>
      <c r="D10">
        <f>VLOOKUP(C10,starting_cap!$A$2:$B$19,2)</f>
        <v>1081708.747</v>
      </c>
      <c r="E10">
        <f t="shared" si="0"/>
        <v>1081708.747</v>
      </c>
      <c r="I10" t="s">
        <v>28</v>
      </c>
      <c r="J10">
        <f>SUMIF(A:A, I10, E:E)</f>
        <v>43702187.372505918</v>
      </c>
    </row>
    <row r="11" spans="1:10" x14ac:dyDescent="0.25">
      <c r="A11" t="s">
        <v>29</v>
      </c>
      <c r="B11">
        <v>0.88757027197187544</v>
      </c>
      <c r="C11" t="s">
        <v>11</v>
      </c>
      <c r="D11">
        <f>VLOOKUP(C11,starting_cap!$A$2:$B$19,2)</f>
        <v>64210185.420000002</v>
      </c>
      <c r="E11">
        <f t="shared" si="0"/>
        <v>56991051.736593954</v>
      </c>
      <c r="I11" t="s">
        <v>29</v>
      </c>
      <c r="J11">
        <f>SUMIF(A:A, I11, E:E)</f>
        <v>56991051.736593954</v>
      </c>
    </row>
    <row r="12" spans="1:10" x14ac:dyDescent="0.25">
      <c r="A12" t="s">
        <v>26</v>
      </c>
      <c r="B12">
        <v>7.5820864829665865E-2</v>
      </c>
      <c r="C12" t="s">
        <v>11</v>
      </c>
      <c r="D12">
        <f>VLOOKUP(C12,starting_cap!$A$2:$B$19,2)</f>
        <v>64210185.420000002</v>
      </c>
      <c r="E12">
        <f t="shared" si="0"/>
        <v>4868471.7894176021</v>
      </c>
      <c r="I12" t="s">
        <v>30</v>
      </c>
      <c r="J12">
        <f>SUMIF(A:A, I12, E:E)</f>
        <v>10874165.558588434</v>
      </c>
    </row>
    <row r="13" spans="1:10" x14ac:dyDescent="0.25">
      <c r="A13" t="s">
        <v>19</v>
      </c>
      <c r="B13">
        <v>3.6608863198458602E-2</v>
      </c>
      <c r="C13" t="s">
        <v>11</v>
      </c>
      <c r="D13">
        <f>VLOOKUP(C13,starting_cap!$A$2:$B$19,2)</f>
        <v>64210185.420000002</v>
      </c>
      <c r="E13">
        <f t="shared" si="0"/>
        <v>2350661.8939884412</v>
      </c>
      <c r="I13" t="s">
        <v>15</v>
      </c>
      <c r="J13">
        <f>SUMIF(A:A, I13, E:E)</f>
        <v>83916974.022668451</v>
      </c>
    </row>
    <row r="14" spans="1:10" x14ac:dyDescent="0.25">
      <c r="A14" t="s">
        <v>18</v>
      </c>
      <c r="B14">
        <v>0.74287578329988224</v>
      </c>
      <c r="C14" t="s">
        <v>13</v>
      </c>
      <c r="D14">
        <f>VLOOKUP(C14,starting_cap!$A$2:$B$19,2)</f>
        <v>87000000</v>
      </c>
      <c r="E14">
        <f t="shared" si="0"/>
        <v>64630193.147089757</v>
      </c>
      <c r="I14" t="s">
        <v>31</v>
      </c>
      <c r="J14">
        <f>SUMIF(A:A, I14, E:E)</f>
        <v>45911731.125812441</v>
      </c>
    </row>
    <row r="15" spans="1:10" x14ac:dyDescent="0.25">
      <c r="A15" t="s">
        <v>24</v>
      </c>
      <c r="B15">
        <v>0.13848452188328597</v>
      </c>
      <c r="C15" t="s">
        <v>13</v>
      </c>
      <c r="D15">
        <f>VLOOKUP(C15,starting_cap!$A$2:$B$19,2)</f>
        <v>87000000</v>
      </c>
      <c r="E15">
        <f t="shared" si="0"/>
        <v>12048153.40384588</v>
      </c>
      <c r="I15" t="s">
        <v>18</v>
      </c>
      <c r="J15">
        <f>SUMIF(A:A, I15, E:E)</f>
        <v>87429432.386722356</v>
      </c>
    </row>
    <row r="16" spans="1:10" x14ac:dyDescent="0.25">
      <c r="A16" t="s">
        <v>28</v>
      </c>
      <c r="B16">
        <v>3.0007480916812632E-2</v>
      </c>
      <c r="C16" t="s">
        <v>13</v>
      </c>
      <c r="D16">
        <f>VLOOKUP(C16,starting_cap!$A$2:$B$19,2)</f>
        <v>87000000</v>
      </c>
      <c r="E16">
        <f t="shared" si="0"/>
        <v>2610650.8397626989</v>
      </c>
      <c r="I16" t="s">
        <v>32</v>
      </c>
      <c r="J16">
        <f>SUMIF(A:A, I16, E:E)</f>
        <v>587114096.04626513</v>
      </c>
    </row>
    <row r="17" spans="1:5" x14ac:dyDescent="0.25">
      <c r="A17" t="s">
        <v>21</v>
      </c>
      <c r="B17">
        <v>8.8632213900019075E-2</v>
      </c>
      <c r="C17" t="s">
        <v>13</v>
      </c>
      <c r="D17">
        <f>VLOOKUP(C17,starting_cap!$A$2:$B$19,2)</f>
        <v>87000000</v>
      </c>
      <c r="E17">
        <f t="shared" si="0"/>
        <v>7711002.6093016593</v>
      </c>
    </row>
    <row r="18" spans="1:5" x14ac:dyDescent="0.25">
      <c r="A18" t="s">
        <v>32</v>
      </c>
      <c r="B18">
        <v>0.84733915633184897</v>
      </c>
      <c r="C18" t="s">
        <v>6</v>
      </c>
      <c r="D18">
        <f>VLOOKUP(C18,starting_cap!$A$2:$B$19,2)</f>
        <v>38934732.43</v>
      </c>
      <c r="E18">
        <f t="shared" si="0"/>
        <v>32990923.329242479</v>
      </c>
    </row>
    <row r="19" spans="1:5" x14ac:dyDescent="0.25">
      <c r="A19" t="s">
        <v>31</v>
      </c>
      <c r="B19">
        <v>0.15266084366815</v>
      </c>
      <c r="C19" t="s">
        <v>6</v>
      </c>
      <c r="D19">
        <f>VLOOKUP(C19,starting_cap!$A$2:$B$19,2)</f>
        <v>38934732.43</v>
      </c>
      <c r="E19">
        <f t="shared" si="0"/>
        <v>5943809.1007574797</v>
      </c>
    </row>
    <row r="20" spans="1:5" x14ac:dyDescent="0.25">
      <c r="A20" t="s">
        <v>32</v>
      </c>
      <c r="B20">
        <v>0.73266544221843499</v>
      </c>
      <c r="C20" t="s">
        <v>9</v>
      </c>
      <c r="D20">
        <f>VLOOKUP(C20,starting_cap!$A$2:$B$19,2)</f>
        <v>23500755.780000001</v>
      </c>
      <c r="E20">
        <f t="shared" si="0"/>
        <v>17218191.626021143</v>
      </c>
    </row>
    <row r="21" spans="1:5" x14ac:dyDescent="0.25">
      <c r="A21" t="s">
        <v>26</v>
      </c>
      <c r="B21">
        <v>0.26733455778156401</v>
      </c>
      <c r="C21" t="s">
        <v>9</v>
      </c>
      <c r="D21">
        <f>VLOOKUP(C21,starting_cap!$A$2:$B$19,2)</f>
        <v>23500755.780000001</v>
      </c>
      <c r="E21">
        <f t="shared" si="0"/>
        <v>6282564.1539788349</v>
      </c>
    </row>
    <row r="22" spans="1:5" x14ac:dyDescent="0.25">
      <c r="A22" t="s">
        <v>32</v>
      </c>
      <c r="B22">
        <v>0.841178437394558</v>
      </c>
      <c r="C22" t="s">
        <v>14</v>
      </c>
      <c r="D22">
        <f>VLOOKUP(C22,starting_cap!$A$2:$B$19,2)</f>
        <v>201758499.40000001</v>
      </c>
      <c r="E22">
        <f t="shared" si="0"/>
        <v>169714899.25636289</v>
      </c>
    </row>
    <row r="23" spans="1:5" x14ac:dyDescent="0.25">
      <c r="A23" t="s">
        <v>25</v>
      </c>
      <c r="B23">
        <v>0.158821562605441</v>
      </c>
      <c r="C23" t="s">
        <v>14</v>
      </c>
      <c r="D23">
        <f>VLOOKUP(C23,starting_cap!$A$2:$B$19,2)</f>
        <v>201758499.40000001</v>
      </c>
      <c r="E23">
        <f t="shared" si="0"/>
        <v>32043600.143636931</v>
      </c>
    </row>
    <row r="24" spans="1:5" x14ac:dyDescent="0.25">
      <c r="A24" t="s">
        <v>32</v>
      </c>
      <c r="B24">
        <v>0.39454798551666598</v>
      </c>
      <c r="C24" t="s">
        <v>34</v>
      </c>
      <c r="D24">
        <f>VLOOKUP(C24,starting_cap!$A$2:$B$19,2)</f>
        <v>347816361</v>
      </c>
      <c r="E24">
        <f t="shared" si="0"/>
        <v>137230244.56228748</v>
      </c>
    </row>
    <row r="25" spans="1:5" x14ac:dyDescent="0.25">
      <c r="A25" t="s">
        <v>27</v>
      </c>
      <c r="B25">
        <v>0.23280346724176701</v>
      </c>
      <c r="C25" t="s">
        <v>34</v>
      </c>
      <c r="D25">
        <f>VLOOKUP(C25,starting_cap!$A$2:$B$19,2)</f>
        <v>347816361</v>
      </c>
      <c r="E25">
        <f t="shared" si="0"/>
        <v>80972854.804214105</v>
      </c>
    </row>
    <row r="26" spans="1:5" x14ac:dyDescent="0.25">
      <c r="A26" t="s">
        <v>23</v>
      </c>
      <c r="B26">
        <v>0.165439934217085</v>
      </c>
      <c r="C26" t="s">
        <v>34</v>
      </c>
      <c r="D26">
        <f>VLOOKUP(C26,starting_cap!$A$2:$B$19,2)</f>
        <v>347816361</v>
      </c>
      <c r="E26">
        <f t="shared" si="0"/>
        <v>57542715.883465886</v>
      </c>
    </row>
    <row r="27" spans="1:5" x14ac:dyDescent="0.25">
      <c r="A27" t="s">
        <v>26</v>
      </c>
      <c r="B27">
        <v>7.9812538359880295E-2</v>
      </c>
      <c r="C27" t="s">
        <v>34</v>
      </c>
      <c r="D27">
        <f>VLOOKUP(C27,starting_cap!$A$2:$B$19,2)</f>
        <v>347816361</v>
      </c>
      <c r="E27">
        <f t="shared" si="0"/>
        <v>27760106.654506471</v>
      </c>
    </row>
    <row r="28" spans="1:5" x14ac:dyDescent="0.25">
      <c r="A28" t="s">
        <v>18</v>
      </c>
      <c r="B28">
        <v>6.4497366297362302E-2</v>
      </c>
      <c r="C28" t="s">
        <v>34</v>
      </c>
      <c r="D28">
        <f>VLOOKUP(C28,starting_cap!$A$2:$B$19,2)</f>
        <v>347816361</v>
      </c>
      <c r="E28">
        <f t="shared" si="0"/>
        <v>22433239.239632599</v>
      </c>
    </row>
    <row r="29" spans="1:5" x14ac:dyDescent="0.25">
      <c r="A29" t="s">
        <v>19</v>
      </c>
      <c r="B29">
        <v>3.0077883934385902E-2</v>
      </c>
      <c r="C29" t="s">
        <v>34</v>
      </c>
      <c r="D29">
        <f>VLOOKUP(C29,starting_cap!$A$2:$B$19,2)</f>
        <v>347816361</v>
      </c>
      <c r="E29">
        <f t="shared" si="0"/>
        <v>10461580.136638466</v>
      </c>
    </row>
    <row r="30" spans="1:5" x14ac:dyDescent="0.25">
      <c r="A30" t="s">
        <v>31</v>
      </c>
      <c r="B30">
        <v>3.00746331444584E-2</v>
      </c>
      <c r="C30" t="s">
        <v>34</v>
      </c>
      <c r="D30">
        <f>VLOOKUP(C30,starting_cap!$A$2:$B$19,2)</f>
        <v>347816361</v>
      </c>
      <c r="E30">
        <f t="shared" si="0"/>
        <v>10460449.458715508</v>
      </c>
    </row>
    <row r="31" spans="1:5" x14ac:dyDescent="0.25">
      <c r="A31" t="s">
        <v>30</v>
      </c>
      <c r="B31">
        <v>2.7461912883932999E-3</v>
      </c>
      <c r="C31" t="s">
        <v>34</v>
      </c>
      <c r="D31">
        <f>VLOOKUP(C31,starting_cap!$A$2:$B$19,2)</f>
        <v>347816361</v>
      </c>
      <c r="E31" s="2">
        <f t="shared" si="0"/>
        <v>955170.26053885918</v>
      </c>
    </row>
    <row r="32" spans="1:5" x14ac:dyDescent="0.25">
      <c r="A32" t="s">
        <v>15</v>
      </c>
      <c r="B32">
        <v>0.56344220359613195</v>
      </c>
      <c r="C32" t="s">
        <v>8</v>
      </c>
      <c r="D32">
        <f>VLOOKUP(C32,starting_cap!$A$2:$B$19,2)</f>
        <v>148936259.09999999</v>
      </c>
      <c r="E32">
        <f t="shared" si="0"/>
        <v>83916974.022668451</v>
      </c>
    </row>
    <row r="33" spans="1:5" x14ac:dyDescent="0.25">
      <c r="A33" t="s">
        <v>26</v>
      </c>
      <c r="B33">
        <v>0.407494488007414</v>
      </c>
      <c r="C33" t="s">
        <v>8</v>
      </c>
      <c r="D33">
        <f>VLOOKUP(C33,starting_cap!$A$2:$B$19,2)</f>
        <v>148936259.09999999</v>
      </c>
      <c r="E33">
        <f t="shared" si="0"/>
        <v>60690704.647694051</v>
      </c>
    </row>
    <row r="34" spans="1:5" x14ac:dyDescent="0.25">
      <c r="A34" t="s">
        <v>32</v>
      </c>
      <c r="B34">
        <v>2.9063308396452301E-2</v>
      </c>
      <c r="C34" t="s">
        <v>8</v>
      </c>
      <c r="D34">
        <f>VLOOKUP(C34,starting_cap!$A$2:$B$19,2)</f>
        <v>148936259.09999999</v>
      </c>
      <c r="E34">
        <f t="shared" si="0"/>
        <v>4328580.4296372253</v>
      </c>
    </row>
    <row r="35" spans="1:5" x14ac:dyDescent="0.25">
      <c r="A35" t="s">
        <v>32</v>
      </c>
      <c r="B35">
        <v>0.50508041868836795</v>
      </c>
      <c r="C35" t="s">
        <v>33</v>
      </c>
      <c r="D35">
        <f>VLOOKUP(C35,starting_cap!$A$2:$B$19,2)</f>
        <v>196652183.90000001</v>
      </c>
      <c r="E35">
        <f t="shared" si="0"/>
        <v>99325167.380193934</v>
      </c>
    </row>
    <row r="36" spans="1:5" x14ac:dyDescent="0.25">
      <c r="A36" t="s">
        <v>25</v>
      </c>
      <c r="B36">
        <v>0.23963301566776399</v>
      </c>
      <c r="C36" t="s">
        <v>33</v>
      </c>
      <c r="D36">
        <f>VLOOKUP(C36,starting_cap!$A$2:$B$19,2)</f>
        <v>196652183.90000001</v>
      </c>
      <c r="E36">
        <f>D36*B36</f>
        <v>47124355.865608707</v>
      </c>
    </row>
    <row r="37" spans="1:5" x14ac:dyDescent="0.25">
      <c r="A37" t="s">
        <v>28</v>
      </c>
      <c r="B37">
        <v>0.19210678946315199</v>
      </c>
      <c r="C37" t="s">
        <v>33</v>
      </c>
      <c r="D37">
        <f>VLOOKUP(C37,starting_cap!$A$2:$B$19,2)</f>
        <v>196652183.90000001</v>
      </c>
      <c r="E37">
        <f t="shared" si="0"/>
        <v>37778219.689946346</v>
      </c>
    </row>
    <row r="38" spans="1:5" x14ac:dyDescent="0.25">
      <c r="A38" t="s">
        <v>30</v>
      </c>
      <c r="B38">
        <v>5.0439283720812897E-2</v>
      </c>
      <c r="C38" t="s">
        <v>33</v>
      </c>
      <c r="D38">
        <f>VLOOKUP(C38,starting_cap!$A$2:$B$19,2)</f>
        <v>196652183.90000001</v>
      </c>
      <c r="E38" s="3">
        <f t="shared" si="0"/>
        <v>9918995.2980495747</v>
      </c>
    </row>
    <row r="39" spans="1:5" x14ac:dyDescent="0.25">
      <c r="A39" t="s">
        <v>31</v>
      </c>
      <c r="B39">
        <v>1.2740492459903101E-2</v>
      </c>
      <c r="C39" t="s">
        <v>33</v>
      </c>
      <c r="D39">
        <f>VLOOKUP(C39,starting_cap!$A$2:$B$19,2)</f>
        <v>196652183.90000001</v>
      </c>
      <c r="E39">
        <f t="shared" si="0"/>
        <v>2505445.666201428</v>
      </c>
    </row>
    <row r="40" spans="1:5" x14ac:dyDescent="0.25">
      <c r="A40" t="s">
        <v>26</v>
      </c>
      <c r="B40">
        <v>0.91502251799193601</v>
      </c>
      <c r="C40" t="s">
        <v>2</v>
      </c>
      <c r="D40">
        <f>VLOOKUP(C40,starting_cap!$A$2:$B$19,2)</f>
        <v>138970173.69999999</v>
      </c>
      <c r="E40">
        <f t="shared" si="0"/>
        <v>127160838.26475072</v>
      </c>
    </row>
    <row r="41" spans="1:5" x14ac:dyDescent="0.25">
      <c r="A41" t="s">
        <v>32</v>
      </c>
      <c r="B41">
        <v>5.9890161501362497E-2</v>
      </c>
      <c r="C41" t="s">
        <v>2</v>
      </c>
      <c r="D41">
        <f>VLOOKUP(C41,starting_cap!$A$2:$B$19,2)</f>
        <v>138970173.69999999</v>
      </c>
      <c r="E41">
        <f t="shared" si="0"/>
        <v>8322946.1467653988</v>
      </c>
    </row>
    <row r="42" spans="1:5" x14ac:dyDescent="0.25">
      <c r="A42" t="s">
        <v>23</v>
      </c>
      <c r="B42">
        <v>2.5087320506701101E-2</v>
      </c>
      <c r="C42" t="s">
        <v>2</v>
      </c>
      <c r="D42">
        <f>VLOOKUP(C42,starting_cap!$A$2:$B$19,2)</f>
        <v>138970173.69999999</v>
      </c>
      <c r="E42">
        <f t="shared" si="0"/>
        <v>3486389.2884838236</v>
      </c>
    </row>
    <row r="43" spans="1:5" x14ac:dyDescent="0.25">
      <c r="A43" t="s">
        <v>25</v>
      </c>
      <c r="B43">
        <v>0.352162617276225</v>
      </c>
      <c r="C43" t="s">
        <v>12</v>
      </c>
      <c r="D43">
        <f>VLOOKUP(C43,starting_cap!$A$2:$B$19,2)</f>
        <v>188318801.59999999</v>
      </c>
      <c r="E43">
        <f t="shared" si="0"/>
        <v>66318842.053778149</v>
      </c>
    </row>
    <row r="44" spans="1:5" x14ac:dyDescent="0.25">
      <c r="A44" t="s">
        <v>32</v>
      </c>
      <c r="B44">
        <v>0.31873823734484802</v>
      </c>
      <c r="C44" t="s">
        <v>12</v>
      </c>
      <c r="D44">
        <f>VLOOKUP(C44,starting_cap!$A$2:$B$19,2)</f>
        <v>188318801.59999999</v>
      </c>
      <c r="E44">
        <f t="shared" si="0"/>
        <v>60024402.880878143</v>
      </c>
    </row>
    <row r="45" spans="1:5" x14ac:dyDescent="0.25">
      <c r="A45" t="s">
        <v>22</v>
      </c>
      <c r="B45">
        <v>0.192155901226716</v>
      </c>
      <c r="C45" t="s">
        <v>12</v>
      </c>
      <c r="D45">
        <f>VLOOKUP(C45,starting_cap!$A$2:$B$19,2)</f>
        <v>188318801.59999999</v>
      </c>
      <c r="E45">
        <f t="shared" si="0"/>
        <v>36186569.039383128</v>
      </c>
    </row>
    <row r="46" spans="1:5" x14ac:dyDescent="0.25">
      <c r="A46" t="s">
        <v>31</v>
      </c>
      <c r="B46">
        <v>0.13694324415220899</v>
      </c>
      <c r="C46" t="s">
        <v>12</v>
      </c>
      <c r="D46">
        <f>VLOOKUP(C46,starting_cap!$A$2:$B$19,2)</f>
        <v>188318801.59999999</v>
      </c>
      <c r="E46">
        <f t="shared" si="0"/>
        <v>25788987.625960205</v>
      </c>
    </row>
    <row r="47" spans="1:5" x14ac:dyDescent="0.25">
      <c r="A47" t="s">
        <v>25</v>
      </c>
      <c r="B47">
        <v>0.590178760593704</v>
      </c>
      <c r="C47" t="s">
        <v>4</v>
      </c>
      <c r="D47">
        <f>VLOOKUP(C47,starting_cap!$A$2:$B$19,2)</f>
        <v>11549646.18</v>
      </c>
      <c r="E47">
        <f t="shared" si="0"/>
        <v>6816355.8678082079</v>
      </c>
    </row>
    <row r="48" spans="1:5" x14ac:dyDescent="0.25">
      <c r="A48" t="s">
        <v>22</v>
      </c>
      <c r="B48">
        <v>0.17977648197656701</v>
      </c>
      <c r="C48" t="s">
        <v>4</v>
      </c>
      <c r="D48">
        <f>VLOOKUP(C48,starting_cap!$A$2:$B$19,2)</f>
        <v>11549646.18</v>
      </c>
      <c r="E48">
        <f t="shared" si="0"/>
        <v>2076354.7583144959</v>
      </c>
    </row>
    <row r="49" spans="1:5" x14ac:dyDescent="0.25">
      <c r="A49" t="s">
        <v>32</v>
      </c>
      <c r="B49">
        <v>0.176380568497469</v>
      </c>
      <c r="C49" t="s">
        <v>4</v>
      </c>
      <c r="D49">
        <f>VLOOKUP(C49,starting_cap!$A$2:$B$19,2)</f>
        <v>11549646.18</v>
      </c>
      <c r="E49">
        <f t="shared" si="0"/>
        <v>2037133.1591730211</v>
      </c>
    </row>
    <row r="50" spans="1:5" x14ac:dyDescent="0.25">
      <c r="A50" t="s">
        <v>31</v>
      </c>
      <c r="B50">
        <v>5.3664188932258203E-2</v>
      </c>
      <c r="C50" t="s">
        <v>4</v>
      </c>
      <c r="D50">
        <f>VLOOKUP(C50,starting_cap!$A$2:$B$19,2)</f>
        <v>11549646.18</v>
      </c>
      <c r="E50">
        <f t="shared" si="0"/>
        <v>619802.39470425423</v>
      </c>
    </row>
  </sheetData>
  <autoFilter ref="A1:E51" xr:uid="{B5B0376C-AE0A-41BC-8998-FF6C9C8BC44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starting_cap</vt:lpstr>
      <vt:lpstr>prop_by_manuf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uhorchak</dc:creator>
  <cp:lastModifiedBy>nicholas uhorchak</cp:lastModifiedBy>
  <dcterms:created xsi:type="dcterms:W3CDTF">2024-06-28T16:02:18Z</dcterms:created>
  <dcterms:modified xsi:type="dcterms:W3CDTF">2024-08-24T20:03:39Z</dcterms:modified>
</cp:coreProperties>
</file>