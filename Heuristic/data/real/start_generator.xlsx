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"/>
    </mc:Choice>
  </mc:AlternateContent>
  <xr:revisionPtr revIDLastSave="0" documentId="8_{B85D085A-19C2-43D8-BE5B-5625CEB2C3E0}" xr6:coauthVersionLast="47" xr6:coauthVersionMax="47" xr10:uidLastSave="{00000000-0000-0000-0000-000000000000}"/>
  <bookViews>
    <workbookView xWindow="-120" yWindow="-120" windowWidth="20730" windowHeight="11040" activeTab="1" xr2:uid="{11746B91-1220-436F-8126-EEF4BA69D2A9}"/>
  </bookViews>
  <sheets>
    <sheet name="antigen_demand_80_20_2_scenario" sheetId="1" r:id="rId1"/>
    <sheet name="Sheet1" sheetId="2" r:id="rId2"/>
  </sheets>
  <definedNames>
    <definedName name="_xlnm._FilterDatabase" localSheetId="0" hidden="1">antigen_demand_80_20_2_scenario!$A$1:$D$25</definedName>
  </definedNames>
  <calcPr calcId="0"/>
</workbook>
</file>

<file path=xl/calcChain.xml><?xml version="1.0" encoding="utf-8"?>
<calcChain xmlns="http://schemas.openxmlformats.org/spreadsheetml/2006/main">
  <c r="F8" i="2" l="1"/>
  <c r="F9" i="2"/>
  <c r="F7" i="2"/>
  <c r="D8" i="2"/>
  <c r="D7" i="2" s="1"/>
  <c r="E8" i="2"/>
  <c r="E7" i="2" s="1"/>
  <c r="C7" i="2"/>
  <c r="C8" i="2"/>
  <c r="D9" i="2"/>
  <c r="E9" i="2"/>
  <c r="C9" i="2"/>
</calcChain>
</file>

<file path=xl/sharedStrings.xml><?xml version="1.0" encoding="utf-8"?>
<sst xmlns="http://schemas.openxmlformats.org/spreadsheetml/2006/main" count="58" uniqueCount="43">
  <si>
    <t>antigen</t>
  </si>
  <si>
    <t>demands</t>
  </si>
  <si>
    <t>prob</t>
  </si>
  <si>
    <t>demand_SID</t>
  </si>
  <si>
    <t>Diphtheria</t>
  </si>
  <si>
    <t>[570550200, 619539900, 626455400, 594496900, 595980200, 587103300, 593084700, 587954100, 594707400, 600159000]</t>
  </si>
  <si>
    <t>[671961200, 806951400, 898979700, 834518400, 654102700, 1077658900, 1005487700, 1459749600, 1599437900, 2038009600]</t>
  </si>
  <si>
    <t>HPV</t>
  </si>
  <si>
    <t>[18988200, 18779800, 27460000, 72849500, 92670600, 64703800, 42237000, 42368400, 33730500, 35038500]</t>
  </si>
  <si>
    <t>[27731600, 34629900, 43410500, 45301300, 50540400, 59995100, 67826500, 74584700, 85801100, 88236500]</t>
  </si>
  <si>
    <t>Hepatitis_B</t>
  </si>
  <si>
    <t>[312284600, 343008200, 351717800, 334973600, 334455600, 328430100, 332308900, 328200500, 332214900, 335525400]</t>
  </si>
  <si>
    <t>[346852400, 439985000, 375508800, 327653200, 403873600, 392081200, 494454100, 414794000, 397375400, 506342000]</t>
  </si>
  <si>
    <t>Hib</t>
  </si>
  <si>
    <t>[259536200, 282777100, 287252900, 274027900, 274339400, 270041300, 273119600, 270415600, 273713400, 276715500]</t>
  </si>
  <si>
    <t>[273916300, 329319200, 322078800, 347465800, 351177900, 382722700, 381659000, 390134500, 387135200, 398861500]</t>
  </si>
  <si>
    <t>Polio</t>
  </si>
  <si>
    <t>[522182000, 582182300, 608631800, 590689600, 591743500, 572503000, 130824100, 128516200, 130807300, 132956000]</t>
  </si>
  <si>
    <t>[634745000, 668584400, 704171700, 718635900, 793429000, 789611700, 821959800, 791859400, 794890900, 975111300]</t>
  </si>
  <si>
    <t>Measles</t>
  </si>
  <si>
    <t>[420097000, 358616900, 394831600, 346093200, 377569100, 407486200, 271512200, 386591100, 290515900, 326808200]</t>
  </si>
  <si>
    <t>[328227800, 454099100, 595664200, 719932500, 744078900, 604174000, 1073350100, 764613900, 1053649100, 1020314100]</t>
  </si>
  <si>
    <t>Mumps</t>
  </si>
  <si>
    <t>[26052200, 26626400, 25785400, 25268100, 23536200, 16205400, 18650400, 8909600, 10718500, 12977700]</t>
  </si>
  <si>
    <t>[36420400, 27790700, 22650800, 46488400, 40530500, 34730800, 52074300, 49162500, 57124300, 61173000]</t>
  </si>
  <si>
    <t>PCV</t>
  </si>
  <si>
    <t>[160800200, 186996100, 209165500, 205938500, 220998700, 219106600, 222271100, 217335600, 218764600, 220234300]</t>
  </si>
  <si>
    <t>[235425200, 256608900, 285270700, 378421400, 333352500, 336574700, 438319700, 457157700, 425933000, 659626500]</t>
  </si>
  <si>
    <t>Pertussis</t>
  </si>
  <si>
    <t>[320662700, 347414000, 352464600, 335977000, 334855300, 328035800, 331237500, 328308900, 331462200, 334312000]</t>
  </si>
  <si>
    <t>[367116900, 362365100, 377750200, 367897100, 362899200, 391714800, 368280500, 370618200, 400792100, 427623900]</t>
  </si>
  <si>
    <t>Rotavirus</t>
  </si>
  <si>
    <t>[142479000, 166422100, 173751400, 186328400, 197668300, 205652300, 209552800, 207355600, 209606300, 211802800]</t>
  </si>
  <si>
    <t>[181033600, 251145700, 196360500, 165022000, 316685200, 460136300, 376552300, 568262500, 766224300, 717188900]</t>
  </si>
  <si>
    <t>Rubella</t>
  </si>
  <si>
    <t>[357331300, 254011400, 304621400, 276893800, 291347300, 386542700, 259074600, 385691400, 289592400, 325856600]</t>
  </si>
  <si>
    <t>[320372200, 397600400, 429531300, 414438200, 644513300, 443738900, 632560700, 642992400, 786697900, 698642400]</t>
  </si>
  <si>
    <t>Tetanus</t>
  </si>
  <si>
    <t>[577730200, 626351000, 633278500, 601333100, 598872900, 590040100, 596064300, 590973100, 597764600, 603248400]</t>
  </si>
  <si>
    <t>[644876400, 655930500, 619368000, 698180200, 640386400, 663918000, 632722300, 677456500, 798782900, 731805100]</t>
  </si>
  <si>
    <t>M</t>
  </si>
  <si>
    <t>MR</t>
  </si>
  <si>
    <t>MMR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</si>
</sst>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DDF3-FC1E-4240-BF63-0E194BD6E8FC}">
  <sheetPr filterMode="1"/>
  <dimension ref="A1:D25"/>
  <sheetViews>
    <sheetView workbookViewId="0">
      <selection activeCell="B22" sqref="B22"/>
    </sheetView>
  </sheetViews>
  <sheetFormatPr defaultRowHeight="15" x14ac:dyDescent="0.25"/>
  <cols>
    <col min="2" max="2" width="10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5</v>
      </c>
      <c r="C2">
        <v>0.8</v>
      </c>
      <c r="D2">
        <v>1</v>
      </c>
    </row>
    <row r="3" spans="1:4" hidden="1" x14ac:dyDescent="0.25">
      <c r="A3" t="s">
        <v>4</v>
      </c>
      <c r="B3" t="s">
        <v>6</v>
      </c>
      <c r="C3">
        <v>0.2</v>
      </c>
      <c r="D3">
        <v>2</v>
      </c>
    </row>
    <row r="4" spans="1:4" hidden="1" x14ac:dyDescent="0.25">
      <c r="A4" t="s">
        <v>7</v>
      </c>
      <c r="B4" t="s">
        <v>8</v>
      </c>
      <c r="C4">
        <v>0.8</v>
      </c>
      <c r="D4">
        <v>1</v>
      </c>
    </row>
    <row r="5" spans="1:4" hidden="1" x14ac:dyDescent="0.25">
      <c r="A5" t="s">
        <v>7</v>
      </c>
      <c r="B5" t="s">
        <v>9</v>
      </c>
      <c r="C5">
        <v>0.2</v>
      </c>
      <c r="D5">
        <v>2</v>
      </c>
    </row>
    <row r="6" spans="1:4" hidden="1" x14ac:dyDescent="0.25">
      <c r="A6" t="s">
        <v>10</v>
      </c>
      <c r="B6" t="s">
        <v>11</v>
      </c>
      <c r="C6">
        <v>0.8</v>
      </c>
      <c r="D6">
        <v>1</v>
      </c>
    </row>
    <row r="7" spans="1:4" hidden="1" x14ac:dyDescent="0.25">
      <c r="A7" t="s">
        <v>10</v>
      </c>
      <c r="B7" t="s">
        <v>12</v>
      </c>
      <c r="C7">
        <v>0.2</v>
      </c>
      <c r="D7">
        <v>2</v>
      </c>
    </row>
    <row r="8" spans="1:4" hidden="1" x14ac:dyDescent="0.25">
      <c r="A8" t="s">
        <v>13</v>
      </c>
      <c r="B8" t="s">
        <v>14</v>
      </c>
      <c r="C8">
        <v>0.8</v>
      </c>
      <c r="D8">
        <v>1</v>
      </c>
    </row>
    <row r="9" spans="1:4" hidden="1" x14ac:dyDescent="0.25">
      <c r="A9" t="s">
        <v>13</v>
      </c>
      <c r="B9" t="s">
        <v>15</v>
      </c>
      <c r="C9">
        <v>0.2</v>
      </c>
      <c r="D9">
        <v>2</v>
      </c>
    </row>
    <row r="10" spans="1:4" hidden="1" x14ac:dyDescent="0.25">
      <c r="A10" t="s">
        <v>16</v>
      </c>
      <c r="B10" t="s">
        <v>17</v>
      </c>
      <c r="C10">
        <v>0.8</v>
      </c>
      <c r="D10">
        <v>1</v>
      </c>
    </row>
    <row r="11" spans="1:4" hidden="1" x14ac:dyDescent="0.25">
      <c r="A11" t="s">
        <v>16</v>
      </c>
      <c r="B11" t="s">
        <v>18</v>
      </c>
      <c r="C11">
        <v>0.2</v>
      </c>
      <c r="D11">
        <v>2</v>
      </c>
    </row>
    <row r="12" spans="1:4" x14ac:dyDescent="0.25">
      <c r="A12" t="s">
        <v>19</v>
      </c>
      <c r="B12" t="s">
        <v>20</v>
      </c>
      <c r="C12">
        <v>0.8</v>
      </c>
      <c r="D12">
        <v>1</v>
      </c>
    </row>
    <row r="13" spans="1:4" hidden="1" x14ac:dyDescent="0.25">
      <c r="A13" t="s">
        <v>19</v>
      </c>
      <c r="B13" t="s">
        <v>21</v>
      </c>
      <c r="C13">
        <v>0.2</v>
      </c>
      <c r="D13">
        <v>2</v>
      </c>
    </row>
    <row r="14" spans="1:4" x14ac:dyDescent="0.25">
      <c r="A14" t="s">
        <v>22</v>
      </c>
      <c r="B14" t="s">
        <v>23</v>
      </c>
      <c r="C14">
        <v>0.8</v>
      </c>
      <c r="D14">
        <v>1</v>
      </c>
    </row>
    <row r="15" spans="1:4" hidden="1" x14ac:dyDescent="0.25">
      <c r="A15" t="s">
        <v>22</v>
      </c>
      <c r="B15" t="s">
        <v>24</v>
      </c>
      <c r="C15">
        <v>0.2</v>
      </c>
      <c r="D15">
        <v>2</v>
      </c>
    </row>
    <row r="16" spans="1:4" hidden="1" x14ac:dyDescent="0.25">
      <c r="A16" t="s">
        <v>25</v>
      </c>
      <c r="B16" t="s">
        <v>26</v>
      </c>
      <c r="C16">
        <v>0.8</v>
      </c>
      <c r="D16">
        <v>1</v>
      </c>
    </row>
    <row r="17" spans="1:4" hidden="1" x14ac:dyDescent="0.25">
      <c r="A17" t="s">
        <v>25</v>
      </c>
      <c r="B17" t="s">
        <v>27</v>
      </c>
      <c r="C17">
        <v>0.2</v>
      </c>
      <c r="D17">
        <v>2</v>
      </c>
    </row>
    <row r="18" spans="1:4" hidden="1" x14ac:dyDescent="0.25">
      <c r="A18" t="s">
        <v>28</v>
      </c>
      <c r="B18" t="s">
        <v>29</v>
      </c>
      <c r="C18">
        <v>0.8</v>
      </c>
      <c r="D18">
        <v>1</v>
      </c>
    </row>
    <row r="19" spans="1:4" hidden="1" x14ac:dyDescent="0.25">
      <c r="A19" t="s">
        <v>28</v>
      </c>
      <c r="B19" t="s">
        <v>30</v>
      </c>
      <c r="C19">
        <v>0.2</v>
      </c>
      <c r="D19">
        <v>2</v>
      </c>
    </row>
    <row r="20" spans="1:4" hidden="1" x14ac:dyDescent="0.25">
      <c r="A20" t="s">
        <v>31</v>
      </c>
      <c r="B20" t="s">
        <v>32</v>
      </c>
      <c r="C20">
        <v>0.8</v>
      </c>
      <c r="D20">
        <v>1</v>
      </c>
    </row>
    <row r="21" spans="1:4" hidden="1" x14ac:dyDescent="0.25">
      <c r="A21" t="s">
        <v>31</v>
      </c>
      <c r="B21" t="s">
        <v>33</v>
      </c>
      <c r="C21">
        <v>0.2</v>
      </c>
      <c r="D21">
        <v>2</v>
      </c>
    </row>
    <row r="22" spans="1:4" x14ac:dyDescent="0.25">
      <c r="A22" t="s">
        <v>34</v>
      </c>
      <c r="B22" t="s">
        <v>35</v>
      </c>
      <c r="C22">
        <v>0.8</v>
      </c>
      <c r="D22">
        <v>1</v>
      </c>
    </row>
    <row r="23" spans="1:4" hidden="1" x14ac:dyDescent="0.25">
      <c r="A23" t="s">
        <v>34</v>
      </c>
      <c r="B23" t="s">
        <v>36</v>
      </c>
      <c r="C23">
        <v>0.2</v>
      </c>
      <c r="D23">
        <v>2</v>
      </c>
    </row>
    <row r="24" spans="1:4" hidden="1" x14ac:dyDescent="0.25">
      <c r="A24" t="s">
        <v>37</v>
      </c>
      <c r="B24" t="s">
        <v>38</v>
      </c>
      <c r="C24">
        <v>0.8</v>
      </c>
      <c r="D24">
        <v>1</v>
      </c>
    </row>
    <row r="25" spans="1:4" hidden="1" x14ac:dyDescent="0.25">
      <c r="A25" t="s">
        <v>37</v>
      </c>
      <c r="B25" t="s">
        <v>39</v>
      </c>
      <c r="C25">
        <v>0.2</v>
      </c>
      <c r="D25">
        <v>2</v>
      </c>
    </row>
  </sheetData>
  <autoFilter ref="A1:D25" xr:uid="{DCE8DDF3-FC1E-4240-BF63-0E194BD6E8FC}">
    <filterColumn colId="0">
      <filters>
        <filter val="Measles"/>
        <filter val="Mumps"/>
        <filter val="Rubella"/>
      </filters>
    </filterColumn>
    <filterColumn colId="3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1043-50EC-4E1D-A936-BA586749BC39}">
  <dimension ref="B3:F9"/>
  <sheetViews>
    <sheetView tabSelected="1" workbookViewId="0">
      <selection activeCell="F7" sqref="F7:F9"/>
    </sheetView>
  </sheetViews>
  <sheetFormatPr defaultRowHeight="15" x14ac:dyDescent="0.25"/>
  <cols>
    <col min="3" max="3" width="10" bestFit="1" customWidth="1"/>
    <col min="6" max="6" width="11" bestFit="1" customWidth="1"/>
  </cols>
  <sheetData>
    <row r="3" spans="2:6" x14ac:dyDescent="0.25">
      <c r="B3" t="s">
        <v>19</v>
      </c>
      <c r="C3">
        <v>420097000</v>
      </c>
      <c r="D3">
        <v>358616900</v>
      </c>
      <c r="E3">
        <v>394831600</v>
      </c>
    </row>
    <row r="4" spans="2:6" x14ac:dyDescent="0.25">
      <c r="B4" t="s">
        <v>22</v>
      </c>
      <c r="C4">
        <v>26052200</v>
      </c>
      <c r="D4">
        <v>26626400</v>
      </c>
      <c r="E4">
        <v>25785400</v>
      </c>
    </row>
    <row r="5" spans="2:6" x14ac:dyDescent="0.25">
      <c r="B5" t="s">
        <v>34</v>
      </c>
      <c r="C5">
        <v>357331300</v>
      </c>
      <c r="D5">
        <v>254011400</v>
      </c>
      <c r="E5">
        <v>304621400</v>
      </c>
    </row>
    <row r="7" spans="2:6" x14ac:dyDescent="0.25">
      <c r="B7" t="s">
        <v>40</v>
      </c>
      <c r="C7">
        <f>C3-C8-C9</f>
        <v>62765700</v>
      </c>
      <c r="D7">
        <f t="shared" ref="D7:E7" si="0">D3-D8-D9</f>
        <v>104605500</v>
      </c>
      <c r="E7">
        <f t="shared" si="0"/>
        <v>90210200</v>
      </c>
      <c r="F7">
        <f>SUM(C7:E7)</f>
        <v>257581400</v>
      </c>
    </row>
    <row r="8" spans="2:6" x14ac:dyDescent="0.25">
      <c r="B8" t="s">
        <v>41</v>
      </c>
      <c r="C8">
        <f>C5-C9</f>
        <v>331279100</v>
      </c>
      <c r="D8">
        <f t="shared" ref="D8:E8" si="1">D5-D9</f>
        <v>227385000</v>
      </c>
      <c r="E8">
        <f t="shared" si="1"/>
        <v>278836000</v>
      </c>
      <c r="F8">
        <f t="shared" ref="F8:F9" si="2">SUM(C8:E8)</f>
        <v>837500100</v>
      </c>
    </row>
    <row r="9" spans="2:6" x14ac:dyDescent="0.25">
      <c r="B9" t="s">
        <v>42</v>
      </c>
      <c r="C9">
        <f>C4</f>
        <v>26052200</v>
      </c>
      <c r="D9">
        <f t="shared" ref="D9:E9" si="3">D4</f>
        <v>26626400</v>
      </c>
      <c r="E9">
        <f t="shared" si="3"/>
        <v>25785400</v>
      </c>
      <c r="F9">
        <f t="shared" si="2"/>
        <v>78464000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antigen_demand_80_20_2_scenario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uhorchak</cp:lastModifiedBy>
  <dcterms:created xsi:type="dcterms:W3CDTF">2024-08-28T17:38:01Z</dcterms:created>
  <dcterms:modified xsi:type="dcterms:W3CDTF">2024-08-28T17:38:01Z</dcterms:modified>
</cp:coreProperties>
</file>