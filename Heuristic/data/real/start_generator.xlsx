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euristic/data/real/"/>
    </mc:Choice>
  </mc:AlternateContent>
  <xr:revisionPtr revIDLastSave="145" documentId="8_{B85D085A-19C2-43D8-BE5B-5625CEB2C3E0}" xr6:coauthVersionLast="47" xr6:coauthVersionMax="47" xr10:uidLastSave="{B39551F1-E032-4647-96C5-A9850FC101EA}"/>
  <bookViews>
    <workbookView xWindow="-120" yWindow="-120" windowWidth="20730" windowHeight="11040" xr2:uid="{11746B91-1220-436F-8126-EEF4BA69D2A9}"/>
  </bookViews>
  <sheets>
    <sheet name="antigen_demand_80_20_2_scenario" sheetId="1" r:id="rId1"/>
    <sheet name="Sheet1" sheetId="2" r:id="rId2"/>
  </sheets>
  <definedNames>
    <definedName name="_xlnm._FilterDatabase" localSheetId="0" hidden="1">antigen_demand_80_20_2_scenario!$A$1:$O$7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B13" i="1"/>
  <c r="B17" i="1"/>
  <c r="E7" i="1"/>
  <c r="B15" i="1"/>
  <c r="B16" i="1"/>
  <c r="B9" i="1"/>
  <c r="C3" i="1" s="1"/>
  <c r="F9" i="2"/>
  <c r="F8" i="2"/>
  <c r="F7" i="2"/>
  <c r="D8" i="2"/>
  <c r="D7" i="2" s="1"/>
  <c r="D9" i="2"/>
  <c r="E9" i="2"/>
  <c r="E8" i="2" s="1"/>
  <c r="E7" i="2" s="1"/>
  <c r="C9" i="2"/>
  <c r="C8" i="2" s="1"/>
  <c r="B18" i="1" l="1"/>
  <c r="F7" i="1" s="1"/>
  <c r="B14" i="1" s="1"/>
  <c r="C5" i="1"/>
  <c r="C2" i="1"/>
  <c r="C7" i="1"/>
  <c r="C6" i="1"/>
  <c r="C4" i="1"/>
  <c r="C7" i="2"/>
  <c r="F6" i="1" l="1"/>
  <c r="D6" i="1"/>
  <c r="B19" i="1"/>
  <c r="D3" i="1" s="1"/>
  <c r="D2" i="1"/>
  <c r="D5" i="1" l="1"/>
  <c r="D7" i="1"/>
  <c r="D4" i="1"/>
</calcChain>
</file>

<file path=xl/sharedStrings.xml><?xml version="1.0" encoding="utf-8"?>
<sst xmlns="http://schemas.openxmlformats.org/spreadsheetml/2006/main" count="32" uniqueCount="31">
  <si>
    <t>antigen</t>
  </si>
  <si>
    <t>Diphtheria</t>
  </si>
  <si>
    <t>Hepatitis_B</t>
  </si>
  <si>
    <t>Hib</t>
  </si>
  <si>
    <t>Polio</t>
  </si>
  <si>
    <t>Measles</t>
  </si>
  <si>
    <t>Mumps</t>
  </si>
  <si>
    <t>Pertussis</t>
  </si>
  <si>
    <t>Rubella</t>
  </si>
  <si>
    <t>Tetanus</t>
  </si>
  <si>
    <t>M</t>
  </si>
  <si>
    <t>MR</t>
  </si>
  <si>
    <t>MMR</t>
  </si>
  <si>
    <t>Penta</t>
  </si>
  <si>
    <t>OPV</t>
  </si>
  <si>
    <t>IPV</t>
  </si>
  <si>
    <t>TT</t>
  </si>
  <si>
    <t>HepB</t>
  </si>
  <si>
    <t>DT</t>
  </si>
  <si>
    <t>Td</t>
  </si>
  <si>
    <t>DTwP</t>
  </si>
  <si>
    <t>DTwP-Hib</t>
  </si>
  <si>
    <t>Hexa</t>
  </si>
  <si>
    <r>
      <t xml:space="preserve">    </t>
    </r>
    <r>
      <rPr>
        <sz val="11"/>
        <color rgb="FFFF8B39"/>
        <rFont val="Consolas"/>
        <family val="3"/>
      </rPr>
      <t>"Penta"</t>
    </r>
    <r>
      <rPr>
        <sz val="11"/>
        <color rgb="FFFF7EDB"/>
        <rFont val="Consolas"/>
        <family val="3"/>
      </rPr>
      <t>: [</t>
    </r>
    <r>
      <rPr>
        <sz val="11"/>
        <color rgb="FFFF8B39"/>
        <rFont val="Consolas"/>
        <family val="3"/>
      </rPr>
      <t>"Diphtheria"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"Tetanus"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"Pertussis"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"Hepatitis_B"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"Hib"</t>
    </r>
    <r>
      <rPr>
        <sz val="11"/>
        <color rgb="FFFF7EDB"/>
        <rFont val="Consolas"/>
        <family val="3"/>
      </rPr>
      <t>],</t>
    </r>
  </si>
  <si>
    <r>
      <t xml:space="preserve">    </t>
    </r>
    <r>
      <rPr>
        <sz val="11"/>
        <color rgb="FFFF8B39"/>
        <rFont val="Consolas"/>
        <family val="3"/>
      </rPr>
      <t>"Hexa"</t>
    </r>
    <r>
      <rPr>
        <sz val="11"/>
        <color rgb="FFFF7EDB"/>
        <rFont val="Consolas"/>
        <family val="3"/>
      </rPr>
      <t>: [</t>
    </r>
    <r>
      <rPr>
        <sz val="11"/>
        <color rgb="FFFF8B39"/>
        <rFont val="Consolas"/>
        <family val="3"/>
      </rPr>
      <t>"Diphtheria"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"Tetanus"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"Pertussis"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"Hepatitis_B"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"Hib"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"Polio"</t>
    </r>
    <r>
      <rPr>
        <sz val="11"/>
        <color rgb="FFFF7EDB"/>
        <rFont val="Consolas"/>
        <family val="3"/>
      </rPr>
      <t>],</t>
    </r>
  </si>
  <si>
    <r>
      <t xml:space="preserve">    </t>
    </r>
    <r>
      <rPr>
        <sz val="11"/>
        <color rgb="FFFF8B39"/>
        <rFont val="Consolas"/>
        <family val="3"/>
      </rPr>
      <t>"DTwP"</t>
    </r>
    <r>
      <rPr>
        <sz val="11"/>
        <color rgb="FFFF7EDB"/>
        <rFont val="Consolas"/>
        <family val="3"/>
      </rPr>
      <t>: [</t>
    </r>
    <r>
      <rPr>
        <sz val="11"/>
        <color rgb="FFFF8B39"/>
        <rFont val="Consolas"/>
        <family val="3"/>
      </rPr>
      <t>"Diphtheria"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"Tetanus"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"Pertussis"</t>
    </r>
    <r>
      <rPr>
        <sz val="11"/>
        <color rgb="FFFF7EDB"/>
        <rFont val="Consolas"/>
        <family val="3"/>
      </rPr>
      <t>],</t>
    </r>
  </si>
  <si>
    <r>
      <t xml:space="preserve">    </t>
    </r>
    <r>
      <rPr>
        <sz val="11"/>
        <color rgb="FFFF8B39"/>
        <rFont val="Consolas"/>
        <family val="3"/>
      </rPr>
      <t>"DTwP-Hib"</t>
    </r>
    <r>
      <rPr>
        <sz val="11"/>
        <color rgb="FFFF7EDB"/>
        <rFont val="Consolas"/>
        <family val="3"/>
      </rPr>
      <t>: [</t>
    </r>
    <r>
      <rPr>
        <sz val="11"/>
        <color rgb="FFFF8B39"/>
        <rFont val="Consolas"/>
        <family val="3"/>
      </rPr>
      <t>"Diphtheria"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"Tetanus"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"Pertussis"</t>
    </r>
    <r>
      <rPr>
        <sz val="11"/>
        <color rgb="FFFF7EDB"/>
        <rFont val="Consolas"/>
        <family val="3"/>
      </rPr>
      <t xml:space="preserve">, </t>
    </r>
    <r>
      <rPr>
        <sz val="11"/>
        <color rgb="FFFF8B39"/>
        <rFont val="Consolas"/>
        <family val="3"/>
      </rPr>
      <t>"Hib"</t>
    </r>
    <r>
      <rPr>
        <sz val="11"/>
        <color rgb="FFFF7EDB"/>
        <rFont val="Consolas"/>
        <family val="3"/>
      </rPr>
      <t>],</t>
    </r>
  </si>
  <si>
    <t>post penta</t>
  </si>
  <si>
    <t>post hexa</t>
  </si>
  <si>
    <t>post DT</t>
  </si>
  <si>
    <t>post 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</si>
</sst>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onsolas"/>
      <family val="3"/>
    </font>
    <font>
      <sz val="11"/>
      <color rgb="FFFF7EDB"/>
      <name val="Consolas"/>
      <family val="3"/>
    </font>
    <font>
      <sz val="11"/>
      <color rgb="FFFF8B39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4" fillId="0" borderId="0" xfId="0" applyFont="1"/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1" fontId="0" fillId="0" borderId="0" xfId="0" applyNumberFormat="1"/>
    <xf numFmtId="11" fontId="14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8DDF3-FC1E-4240-BF63-0E194BD6E8FC}">
  <dimension ref="A1:O24"/>
  <sheetViews>
    <sheetView tabSelected="1" workbookViewId="0">
      <selection activeCell="E2" sqref="E2"/>
    </sheetView>
  </sheetViews>
  <sheetFormatPr defaultRowHeight="15" x14ac:dyDescent="0.25"/>
  <cols>
    <col min="1" max="1" width="10.85546875" bestFit="1" customWidth="1"/>
    <col min="2" max="2" width="10" bestFit="1" customWidth="1"/>
    <col min="3" max="6" width="10" customWidth="1"/>
    <col min="7" max="8" width="10" bestFit="1" customWidth="1"/>
    <col min="15" max="15" width="10" bestFit="1" customWidth="1"/>
    <col min="18" max="18" width="97.7109375" bestFit="1" customWidth="1"/>
  </cols>
  <sheetData>
    <row r="1" spans="1:15" x14ac:dyDescent="0.25">
      <c r="A1" t="s">
        <v>0</v>
      </c>
      <c r="C1" t="s">
        <v>27</v>
      </c>
      <c r="D1" t="s">
        <v>28</v>
      </c>
      <c r="E1" t="s">
        <v>29</v>
      </c>
      <c r="F1" t="s">
        <v>30</v>
      </c>
    </row>
    <row r="2" spans="1:15" x14ac:dyDescent="0.25">
      <c r="A2" t="s">
        <v>3</v>
      </c>
      <c r="B2">
        <v>259536200</v>
      </c>
      <c r="C2">
        <f>MAX(B2-$B$9,0)</f>
        <v>0</v>
      </c>
      <c r="D2">
        <f>MAX(0,C2-$B$19)</f>
        <v>0</v>
      </c>
      <c r="G2">
        <v>282777100</v>
      </c>
      <c r="H2">
        <v>287252900</v>
      </c>
      <c r="I2">
        <v>274027900</v>
      </c>
      <c r="J2">
        <v>274339400</v>
      </c>
      <c r="K2">
        <v>270041300</v>
      </c>
      <c r="L2">
        <v>273119600</v>
      </c>
      <c r="M2">
        <v>270415600</v>
      </c>
      <c r="N2">
        <v>273713400</v>
      </c>
      <c r="O2">
        <v>276715500</v>
      </c>
    </row>
    <row r="3" spans="1:15" x14ac:dyDescent="0.25">
      <c r="A3" t="s">
        <v>2</v>
      </c>
      <c r="B3">
        <v>312284600</v>
      </c>
      <c r="C3">
        <f t="shared" ref="C3:C7" si="0">MAX(B3-$B$9,0)</f>
        <v>0</v>
      </c>
      <c r="D3">
        <f t="shared" ref="D3:D6" si="1">MAX(0,C3-$B$19)</f>
        <v>0</v>
      </c>
      <c r="G3">
        <v>343008200</v>
      </c>
      <c r="H3">
        <v>351717800</v>
      </c>
      <c r="I3">
        <v>334973600</v>
      </c>
      <c r="J3">
        <v>334455600</v>
      </c>
      <c r="K3">
        <v>328430100</v>
      </c>
      <c r="L3">
        <v>332308900</v>
      </c>
      <c r="M3">
        <v>328200500</v>
      </c>
      <c r="N3">
        <v>332214900</v>
      </c>
      <c r="O3">
        <v>335525400</v>
      </c>
    </row>
    <row r="4" spans="1:15" x14ac:dyDescent="0.25">
      <c r="A4" t="s">
        <v>7</v>
      </c>
      <c r="B4">
        <v>320662700</v>
      </c>
      <c r="C4">
        <f t="shared" si="0"/>
        <v>0</v>
      </c>
      <c r="D4">
        <f t="shared" si="1"/>
        <v>0</v>
      </c>
      <c r="G4">
        <v>347414000</v>
      </c>
      <c r="H4">
        <v>352464600</v>
      </c>
      <c r="I4">
        <v>335977000</v>
      </c>
      <c r="J4">
        <v>334855300</v>
      </c>
      <c r="K4">
        <v>328035800</v>
      </c>
      <c r="L4">
        <v>331237500</v>
      </c>
      <c r="M4">
        <v>328308900</v>
      </c>
      <c r="N4">
        <v>331462200</v>
      </c>
      <c r="O4">
        <v>334312000</v>
      </c>
    </row>
    <row r="5" spans="1:15" x14ac:dyDescent="0.25">
      <c r="A5" t="s">
        <v>4</v>
      </c>
      <c r="B5">
        <v>522182000</v>
      </c>
      <c r="C5">
        <f t="shared" si="0"/>
        <v>146657370</v>
      </c>
      <c r="D5">
        <f t="shared" si="1"/>
        <v>65775142</v>
      </c>
      <c r="G5">
        <v>582182300</v>
      </c>
      <c r="H5">
        <v>608631800</v>
      </c>
      <c r="I5">
        <v>590689600</v>
      </c>
      <c r="J5">
        <v>591743500</v>
      </c>
      <c r="K5">
        <v>572503000</v>
      </c>
      <c r="L5">
        <v>130824100</v>
      </c>
      <c r="M5">
        <v>128516200</v>
      </c>
      <c r="N5">
        <v>130807300</v>
      </c>
      <c r="O5">
        <v>132956000</v>
      </c>
    </row>
    <row r="6" spans="1:15" x14ac:dyDescent="0.25">
      <c r="A6" t="s">
        <v>1</v>
      </c>
      <c r="B6">
        <v>570550200</v>
      </c>
      <c r="C6">
        <f t="shared" si="0"/>
        <v>195025570</v>
      </c>
      <c r="D6">
        <f t="shared" si="1"/>
        <v>114143342</v>
      </c>
      <c r="E6" s="4">
        <f>MAX(D6-B17,0)</f>
        <v>4952334.200000003</v>
      </c>
      <c r="F6" s="4">
        <f>E6-B18</f>
        <v>0</v>
      </c>
      <c r="G6">
        <v>619539900</v>
      </c>
      <c r="H6">
        <v>626455400</v>
      </c>
      <c r="I6">
        <v>594496900</v>
      </c>
      <c r="J6">
        <v>595980200</v>
      </c>
      <c r="K6">
        <v>587103300</v>
      </c>
      <c r="L6">
        <v>593084700</v>
      </c>
      <c r="M6">
        <v>587954100</v>
      </c>
      <c r="N6">
        <v>594707400</v>
      </c>
      <c r="O6">
        <v>600159000</v>
      </c>
    </row>
    <row r="7" spans="1:15" x14ac:dyDescent="0.25">
      <c r="A7" t="s">
        <v>9</v>
      </c>
      <c r="B7">
        <v>577730200</v>
      </c>
      <c r="C7">
        <f t="shared" si="0"/>
        <v>202205570</v>
      </c>
      <c r="D7">
        <f>MAX(0,C7-$B$19)</f>
        <v>121323342</v>
      </c>
      <c r="E7" s="4">
        <f>MAX(D7-B17,0)</f>
        <v>12132334.200000003</v>
      </c>
      <c r="F7" s="4">
        <f>E7-B18</f>
        <v>7180000</v>
      </c>
      <c r="G7">
        <v>626351000</v>
      </c>
      <c r="H7">
        <v>633278500</v>
      </c>
      <c r="I7">
        <v>601333100</v>
      </c>
      <c r="J7">
        <v>598872900</v>
      </c>
      <c r="K7">
        <v>590040100</v>
      </c>
      <c r="L7">
        <v>596064300</v>
      </c>
      <c r="M7">
        <v>590973100</v>
      </c>
      <c r="N7">
        <v>597764600</v>
      </c>
      <c r="O7">
        <v>603248400</v>
      </c>
    </row>
    <row r="9" spans="1:15" x14ac:dyDescent="0.25">
      <c r="A9" t="s">
        <v>13</v>
      </c>
      <c r="B9" s="4">
        <f>B7*0.65</f>
        <v>375524630</v>
      </c>
    </row>
    <row r="10" spans="1:15" x14ac:dyDescent="0.25">
      <c r="A10" s="2" t="s">
        <v>21</v>
      </c>
      <c r="B10" s="5">
        <v>0</v>
      </c>
      <c r="C10" s="1"/>
      <c r="D10" s="1"/>
      <c r="E10" s="1"/>
      <c r="F10" s="1"/>
      <c r="G10" s="1"/>
    </row>
    <row r="11" spans="1:15" x14ac:dyDescent="0.25">
      <c r="A11" s="2" t="s">
        <v>20</v>
      </c>
      <c r="B11" s="5">
        <v>0</v>
      </c>
      <c r="C11" s="1"/>
      <c r="D11" s="1"/>
      <c r="E11" s="1"/>
      <c r="F11" s="1"/>
      <c r="G11" s="1"/>
    </row>
    <row r="12" spans="1:15" x14ac:dyDescent="0.25">
      <c r="A12" t="s">
        <v>14</v>
      </c>
      <c r="B12" s="4">
        <v>0</v>
      </c>
    </row>
    <row r="13" spans="1:15" x14ac:dyDescent="0.25">
      <c r="A13" t="s">
        <v>15</v>
      </c>
      <c r="B13" s="4">
        <f>D5</f>
        <v>65775142</v>
      </c>
    </row>
    <row r="14" spans="1:15" x14ac:dyDescent="0.25">
      <c r="A14" t="s">
        <v>16</v>
      </c>
      <c r="B14" s="4">
        <f>F7</f>
        <v>7180000</v>
      </c>
    </row>
    <row r="15" spans="1:15" x14ac:dyDescent="0.25">
      <c r="A15" s="2" t="s">
        <v>17</v>
      </c>
      <c r="B15" s="4">
        <f>B3*0.01</f>
        <v>3122846</v>
      </c>
    </row>
    <row r="16" spans="1:15" x14ac:dyDescent="0.25">
      <c r="A16" s="2" t="s">
        <v>3</v>
      </c>
      <c r="B16" s="4">
        <f>B2*0.01</f>
        <v>2595362</v>
      </c>
    </row>
    <row r="17" spans="1:2" x14ac:dyDescent="0.25">
      <c r="A17" s="2" t="s">
        <v>18</v>
      </c>
      <c r="B17" s="4">
        <f>D7*0.9</f>
        <v>109191007.8</v>
      </c>
    </row>
    <row r="18" spans="1:2" x14ac:dyDescent="0.25">
      <c r="A18" s="2" t="s">
        <v>19</v>
      </c>
      <c r="B18" s="4">
        <f>E6</f>
        <v>4952334.200000003</v>
      </c>
    </row>
    <row r="19" spans="1:2" x14ac:dyDescent="0.25">
      <c r="A19" s="2" t="s">
        <v>22</v>
      </c>
      <c r="B19" s="4">
        <f>C7*0.4</f>
        <v>80882228</v>
      </c>
    </row>
    <row r="21" spans="1:2" x14ac:dyDescent="0.25">
      <c r="A21" s="3" t="s">
        <v>23</v>
      </c>
    </row>
    <row r="22" spans="1:2" x14ac:dyDescent="0.25">
      <c r="A22" s="3" t="s">
        <v>24</v>
      </c>
    </row>
    <row r="23" spans="1:2" x14ac:dyDescent="0.25">
      <c r="A23" s="3" t="s">
        <v>25</v>
      </c>
    </row>
    <row r="24" spans="1:2" x14ac:dyDescent="0.25">
      <c r="A24" s="3" t="s">
        <v>26</v>
      </c>
    </row>
  </sheetData>
  <autoFilter ref="A1:O7" xr:uid="{DCE8DDF3-FC1E-4240-BF63-0E194BD6E8FC}">
    <sortState xmlns:xlrd2="http://schemas.microsoft.com/office/spreadsheetml/2017/richdata2" ref="A2:O7">
      <sortCondition ref="B1:B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1043-50EC-4E1D-A936-BA586749BC39}">
  <dimension ref="B3:F9"/>
  <sheetViews>
    <sheetView workbookViewId="0">
      <selection activeCell="C12" sqref="C12"/>
    </sheetView>
  </sheetViews>
  <sheetFormatPr defaultRowHeight="15" x14ac:dyDescent="0.25"/>
  <cols>
    <col min="3" max="3" width="10" bestFit="1" customWidth="1"/>
    <col min="6" max="6" width="11" bestFit="1" customWidth="1"/>
  </cols>
  <sheetData>
    <row r="3" spans="2:6" x14ac:dyDescent="0.25">
      <c r="B3" t="s">
        <v>5</v>
      </c>
      <c r="C3">
        <v>420097000</v>
      </c>
      <c r="D3">
        <v>358616900</v>
      </c>
      <c r="E3">
        <v>394831600</v>
      </c>
    </row>
    <row r="4" spans="2:6" x14ac:dyDescent="0.25">
      <c r="B4" t="s">
        <v>6</v>
      </c>
      <c r="C4">
        <v>26052200</v>
      </c>
      <c r="D4">
        <v>26626400</v>
      </c>
      <c r="E4">
        <v>25785400</v>
      </c>
    </row>
    <row r="5" spans="2:6" x14ac:dyDescent="0.25">
      <c r="B5" t="s">
        <v>8</v>
      </c>
      <c r="C5">
        <v>357331300</v>
      </c>
      <c r="D5">
        <v>254011400</v>
      </c>
      <c r="E5">
        <v>304621400</v>
      </c>
    </row>
    <row r="7" spans="2:6" x14ac:dyDescent="0.25">
      <c r="B7" t="s">
        <v>10</v>
      </c>
      <c r="C7">
        <f>C3-C8-C9</f>
        <v>62765700</v>
      </c>
      <c r="D7">
        <f t="shared" ref="D7:E7" si="0">D3-D8-D9</f>
        <v>104605500</v>
      </c>
      <c r="E7">
        <f t="shared" si="0"/>
        <v>90210200</v>
      </c>
      <c r="F7">
        <f>SUM(C7:E7)</f>
        <v>257581400</v>
      </c>
    </row>
    <row r="8" spans="2:6" x14ac:dyDescent="0.25">
      <c r="B8" t="s">
        <v>11</v>
      </c>
      <c r="C8">
        <f>C5-C9</f>
        <v>331279100</v>
      </c>
      <c r="D8">
        <f t="shared" ref="D8:E8" si="1">D5-D9</f>
        <v>227385000</v>
      </c>
      <c r="E8">
        <f t="shared" si="1"/>
        <v>278836000</v>
      </c>
      <c r="F8">
        <f>SUM(C8:E8)</f>
        <v>837500100</v>
      </c>
    </row>
    <row r="9" spans="2:6" x14ac:dyDescent="0.25">
      <c r="B9" t="s">
        <v>12</v>
      </c>
      <c r="C9">
        <f>C4</f>
        <v>26052200</v>
      </c>
      <c r="D9">
        <f t="shared" ref="D9:E9" si="2">D4</f>
        <v>26626400</v>
      </c>
      <c r="E9">
        <f t="shared" si="2"/>
        <v>25785400</v>
      </c>
      <c r="F9">
        <f>SUM(C9:E9)</f>
        <v>78464000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antigen_demand_80_20_2_scenario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nicholas uhorchak</cp:lastModifiedBy>
  <dcterms:created xsi:type="dcterms:W3CDTF">2024-08-28T17:38:01Z</dcterms:created>
  <dcterms:modified xsi:type="dcterms:W3CDTF">2024-09-22T21:02:08Z</dcterms:modified>
</cp:coreProperties>
</file>