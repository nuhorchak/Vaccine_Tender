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Heuristic/data/real/"/>
    </mc:Choice>
  </mc:AlternateContent>
  <xr:revisionPtr revIDLastSave="280" documentId="13_ncr:1_{E4667220-B6D3-44CA-BB2C-7EE709A98D96}" xr6:coauthVersionLast="47" xr6:coauthVersionMax="47" xr10:uidLastSave="{288AF48B-3DE4-4888-8CDD-95603041CA1F}"/>
  <bookViews>
    <workbookView xWindow="-120" yWindow="-120" windowWidth="20730" windowHeight="11040" activeTab="2" xr2:uid="{00000000-000D-0000-FFFF-FFFF00000000}"/>
  </bookViews>
  <sheets>
    <sheet name="F_start" sheetId="2" r:id="rId1"/>
    <sheet name="Q_start" sheetId="7" r:id="rId2"/>
    <sheet name="I_start" sheetId="8" r:id="rId3"/>
    <sheet name="S_start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8" l="1"/>
  <c r="B14" i="8" s="1"/>
</calcChain>
</file>

<file path=xl/sharedStrings.xml><?xml version="1.0" encoding="utf-8"?>
<sst xmlns="http://schemas.openxmlformats.org/spreadsheetml/2006/main" count="105" uniqueCount="47">
  <si>
    <t>Measles</t>
  </si>
  <si>
    <t>Mumps</t>
  </si>
  <si>
    <t>Rubella</t>
  </si>
  <si>
    <t>Diphtheria</t>
  </si>
  <si>
    <t>Tetanus</t>
  </si>
  <si>
    <t>Pertussis</t>
  </si>
  <si>
    <t>Hepatitis_B</t>
  </si>
  <si>
    <t>Hib</t>
  </si>
  <si>
    <t>Polio</t>
  </si>
  <si>
    <t>HPV</t>
  </si>
  <si>
    <t>Rotavirus</t>
  </si>
  <si>
    <t>Starting</t>
  </si>
  <si>
    <t>Ending</t>
  </si>
  <si>
    <t>PCV</t>
  </si>
  <si>
    <t>Vaccine</t>
  </si>
  <si>
    <t>Producer</t>
  </si>
  <si>
    <t>Start</t>
  </si>
  <si>
    <t>End</t>
  </si>
  <si>
    <t>Amount</t>
  </si>
  <si>
    <t>M</t>
  </si>
  <si>
    <t>PT_Bio</t>
  </si>
  <si>
    <t>MMR</t>
  </si>
  <si>
    <t>GSK</t>
  </si>
  <si>
    <t>Serum_Institute</t>
  </si>
  <si>
    <t>Merck_Sharp</t>
  </si>
  <si>
    <t>MR</t>
  </si>
  <si>
    <t>Biological_E</t>
  </si>
  <si>
    <t>Td</t>
  </si>
  <si>
    <t>BB_NCIPD</t>
  </si>
  <si>
    <t>Penta</t>
  </si>
  <si>
    <t>Panacea_Biotec</t>
  </si>
  <si>
    <t>LG_Chem</t>
  </si>
  <si>
    <t>IPV</t>
  </si>
  <si>
    <t>Sanofi_Pasteur</t>
  </si>
  <si>
    <t>OPV</t>
  </si>
  <si>
    <t>Xiamen_Innovax</t>
  </si>
  <si>
    <t>Bharat_Biotech</t>
  </si>
  <si>
    <t>Pfizer</t>
  </si>
  <si>
    <t>Antigen</t>
  </si>
  <si>
    <t>TT</t>
  </si>
  <si>
    <t>HepB</t>
  </si>
  <si>
    <t>DT</t>
  </si>
  <si>
    <t>DTwP</t>
  </si>
  <si>
    <t>DTwP-Hib</t>
  </si>
  <si>
    <t>Hexa</t>
  </si>
  <si>
    <t>antigen</t>
  </si>
  <si>
    <t>Unvaccinated Children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</si>
</sst>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0E+00"/>
    <numFmt numFmtId="165" formatCode="0.000000E+00"/>
    <numFmt numFmtId="166" formatCode="0.0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onsolas"/>
      <family val="3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" fontId="3" fillId="0" borderId="0" xfId="1" applyNumberFormat="1" applyFont="1" applyAlignment="1">
      <alignment horizontal="center" vertical="center"/>
    </xf>
    <xf numFmtId="0" fontId="2" fillId="0" borderId="0" xfId="0" applyFont="1"/>
    <xf numFmtId="164" fontId="3" fillId="0" borderId="0" xfId="0" applyNumberFormat="1" applyFont="1" applyAlignment="1">
      <alignment vertical="center"/>
    </xf>
    <xf numFmtId="165" fontId="0" fillId="0" borderId="0" xfId="0" applyNumberFormat="1"/>
    <xf numFmtId="166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/>
    <xf numFmtId="0" fontId="2" fillId="0" borderId="1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AD6D9-E2BE-4540-AD66-B6783F716305}">
  <sheetPr codeName="Sheet1"/>
  <dimension ref="A1:C13"/>
  <sheetViews>
    <sheetView workbookViewId="0">
      <selection activeCell="A5" sqref="A5:C10"/>
    </sheetView>
  </sheetViews>
  <sheetFormatPr defaultRowHeight="15" x14ac:dyDescent="0.25"/>
  <cols>
    <col min="1" max="1" width="11.140625" bestFit="1" customWidth="1"/>
    <col min="7" max="7" width="12" bestFit="1" customWidth="1"/>
  </cols>
  <sheetData>
    <row r="1" spans="1:3" x14ac:dyDescent="0.25">
      <c r="A1" t="s">
        <v>38</v>
      </c>
      <c r="B1" t="s">
        <v>11</v>
      </c>
      <c r="C1" t="s">
        <v>12</v>
      </c>
    </row>
    <row r="2" spans="1:3" x14ac:dyDescent="0.25">
      <c r="A2" s="1" t="s">
        <v>0</v>
      </c>
      <c r="B2">
        <v>1</v>
      </c>
      <c r="C2">
        <v>3</v>
      </c>
    </row>
    <row r="3" spans="1:3" x14ac:dyDescent="0.25">
      <c r="A3" s="1" t="s">
        <v>1</v>
      </c>
      <c r="B3">
        <v>1</v>
      </c>
      <c r="C3">
        <v>3</v>
      </c>
    </row>
    <row r="4" spans="1:3" x14ac:dyDescent="0.25">
      <c r="A4" s="1" t="s">
        <v>2</v>
      </c>
      <c r="B4">
        <v>1</v>
      </c>
      <c r="C4">
        <v>3</v>
      </c>
    </row>
    <row r="5" spans="1:3" x14ac:dyDescent="0.25">
      <c r="A5" s="11" t="s">
        <v>3</v>
      </c>
      <c r="B5" s="5">
        <v>1</v>
      </c>
      <c r="C5" s="5">
        <v>1</v>
      </c>
    </row>
    <row r="6" spans="1:3" x14ac:dyDescent="0.25">
      <c r="A6" s="11" t="s">
        <v>4</v>
      </c>
      <c r="B6" s="5">
        <v>1</v>
      </c>
      <c r="C6" s="5">
        <v>1</v>
      </c>
    </row>
    <row r="7" spans="1:3" x14ac:dyDescent="0.25">
      <c r="A7" s="11" t="s">
        <v>5</v>
      </c>
      <c r="B7" s="5">
        <v>1</v>
      </c>
      <c r="C7" s="5">
        <v>1</v>
      </c>
    </row>
    <row r="8" spans="1:3" x14ac:dyDescent="0.25">
      <c r="A8" s="11" t="s">
        <v>7</v>
      </c>
      <c r="B8" s="5">
        <v>1</v>
      </c>
      <c r="C8" s="5">
        <v>1</v>
      </c>
    </row>
    <row r="9" spans="1:3" x14ac:dyDescent="0.25">
      <c r="A9" s="11" t="s">
        <v>6</v>
      </c>
      <c r="B9" s="5">
        <v>1</v>
      </c>
      <c r="C9" s="5">
        <v>1</v>
      </c>
    </row>
    <row r="10" spans="1:3" x14ac:dyDescent="0.25">
      <c r="A10" s="11" t="s">
        <v>8</v>
      </c>
      <c r="B10" s="5">
        <v>1</v>
      </c>
      <c r="C10" s="5">
        <v>1</v>
      </c>
    </row>
    <row r="11" spans="1:3" x14ac:dyDescent="0.25">
      <c r="A11" s="5" t="s">
        <v>9</v>
      </c>
      <c r="B11" s="5">
        <v>1</v>
      </c>
      <c r="C11" s="5">
        <v>5</v>
      </c>
    </row>
    <row r="12" spans="1:3" x14ac:dyDescent="0.25">
      <c r="A12" s="5" t="s">
        <v>10</v>
      </c>
      <c r="B12" s="5">
        <v>1</v>
      </c>
      <c r="C12" s="5">
        <v>1</v>
      </c>
    </row>
    <row r="13" spans="1:3" x14ac:dyDescent="0.25">
      <c r="A13" s="5" t="s">
        <v>13</v>
      </c>
      <c r="B13" s="5">
        <v>1</v>
      </c>
      <c r="C13" s="5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51515-DB43-462D-9C92-F50748C0A12A}">
  <sheetPr codeName="Sheet4"/>
  <dimension ref="A1:E27"/>
  <sheetViews>
    <sheetView workbookViewId="0">
      <selection activeCell="I22" sqref="I22"/>
    </sheetView>
  </sheetViews>
  <sheetFormatPr defaultRowHeight="15" x14ac:dyDescent="0.25"/>
  <cols>
    <col min="1" max="1" width="8.85546875" style="2"/>
    <col min="2" max="2" width="14" style="2" bestFit="1" customWidth="1"/>
    <col min="3" max="4" width="8.85546875" style="2"/>
    <col min="5" max="5" width="16.140625" style="3" bestFit="1" customWidth="1"/>
  </cols>
  <sheetData>
    <row r="1" spans="1:5" x14ac:dyDescent="0.25">
      <c r="A1" s="2" t="s">
        <v>14</v>
      </c>
      <c r="B1" s="2" t="s">
        <v>15</v>
      </c>
      <c r="C1" s="2" t="s">
        <v>16</v>
      </c>
      <c r="D1" s="2" t="s">
        <v>17</v>
      </c>
      <c r="E1" s="3" t="s">
        <v>18</v>
      </c>
    </row>
    <row r="2" spans="1:5" x14ac:dyDescent="0.25">
      <c r="A2" s="2" t="s">
        <v>19</v>
      </c>
      <c r="B2" s="2" t="s">
        <v>20</v>
      </c>
      <c r="C2" s="2">
        <v>1</v>
      </c>
      <c r="D2" s="2">
        <v>3</v>
      </c>
      <c r="E2" s="4">
        <v>13299</v>
      </c>
    </row>
    <row r="3" spans="1:5" x14ac:dyDescent="0.25">
      <c r="A3" s="2" t="s">
        <v>21</v>
      </c>
      <c r="B3" s="2" t="s">
        <v>22</v>
      </c>
      <c r="C3" s="2">
        <v>1</v>
      </c>
      <c r="D3" s="2">
        <v>3</v>
      </c>
      <c r="E3" s="3">
        <v>12505</v>
      </c>
    </row>
    <row r="4" spans="1:5" x14ac:dyDescent="0.25">
      <c r="A4" s="2" t="s">
        <v>21</v>
      </c>
      <c r="B4" s="2" t="s">
        <v>23</v>
      </c>
      <c r="C4" s="2">
        <v>1</v>
      </c>
      <c r="D4" s="2">
        <v>3</v>
      </c>
      <c r="E4" s="3">
        <v>13547</v>
      </c>
    </row>
    <row r="5" spans="1:5" x14ac:dyDescent="0.25">
      <c r="A5" s="2" t="s">
        <v>21</v>
      </c>
      <c r="B5" s="2" t="s">
        <v>24</v>
      </c>
      <c r="C5" s="2">
        <v>1</v>
      </c>
      <c r="D5" s="2">
        <v>3</v>
      </c>
      <c r="E5" s="4">
        <v>6547</v>
      </c>
    </row>
    <row r="6" spans="1:5" x14ac:dyDescent="0.25">
      <c r="A6" s="2" t="s">
        <v>25</v>
      </c>
      <c r="B6" s="2" t="s">
        <v>26</v>
      </c>
      <c r="C6" s="2">
        <v>1</v>
      </c>
      <c r="D6" s="2">
        <v>3</v>
      </c>
      <c r="E6" s="4">
        <v>90279</v>
      </c>
    </row>
    <row r="7" spans="1:5" x14ac:dyDescent="0.25">
      <c r="A7" s="2" t="s">
        <v>27</v>
      </c>
      <c r="B7" s="2" t="s">
        <v>23</v>
      </c>
      <c r="C7" s="2">
        <v>1</v>
      </c>
      <c r="D7" s="2">
        <v>1</v>
      </c>
      <c r="E7" s="4">
        <v>180177</v>
      </c>
    </row>
    <row r="8" spans="1:5" x14ac:dyDescent="0.25">
      <c r="A8" s="2" t="s">
        <v>27</v>
      </c>
      <c r="B8" s="2" t="s">
        <v>28</v>
      </c>
      <c r="C8" s="2">
        <v>1</v>
      </c>
      <c r="D8" s="2">
        <v>1</v>
      </c>
      <c r="E8" s="4">
        <v>13305</v>
      </c>
    </row>
    <row r="9" spans="1:5" x14ac:dyDescent="0.25">
      <c r="A9" s="2" t="s">
        <v>29</v>
      </c>
      <c r="B9" s="2" t="s">
        <v>30</v>
      </c>
      <c r="C9" s="2">
        <v>1</v>
      </c>
      <c r="D9" s="2">
        <v>1</v>
      </c>
      <c r="E9" s="4">
        <v>8948</v>
      </c>
    </row>
    <row r="10" spans="1:5" x14ac:dyDescent="0.25">
      <c r="A10" s="2" t="s">
        <v>29</v>
      </c>
      <c r="B10" s="2" t="s">
        <v>23</v>
      </c>
      <c r="C10" s="2">
        <v>1</v>
      </c>
      <c r="D10" s="2">
        <v>1</v>
      </c>
      <c r="E10" s="4">
        <v>140932</v>
      </c>
    </row>
    <row r="11" spans="1:5" x14ac:dyDescent="0.25">
      <c r="A11" s="2" t="s">
        <v>29</v>
      </c>
      <c r="B11" s="2" t="s">
        <v>31</v>
      </c>
      <c r="C11" s="2">
        <v>1</v>
      </c>
      <c r="D11" s="2">
        <v>1</v>
      </c>
      <c r="E11" s="4">
        <v>17896</v>
      </c>
    </row>
    <row r="12" spans="1:5" x14ac:dyDescent="0.25">
      <c r="A12" s="2" t="s">
        <v>29</v>
      </c>
      <c r="B12" s="2" t="s">
        <v>20</v>
      </c>
      <c r="C12" s="2">
        <v>1</v>
      </c>
      <c r="D12" s="2">
        <v>1</v>
      </c>
      <c r="E12" s="4">
        <v>31318</v>
      </c>
    </row>
    <row r="13" spans="1:5" x14ac:dyDescent="0.25">
      <c r="A13" s="2" t="s">
        <v>29</v>
      </c>
      <c r="B13" s="2" t="s">
        <v>26</v>
      </c>
      <c r="C13" s="2">
        <v>1</v>
      </c>
      <c r="D13" s="2">
        <v>1</v>
      </c>
      <c r="E13" s="4">
        <v>53688</v>
      </c>
    </row>
    <row r="14" spans="1:5" x14ac:dyDescent="0.25">
      <c r="A14" s="2" t="s">
        <v>32</v>
      </c>
      <c r="B14" s="2" t="s">
        <v>33</v>
      </c>
      <c r="C14" s="2">
        <v>1</v>
      </c>
      <c r="D14" s="2">
        <v>1</v>
      </c>
      <c r="E14" s="4">
        <v>43365</v>
      </c>
    </row>
    <row r="15" spans="1:5" x14ac:dyDescent="0.25">
      <c r="A15" s="2" t="s">
        <v>32</v>
      </c>
      <c r="B15" s="2" t="s">
        <v>31</v>
      </c>
      <c r="C15" s="2">
        <v>1</v>
      </c>
      <c r="D15" s="2">
        <v>1</v>
      </c>
      <c r="E15" s="4">
        <v>40214</v>
      </c>
    </row>
    <row r="16" spans="1:5" x14ac:dyDescent="0.25">
      <c r="A16" s="2" t="s">
        <v>34</v>
      </c>
      <c r="B16" s="2" t="s">
        <v>22</v>
      </c>
      <c r="C16" s="2">
        <v>1</v>
      </c>
      <c r="D16" s="2">
        <v>1</v>
      </c>
      <c r="E16" s="4">
        <v>219201</v>
      </c>
    </row>
    <row r="17" spans="1:5" x14ac:dyDescent="0.25">
      <c r="A17" s="2" t="s">
        <v>34</v>
      </c>
      <c r="B17" s="2" t="s">
        <v>33</v>
      </c>
      <c r="C17" s="2">
        <v>1</v>
      </c>
      <c r="D17" s="2">
        <v>1</v>
      </c>
      <c r="E17" s="4">
        <v>61221</v>
      </c>
    </row>
    <row r="18" spans="1:5" x14ac:dyDescent="0.25">
      <c r="A18" s="2" t="s">
        <v>34</v>
      </c>
      <c r="B18" s="2" t="s">
        <v>20</v>
      </c>
      <c r="C18" s="2">
        <v>1</v>
      </c>
      <c r="D18" s="2">
        <v>1</v>
      </c>
      <c r="E18" s="4">
        <v>84681</v>
      </c>
    </row>
    <row r="19" spans="1:5" x14ac:dyDescent="0.25">
      <c r="A19" s="2" t="s">
        <v>9</v>
      </c>
      <c r="B19" s="2" t="s">
        <v>24</v>
      </c>
      <c r="C19" s="2">
        <v>1</v>
      </c>
      <c r="D19" s="2">
        <v>5</v>
      </c>
      <c r="E19" s="4">
        <v>3625</v>
      </c>
    </row>
    <row r="20" spans="1:5" x14ac:dyDescent="0.25">
      <c r="A20" s="2" t="s">
        <v>9</v>
      </c>
      <c r="B20" s="2" t="s">
        <v>22</v>
      </c>
      <c r="C20" s="2">
        <v>1</v>
      </c>
      <c r="D20" s="2">
        <v>5</v>
      </c>
      <c r="E20" s="4">
        <v>13464</v>
      </c>
    </row>
    <row r="21" spans="1:5" x14ac:dyDescent="0.25">
      <c r="A21" s="2" t="s">
        <v>9</v>
      </c>
      <c r="B21" s="2" t="s">
        <v>35</v>
      </c>
      <c r="C21" s="2">
        <v>1</v>
      </c>
      <c r="D21" s="2">
        <v>5</v>
      </c>
      <c r="E21" s="4">
        <v>5391</v>
      </c>
    </row>
    <row r="22" spans="1:5" x14ac:dyDescent="0.25">
      <c r="A22" s="2" t="s">
        <v>10</v>
      </c>
      <c r="B22" s="2" t="s">
        <v>22</v>
      </c>
      <c r="C22" s="2">
        <v>1</v>
      </c>
      <c r="D22" s="2">
        <v>1</v>
      </c>
      <c r="E22" s="4">
        <v>56510</v>
      </c>
    </row>
    <row r="23" spans="1:5" x14ac:dyDescent="0.25">
      <c r="A23" s="2" t="s">
        <v>10</v>
      </c>
      <c r="B23" s="2" t="s">
        <v>23</v>
      </c>
      <c r="C23" s="2">
        <v>1</v>
      </c>
      <c r="D23" s="2">
        <v>1</v>
      </c>
      <c r="E23" s="4">
        <v>0</v>
      </c>
    </row>
    <row r="24" spans="1:5" x14ac:dyDescent="0.25">
      <c r="A24" s="2" t="s">
        <v>10</v>
      </c>
      <c r="B24" s="2" t="s">
        <v>36</v>
      </c>
      <c r="C24" s="2">
        <v>1</v>
      </c>
      <c r="D24" s="2">
        <v>1</v>
      </c>
      <c r="E24" s="4">
        <v>0</v>
      </c>
    </row>
    <row r="25" spans="1:5" x14ac:dyDescent="0.25">
      <c r="A25" s="2" t="s">
        <v>13</v>
      </c>
      <c r="B25" s="2" t="s">
        <v>22</v>
      </c>
      <c r="C25" s="2">
        <v>1</v>
      </c>
      <c r="D25" s="2">
        <v>3</v>
      </c>
      <c r="E25" s="4">
        <v>185663</v>
      </c>
    </row>
    <row r="26" spans="1:5" x14ac:dyDescent="0.25">
      <c r="A26" s="2" t="s">
        <v>13</v>
      </c>
      <c r="B26" s="2" t="s">
        <v>37</v>
      </c>
      <c r="C26" s="2">
        <v>1</v>
      </c>
      <c r="D26" s="2">
        <v>3</v>
      </c>
      <c r="E26" s="4">
        <v>20000</v>
      </c>
    </row>
    <row r="27" spans="1:5" x14ac:dyDescent="0.25">
      <c r="A27" s="2" t="s">
        <v>13</v>
      </c>
      <c r="B27" s="2" t="s">
        <v>23</v>
      </c>
      <c r="C27" s="2">
        <v>1</v>
      </c>
      <c r="D27" s="2">
        <v>3</v>
      </c>
      <c r="E27" s="4">
        <v>148533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8CA8F-1DBE-42B3-8633-48C2ED5062E9}">
  <sheetPr codeName="Sheet6"/>
  <dimension ref="A1:H18"/>
  <sheetViews>
    <sheetView tabSelected="1" workbookViewId="0">
      <selection activeCell="F11" sqref="F11"/>
    </sheetView>
  </sheetViews>
  <sheetFormatPr defaultRowHeight="15" x14ac:dyDescent="0.25"/>
  <cols>
    <col min="1" max="1" width="10" bestFit="1" customWidth="1"/>
    <col min="2" max="2" width="13" bestFit="1" customWidth="1"/>
    <col min="3" max="3" width="13.42578125" bestFit="1" customWidth="1"/>
    <col min="4" max="4" width="10.28515625" bestFit="1" customWidth="1"/>
    <col min="5" max="5" width="13.42578125" bestFit="1" customWidth="1"/>
    <col min="6" max="6" width="12" bestFit="1" customWidth="1"/>
    <col min="7" max="7" width="10.28515625" bestFit="1" customWidth="1"/>
    <col min="8" max="8" width="12.5703125" bestFit="1" customWidth="1"/>
  </cols>
  <sheetData>
    <row r="1" spans="1:8" x14ac:dyDescent="0.25">
      <c r="A1" t="s">
        <v>14</v>
      </c>
      <c r="B1" t="s">
        <v>18</v>
      </c>
    </row>
    <row r="2" spans="1:8" x14ac:dyDescent="0.25">
      <c r="A2" t="s">
        <v>29</v>
      </c>
      <c r="B2" s="10">
        <v>398056107.80000001</v>
      </c>
    </row>
    <row r="3" spans="1:8" x14ac:dyDescent="0.25">
      <c r="A3" t="s">
        <v>34</v>
      </c>
      <c r="B3" s="10">
        <v>27968660.208000001</v>
      </c>
      <c r="E3" s="10"/>
    </row>
    <row r="4" spans="1:8" x14ac:dyDescent="0.25">
      <c r="A4" t="s">
        <v>32</v>
      </c>
      <c r="B4" s="10">
        <v>410128001.4152</v>
      </c>
    </row>
    <row r="5" spans="1:8" x14ac:dyDescent="0.25">
      <c r="A5" t="s">
        <v>13</v>
      </c>
      <c r="B5" s="10">
        <v>590379508</v>
      </c>
      <c r="E5" s="10"/>
      <c r="H5" s="10"/>
    </row>
    <row r="6" spans="1:8" x14ac:dyDescent="0.25">
      <c r="A6" t="s">
        <v>19</v>
      </c>
      <c r="B6" s="10">
        <v>280763726</v>
      </c>
      <c r="E6" s="10"/>
    </row>
    <row r="7" spans="1:8" x14ac:dyDescent="0.25">
      <c r="A7" t="s">
        <v>25</v>
      </c>
      <c r="B7" s="10">
        <v>879375105</v>
      </c>
      <c r="C7" s="8"/>
      <c r="E7" s="10"/>
    </row>
    <row r="8" spans="1:8" x14ac:dyDescent="0.25">
      <c r="A8" t="s">
        <v>21</v>
      </c>
      <c r="B8" s="10">
        <v>83171840</v>
      </c>
      <c r="C8" s="8"/>
      <c r="E8" s="10"/>
    </row>
    <row r="9" spans="1:8" x14ac:dyDescent="0.25">
      <c r="A9" t="s">
        <v>39</v>
      </c>
      <c r="B9" s="10">
        <v>7682600</v>
      </c>
    </row>
    <row r="10" spans="1:8" x14ac:dyDescent="0.25">
      <c r="A10" s="9" t="s">
        <v>40</v>
      </c>
      <c r="B10" s="10">
        <v>3278988.3000000003</v>
      </c>
    </row>
    <row r="11" spans="1:8" x14ac:dyDescent="0.25">
      <c r="A11" s="9" t="s">
        <v>7</v>
      </c>
      <c r="B11" s="10">
        <v>2828944.58</v>
      </c>
      <c r="E11" s="10"/>
    </row>
    <row r="12" spans="1:8" x14ac:dyDescent="0.25">
      <c r="A12" s="9" t="s">
        <v>41</v>
      </c>
      <c r="B12" s="10">
        <v>116834378.346</v>
      </c>
    </row>
    <row r="13" spans="1:8" x14ac:dyDescent="0.25">
      <c r="A13" s="9" t="s">
        <v>27</v>
      </c>
      <c r="B13" s="10">
        <v>5298997.5940000033</v>
      </c>
    </row>
    <row r="14" spans="1:8" x14ac:dyDescent="0.25">
      <c r="A14" s="9" t="s">
        <v>42</v>
      </c>
      <c r="B14" s="10">
        <f>B15*0.7</f>
        <v>30290394.386</v>
      </c>
    </row>
    <row r="15" spans="1:8" x14ac:dyDescent="0.25">
      <c r="A15" s="9" t="s">
        <v>43</v>
      </c>
      <c r="B15" s="10">
        <f>B16*0.5</f>
        <v>43271991.980000004</v>
      </c>
    </row>
    <row r="16" spans="1:8" x14ac:dyDescent="0.25">
      <c r="A16" s="9" t="s">
        <v>44</v>
      </c>
      <c r="B16" s="10">
        <v>86543983.960000008</v>
      </c>
    </row>
    <row r="17" spans="1:3" x14ac:dyDescent="0.25">
      <c r="A17" s="9" t="s">
        <v>9</v>
      </c>
      <c r="B17" s="10">
        <v>242285505</v>
      </c>
      <c r="C17" s="7"/>
    </row>
    <row r="18" spans="1:3" x14ac:dyDescent="0.25">
      <c r="A18" s="9" t="s">
        <v>10</v>
      </c>
      <c r="B18" s="10">
        <v>156726900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BEB0C-00BA-4B81-9CB6-933B54D27020}">
  <sheetPr codeName="Sheet8"/>
  <dimension ref="A1:B13"/>
  <sheetViews>
    <sheetView workbookViewId="0">
      <selection activeCell="B2" sqref="B2:B13"/>
    </sheetView>
  </sheetViews>
  <sheetFormatPr defaultRowHeight="15" x14ac:dyDescent="0.25"/>
  <cols>
    <col min="1" max="1" width="10.28515625" bestFit="1" customWidth="1"/>
    <col min="2" max="2" width="20.7109375" customWidth="1"/>
  </cols>
  <sheetData>
    <row r="1" spans="1:2" x14ac:dyDescent="0.25">
      <c r="A1" t="s">
        <v>45</v>
      </c>
      <c r="B1" s="5" t="s">
        <v>46</v>
      </c>
    </row>
    <row r="2" spans="1:2" x14ac:dyDescent="0.25">
      <c r="A2" s="1" t="s">
        <v>3</v>
      </c>
      <c r="B2" s="6">
        <v>109769715.256769</v>
      </c>
    </row>
    <row r="3" spans="1:2" x14ac:dyDescent="0.25">
      <c r="A3" s="1" t="s">
        <v>7</v>
      </c>
      <c r="B3" s="6">
        <v>76483381.4640522</v>
      </c>
    </row>
    <row r="4" spans="1:2" x14ac:dyDescent="0.25">
      <c r="A4" s="1" t="s">
        <v>0</v>
      </c>
      <c r="B4" s="6">
        <v>111936141.058823</v>
      </c>
    </row>
    <row r="5" spans="1:2" x14ac:dyDescent="0.25">
      <c r="A5" s="1" t="s">
        <v>1</v>
      </c>
      <c r="B5" s="6">
        <v>6763202.4705882296</v>
      </c>
    </row>
    <row r="6" spans="1:2" x14ac:dyDescent="0.25">
      <c r="A6" s="1" t="s">
        <v>13</v>
      </c>
      <c r="B6" s="6">
        <v>50081880.540420704</v>
      </c>
    </row>
    <row r="7" spans="1:2" x14ac:dyDescent="0.25">
      <c r="A7" s="1" t="s">
        <v>5</v>
      </c>
      <c r="B7" s="6">
        <v>59034355.4808589</v>
      </c>
    </row>
    <row r="8" spans="1:2" x14ac:dyDescent="0.25">
      <c r="A8" s="1" t="s">
        <v>8</v>
      </c>
      <c r="B8" s="6">
        <v>171888397.557423</v>
      </c>
    </row>
    <row r="9" spans="1:2" x14ac:dyDescent="0.25">
      <c r="A9" s="1" t="s">
        <v>10</v>
      </c>
      <c r="B9" s="6">
        <v>52857961.247619003</v>
      </c>
    </row>
    <row r="10" spans="1:2" x14ac:dyDescent="0.25">
      <c r="A10" s="1" t="s">
        <v>2</v>
      </c>
      <c r="B10" s="6">
        <v>63880730.2712842</v>
      </c>
    </row>
    <row r="11" spans="1:2" x14ac:dyDescent="0.25">
      <c r="A11" t="s">
        <v>4</v>
      </c>
      <c r="B11" s="6">
        <v>106632842.278244</v>
      </c>
    </row>
    <row r="12" spans="1:2" x14ac:dyDescent="0.25">
      <c r="A12" t="s">
        <v>6</v>
      </c>
      <c r="B12" s="6">
        <v>148000000</v>
      </c>
    </row>
    <row r="13" spans="1:2" x14ac:dyDescent="0.25">
      <c r="A13" t="s">
        <v>9</v>
      </c>
      <c r="B13" s="6">
        <v>21600000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F_start</vt:lpstr>
      <vt:lpstr>Q_start</vt:lpstr>
      <vt:lpstr>I_start</vt:lpstr>
      <vt:lpstr>S_start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Fatih Çengil</dc:creator>
  <cp:lastModifiedBy>nicholas uhorchak</cp:lastModifiedBy>
  <dcterms:created xsi:type="dcterms:W3CDTF">2015-06-05T18:17:20Z</dcterms:created>
  <dcterms:modified xsi:type="dcterms:W3CDTF">2024-09-25T16:02:41Z</dcterms:modified>
</cp:coreProperties>
</file>