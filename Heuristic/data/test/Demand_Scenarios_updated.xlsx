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euristic/data/"/>
    </mc:Choice>
  </mc:AlternateContent>
  <xr:revisionPtr revIDLastSave="118" documentId="13_ncr:1_{5713AA50-68F1-4433-87EB-33DE309D44C0}" xr6:coauthVersionLast="47" xr6:coauthVersionMax="47" xr10:uidLastSave="{784171E8-0C08-4401-A2D3-35865D152C85}"/>
  <bookViews>
    <workbookView xWindow="14180" yWindow="-6440" windowWidth="28800" windowHeight="15450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Demand_data_trend" sheetId="77" r:id="rId4"/>
    <sheet name="Demand_data_trend_v2" sheetId="78" r:id="rId5"/>
    <sheet name="Demand_data_trend_predictions" sheetId="79" r:id="rId6"/>
    <sheet name="Medium_Demand_calc" sheetId="73" r:id="rId7"/>
    <sheet name="Medium_Demand" sheetId="59" r:id="rId8"/>
    <sheet name="Pandemic_Effect" sheetId="74" r:id="rId9"/>
    <sheet name="Vaccine_Replacement_Effect" sheetId="75" r:id="rId10"/>
    <sheet name="Weighted_Avg_Demand_for_Scen." sheetId="76" r:id="rId11"/>
    <sheet name="M Pricing" sheetId="46" r:id="rId12"/>
    <sheet name="MR Pricing" sheetId="48" r:id="rId13"/>
    <sheet name="MMR Pricing" sheetId="47" r:id="rId14"/>
    <sheet name="HPV Pricing" sheetId="44" r:id="rId15"/>
    <sheet name="OPV Pricing" sheetId="49" r:id="rId16"/>
    <sheet name="IPV Pricing" sheetId="45" r:id="rId17"/>
    <sheet name="HepB Pricing" sheetId="43" r:id="rId18"/>
    <sheet name="Hexa Pricing" sheetId="42" r:id="rId19"/>
    <sheet name="Penta Pricing" sheetId="39" r:id="rId20"/>
    <sheet name="DTwP Pricing" sheetId="41" r:id="rId21"/>
    <sheet name="Td Pricing" sheetId="36" r:id="rId22"/>
    <sheet name="DT Pricing" sheetId="38" r:id="rId23"/>
    <sheet name="TT Pricing" sheetId="52" r:id="rId24"/>
    <sheet name="Hib Pricing" sheetId="60" r:id="rId25"/>
    <sheet name="DTwP-Hib Pricing" sheetId="61" r:id="rId26"/>
    <sheet name="Rotavirus Pricing" sheetId="68" r:id="rId27"/>
    <sheet name="PCV Pricing" sheetId="69" r:id="rId28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21" hidden="1">'Td Pricing'!$A$1:$H$20</definedName>
    <definedName name="GAVI_countries" localSheetId="27">#REF!</definedName>
    <definedName name="GAVI_countries" localSheetId="26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77" l="1"/>
  <c r="A56" i="77" s="1"/>
  <c r="A74" i="77" s="1"/>
  <c r="Y36" i="79"/>
  <c r="X36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G36" i="79"/>
  <c r="F36" i="79"/>
  <c r="E36" i="79"/>
  <c r="D36" i="79"/>
  <c r="C36" i="79"/>
  <c r="B36" i="79"/>
  <c r="B54" i="79" s="1"/>
  <c r="A72" i="79" s="1"/>
  <c r="A90" i="79" s="1"/>
  <c r="Y35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H35" i="79"/>
  <c r="G35" i="79"/>
  <c r="F35" i="79"/>
  <c r="E35" i="79"/>
  <c r="D35" i="79"/>
  <c r="C35" i="79"/>
  <c r="B35" i="79"/>
  <c r="B53" i="79" s="1"/>
  <c r="A71" i="79" s="1"/>
  <c r="A89" i="79" s="1"/>
  <c r="Y34" i="79"/>
  <c r="X34" i="79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H34" i="79"/>
  <c r="G34" i="79"/>
  <c r="F34" i="79"/>
  <c r="E34" i="79"/>
  <c r="D34" i="79"/>
  <c r="C34" i="79"/>
  <c r="B34" i="79"/>
  <c r="B52" i="79" s="1"/>
  <c r="A70" i="79" s="1"/>
  <c r="A88" i="79" s="1"/>
  <c r="Y33" i="79"/>
  <c r="X33" i="79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H33" i="79"/>
  <c r="G33" i="79"/>
  <c r="F33" i="79"/>
  <c r="E33" i="79"/>
  <c r="D33" i="79"/>
  <c r="C33" i="79"/>
  <c r="B33" i="79"/>
  <c r="B51" i="79" s="1"/>
  <c r="A69" i="79" s="1"/>
  <c r="A87" i="79" s="1"/>
  <c r="Y32" i="79"/>
  <c r="X32" i="79"/>
  <c r="W32" i="79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H32" i="79"/>
  <c r="G32" i="79"/>
  <c r="F32" i="79"/>
  <c r="E32" i="79"/>
  <c r="D32" i="79"/>
  <c r="C32" i="79"/>
  <c r="B32" i="79"/>
  <c r="B50" i="79" s="1"/>
  <c r="A68" i="79" s="1"/>
  <c r="A86" i="79" s="1"/>
  <c r="Y31" i="79"/>
  <c r="X31" i="79"/>
  <c r="W31" i="79"/>
  <c r="V31" i="79"/>
  <c r="U31" i="79"/>
  <c r="T31" i="79"/>
  <c r="S31" i="79"/>
  <c r="R31" i="79"/>
  <c r="Q31" i="79"/>
  <c r="P31" i="79"/>
  <c r="O31" i="79"/>
  <c r="N31" i="79"/>
  <c r="M31" i="79"/>
  <c r="L31" i="79"/>
  <c r="K31" i="79"/>
  <c r="J31" i="79"/>
  <c r="I31" i="79"/>
  <c r="H31" i="79"/>
  <c r="G31" i="79"/>
  <c r="F31" i="79"/>
  <c r="E31" i="79"/>
  <c r="D31" i="79"/>
  <c r="C31" i="79"/>
  <c r="B31" i="79"/>
  <c r="B49" i="79" s="1"/>
  <c r="A67" i="79" s="1"/>
  <c r="A85" i="79" s="1"/>
  <c r="Y30" i="79"/>
  <c r="X30" i="79"/>
  <c r="W30" i="79"/>
  <c r="V30" i="79"/>
  <c r="U30" i="79"/>
  <c r="T30" i="79"/>
  <c r="S30" i="79"/>
  <c r="R30" i="79"/>
  <c r="Q30" i="79"/>
  <c r="P30" i="79"/>
  <c r="O30" i="79"/>
  <c r="N30" i="79"/>
  <c r="M30" i="79"/>
  <c r="L30" i="79"/>
  <c r="K30" i="79"/>
  <c r="J30" i="79"/>
  <c r="I30" i="79"/>
  <c r="H30" i="79"/>
  <c r="G30" i="79"/>
  <c r="F30" i="79"/>
  <c r="E30" i="79"/>
  <c r="D30" i="79"/>
  <c r="C30" i="79"/>
  <c r="B30" i="79"/>
  <c r="B48" i="79" s="1"/>
  <c r="A66" i="79" s="1"/>
  <c r="A84" i="79" s="1"/>
  <c r="Y29" i="79"/>
  <c r="X29" i="79"/>
  <c r="W29" i="79"/>
  <c r="V29" i="79"/>
  <c r="U29" i="79"/>
  <c r="T29" i="79"/>
  <c r="S29" i="79"/>
  <c r="R29" i="79"/>
  <c r="Q29" i="79"/>
  <c r="P29" i="79"/>
  <c r="O29" i="79"/>
  <c r="N29" i="79"/>
  <c r="M29" i="79"/>
  <c r="L29" i="79"/>
  <c r="K29" i="79"/>
  <c r="J29" i="79"/>
  <c r="I29" i="79"/>
  <c r="H29" i="79"/>
  <c r="G29" i="79"/>
  <c r="F29" i="79"/>
  <c r="E29" i="79"/>
  <c r="D29" i="79"/>
  <c r="C29" i="79"/>
  <c r="B29" i="79"/>
  <c r="B47" i="79" s="1"/>
  <c r="A65" i="79" s="1"/>
  <c r="A83" i="79" s="1"/>
  <c r="Y28" i="79"/>
  <c r="X28" i="79"/>
  <c r="W28" i="79"/>
  <c r="V28" i="79"/>
  <c r="U28" i="79"/>
  <c r="T28" i="79"/>
  <c r="S28" i="79"/>
  <c r="R28" i="79"/>
  <c r="Q28" i="79"/>
  <c r="P28" i="79"/>
  <c r="O28" i="79"/>
  <c r="N28" i="79"/>
  <c r="M28" i="79"/>
  <c r="L28" i="79"/>
  <c r="K28" i="79"/>
  <c r="J28" i="79"/>
  <c r="I28" i="79"/>
  <c r="H28" i="79"/>
  <c r="G28" i="79"/>
  <c r="F28" i="79"/>
  <c r="E28" i="79"/>
  <c r="D28" i="79"/>
  <c r="C28" i="79"/>
  <c r="B28" i="79"/>
  <c r="B46" i="79" s="1"/>
  <c r="A64" i="79" s="1"/>
  <c r="A82" i="79" s="1"/>
  <c r="Y27" i="79"/>
  <c r="X27" i="79"/>
  <c r="W27" i="79"/>
  <c r="V27" i="79"/>
  <c r="U27" i="79"/>
  <c r="T27" i="79"/>
  <c r="S27" i="79"/>
  <c r="R27" i="79"/>
  <c r="Q27" i="79"/>
  <c r="P27" i="79"/>
  <c r="O27" i="79"/>
  <c r="N27" i="79"/>
  <c r="M27" i="79"/>
  <c r="L27" i="79"/>
  <c r="K27" i="79"/>
  <c r="J27" i="79"/>
  <c r="I27" i="79"/>
  <c r="H27" i="79"/>
  <c r="G27" i="79"/>
  <c r="F27" i="79"/>
  <c r="E27" i="79"/>
  <c r="D27" i="79"/>
  <c r="C27" i="79"/>
  <c r="B27" i="79"/>
  <c r="B45" i="79" s="1"/>
  <c r="A63" i="79" s="1"/>
  <c r="A81" i="79" s="1"/>
  <c r="Y26" i="79"/>
  <c r="X26" i="79"/>
  <c r="W26" i="79"/>
  <c r="V26" i="79"/>
  <c r="U26" i="79"/>
  <c r="T26" i="79"/>
  <c r="S26" i="79"/>
  <c r="R26" i="79"/>
  <c r="Q26" i="79"/>
  <c r="P26" i="79"/>
  <c r="O26" i="79"/>
  <c r="N26" i="79"/>
  <c r="M26" i="79"/>
  <c r="L26" i="79"/>
  <c r="K26" i="79"/>
  <c r="J26" i="79"/>
  <c r="I26" i="79"/>
  <c r="H26" i="79"/>
  <c r="G26" i="79"/>
  <c r="F26" i="79"/>
  <c r="E26" i="79"/>
  <c r="D26" i="79"/>
  <c r="C26" i="79"/>
  <c r="B26" i="79"/>
  <c r="B44" i="79" s="1"/>
  <c r="A62" i="79" s="1"/>
  <c r="A80" i="79" s="1"/>
  <c r="Y25" i="79"/>
  <c r="X25" i="79"/>
  <c r="W25" i="79"/>
  <c r="V25" i="79"/>
  <c r="U25" i="79"/>
  <c r="T25" i="79"/>
  <c r="S25" i="79"/>
  <c r="R25" i="79"/>
  <c r="Q25" i="79"/>
  <c r="P25" i="79"/>
  <c r="O25" i="79"/>
  <c r="N25" i="79"/>
  <c r="M25" i="79"/>
  <c r="L25" i="79"/>
  <c r="K25" i="79"/>
  <c r="J25" i="79"/>
  <c r="I25" i="79"/>
  <c r="H25" i="79"/>
  <c r="G25" i="79"/>
  <c r="F25" i="79"/>
  <c r="E25" i="79"/>
  <c r="D25" i="79"/>
  <c r="C25" i="79"/>
  <c r="B25" i="79"/>
  <c r="B43" i="79" s="1"/>
  <c r="A61" i="79" s="1"/>
  <c r="A79" i="79" s="1"/>
  <c r="Y24" i="79"/>
  <c r="X24" i="79"/>
  <c r="W24" i="79"/>
  <c r="V24" i="79"/>
  <c r="U24" i="79"/>
  <c r="T24" i="79"/>
  <c r="S24" i="79"/>
  <c r="R24" i="79"/>
  <c r="Q24" i="79"/>
  <c r="P24" i="79"/>
  <c r="O24" i="79"/>
  <c r="N24" i="79"/>
  <c r="M24" i="79"/>
  <c r="L24" i="79"/>
  <c r="K24" i="79"/>
  <c r="J24" i="79"/>
  <c r="I24" i="79"/>
  <c r="H24" i="79"/>
  <c r="G24" i="79"/>
  <c r="F24" i="79"/>
  <c r="E24" i="79"/>
  <c r="D24" i="79"/>
  <c r="C24" i="79"/>
  <c r="B24" i="79"/>
  <c r="B42" i="79" s="1"/>
  <c r="A60" i="79" s="1"/>
  <c r="A78" i="79" s="1"/>
  <c r="Y23" i="79"/>
  <c r="X23" i="79"/>
  <c r="W23" i="79"/>
  <c r="V23" i="79"/>
  <c r="U23" i="79"/>
  <c r="T23" i="79"/>
  <c r="S23" i="79"/>
  <c r="R23" i="79"/>
  <c r="Q23" i="79"/>
  <c r="P23" i="79"/>
  <c r="O23" i="79"/>
  <c r="N23" i="79"/>
  <c r="M23" i="79"/>
  <c r="L23" i="79"/>
  <c r="K23" i="79"/>
  <c r="J23" i="79"/>
  <c r="I23" i="79"/>
  <c r="H23" i="79"/>
  <c r="G23" i="79"/>
  <c r="F23" i="79"/>
  <c r="E23" i="79"/>
  <c r="D23" i="79"/>
  <c r="C23" i="79"/>
  <c r="B23" i="79"/>
  <c r="B41" i="79" s="1"/>
  <c r="A59" i="79" s="1"/>
  <c r="A77" i="79" s="1"/>
  <c r="Y22" i="79"/>
  <c r="X22" i="79"/>
  <c r="W22" i="79"/>
  <c r="V22" i="79"/>
  <c r="U22" i="79"/>
  <c r="T22" i="79"/>
  <c r="S22" i="79"/>
  <c r="R22" i="79"/>
  <c r="Q22" i="79"/>
  <c r="P22" i="79"/>
  <c r="O22" i="79"/>
  <c r="N22" i="79"/>
  <c r="M22" i="79"/>
  <c r="L22" i="79"/>
  <c r="K22" i="79"/>
  <c r="J22" i="79"/>
  <c r="I22" i="79"/>
  <c r="H22" i="79"/>
  <c r="G22" i="79"/>
  <c r="F22" i="79"/>
  <c r="E22" i="79"/>
  <c r="D22" i="79"/>
  <c r="C22" i="79"/>
  <c r="B22" i="79"/>
  <c r="B40" i="79" s="1"/>
  <c r="A58" i="79" s="1"/>
  <c r="A76" i="79" s="1"/>
  <c r="Y21" i="79"/>
  <c r="X21" i="79"/>
  <c r="W21" i="79"/>
  <c r="V21" i="79"/>
  <c r="U21" i="79"/>
  <c r="T21" i="79"/>
  <c r="S21" i="79"/>
  <c r="R21" i="79"/>
  <c r="Q21" i="79"/>
  <c r="P21" i="79"/>
  <c r="O21" i="79"/>
  <c r="N21" i="79"/>
  <c r="M21" i="79"/>
  <c r="L21" i="79"/>
  <c r="K21" i="79"/>
  <c r="J21" i="79"/>
  <c r="I21" i="79"/>
  <c r="H21" i="79"/>
  <c r="G21" i="79"/>
  <c r="F21" i="79"/>
  <c r="E21" i="79"/>
  <c r="D21" i="79"/>
  <c r="C21" i="79"/>
  <c r="B21" i="79"/>
  <c r="B39" i="79" s="1"/>
  <c r="A57" i="79" s="1"/>
  <c r="A75" i="79" s="1"/>
  <c r="Y20" i="79"/>
  <c r="X20" i="79"/>
  <c r="W20" i="79"/>
  <c r="V20" i="79"/>
  <c r="U20" i="79"/>
  <c r="T20" i="79"/>
  <c r="S20" i="79"/>
  <c r="R20" i="79"/>
  <c r="Q20" i="79"/>
  <c r="P20" i="79"/>
  <c r="O20" i="79"/>
  <c r="N20" i="79"/>
  <c r="M20" i="79"/>
  <c r="L20" i="79"/>
  <c r="K20" i="79"/>
  <c r="J20" i="79"/>
  <c r="I20" i="79"/>
  <c r="H20" i="79"/>
  <c r="G20" i="79"/>
  <c r="F20" i="79"/>
  <c r="E20" i="79"/>
  <c r="D20" i="79"/>
  <c r="C20" i="79"/>
  <c r="B20" i="79"/>
  <c r="B38" i="79" s="1"/>
  <c r="A56" i="79" s="1"/>
  <c r="A74" i="79" s="1"/>
  <c r="Y36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G36" i="78"/>
  <c r="F36" i="78"/>
  <c r="E36" i="78"/>
  <c r="D36" i="78"/>
  <c r="C36" i="78"/>
  <c r="B36" i="78"/>
  <c r="B54" i="78" s="1"/>
  <c r="A72" i="78" s="1"/>
  <c r="A90" i="78" s="1"/>
  <c r="Y35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H35" i="78"/>
  <c r="G35" i="78"/>
  <c r="F35" i="78"/>
  <c r="E35" i="78"/>
  <c r="D35" i="78"/>
  <c r="C35" i="78"/>
  <c r="B35" i="78"/>
  <c r="B53" i="78" s="1"/>
  <c r="A71" i="78" s="1"/>
  <c r="A89" i="78" s="1"/>
  <c r="Y34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H34" i="78"/>
  <c r="G34" i="78"/>
  <c r="F34" i="78"/>
  <c r="E34" i="78"/>
  <c r="D34" i="78"/>
  <c r="C34" i="78"/>
  <c r="B34" i="78"/>
  <c r="B52" i="78" s="1"/>
  <c r="A70" i="78" s="1"/>
  <c r="A88" i="78" s="1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H33" i="78"/>
  <c r="G33" i="78"/>
  <c r="F33" i="78"/>
  <c r="E33" i="78"/>
  <c r="D33" i="78"/>
  <c r="C33" i="78"/>
  <c r="B33" i="78"/>
  <c r="B51" i="78" s="1"/>
  <c r="A69" i="78" s="1"/>
  <c r="A87" i="78" s="1"/>
  <c r="Y32" i="78"/>
  <c r="X32" i="78"/>
  <c r="W32" i="78"/>
  <c r="V32" i="78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H32" i="78"/>
  <c r="G32" i="78"/>
  <c r="F32" i="78"/>
  <c r="E32" i="78"/>
  <c r="D32" i="78"/>
  <c r="C32" i="78"/>
  <c r="B32" i="78"/>
  <c r="B50" i="78" s="1"/>
  <c r="A68" i="78" s="1"/>
  <c r="A86" i="78" s="1"/>
  <c r="Y31" i="78"/>
  <c r="X31" i="78"/>
  <c r="W31" i="78"/>
  <c r="V31" i="78"/>
  <c r="U31" i="78"/>
  <c r="T31" i="78"/>
  <c r="S31" i="78"/>
  <c r="R31" i="78"/>
  <c r="Q31" i="78"/>
  <c r="P31" i="78"/>
  <c r="O31" i="78"/>
  <c r="N31" i="78"/>
  <c r="M31" i="78"/>
  <c r="L31" i="78"/>
  <c r="K31" i="78"/>
  <c r="J31" i="78"/>
  <c r="I31" i="78"/>
  <c r="H31" i="78"/>
  <c r="G31" i="78"/>
  <c r="F31" i="78"/>
  <c r="E31" i="78"/>
  <c r="D31" i="78"/>
  <c r="C31" i="78"/>
  <c r="B31" i="78"/>
  <c r="B49" i="78" s="1"/>
  <c r="A67" i="78" s="1"/>
  <c r="A85" i="78" s="1"/>
  <c r="Y30" i="78"/>
  <c r="X30" i="78"/>
  <c r="W30" i="78"/>
  <c r="V30" i="78"/>
  <c r="U30" i="78"/>
  <c r="T30" i="78"/>
  <c r="S30" i="78"/>
  <c r="R30" i="78"/>
  <c r="Q30" i="78"/>
  <c r="P30" i="78"/>
  <c r="O30" i="78"/>
  <c r="N30" i="78"/>
  <c r="M30" i="78"/>
  <c r="L30" i="78"/>
  <c r="K30" i="78"/>
  <c r="J30" i="78"/>
  <c r="I30" i="78"/>
  <c r="H30" i="78"/>
  <c r="G30" i="78"/>
  <c r="F30" i="78"/>
  <c r="E30" i="78"/>
  <c r="D30" i="78"/>
  <c r="C30" i="78"/>
  <c r="B30" i="78"/>
  <c r="B48" i="78" s="1"/>
  <c r="A66" i="78" s="1"/>
  <c r="A84" i="78" s="1"/>
  <c r="Y29" i="78"/>
  <c r="X29" i="78"/>
  <c r="W29" i="78"/>
  <c r="V29" i="78"/>
  <c r="U29" i="78"/>
  <c r="T29" i="78"/>
  <c r="S29" i="78"/>
  <c r="R29" i="78"/>
  <c r="Q29" i="78"/>
  <c r="P29" i="78"/>
  <c r="O29" i="78"/>
  <c r="N29" i="78"/>
  <c r="M29" i="78"/>
  <c r="L29" i="78"/>
  <c r="K29" i="78"/>
  <c r="J29" i="78"/>
  <c r="I29" i="78"/>
  <c r="H29" i="78"/>
  <c r="G29" i="78"/>
  <c r="F29" i="78"/>
  <c r="E29" i="78"/>
  <c r="D29" i="78"/>
  <c r="C29" i="78"/>
  <c r="B29" i="78"/>
  <c r="B47" i="78" s="1"/>
  <c r="A65" i="78" s="1"/>
  <c r="A83" i="78" s="1"/>
  <c r="Y28" i="78"/>
  <c r="X28" i="78"/>
  <c r="W28" i="78"/>
  <c r="V28" i="78"/>
  <c r="U28" i="78"/>
  <c r="T28" i="78"/>
  <c r="S28" i="78"/>
  <c r="R28" i="78"/>
  <c r="Q28" i="78"/>
  <c r="P28" i="78"/>
  <c r="O28" i="78"/>
  <c r="N28" i="78"/>
  <c r="M28" i="78"/>
  <c r="L28" i="78"/>
  <c r="K28" i="78"/>
  <c r="J28" i="78"/>
  <c r="I28" i="78"/>
  <c r="H28" i="78"/>
  <c r="G28" i="78"/>
  <c r="F28" i="78"/>
  <c r="E28" i="78"/>
  <c r="D28" i="78"/>
  <c r="C28" i="78"/>
  <c r="B28" i="78"/>
  <c r="B46" i="78" s="1"/>
  <c r="A64" i="78" s="1"/>
  <c r="A82" i="78" s="1"/>
  <c r="Y27" i="78"/>
  <c r="X27" i="78"/>
  <c r="W27" i="78"/>
  <c r="V27" i="78"/>
  <c r="U27" i="78"/>
  <c r="T27" i="78"/>
  <c r="S27" i="78"/>
  <c r="R27" i="78"/>
  <c r="Q27" i="78"/>
  <c r="P27" i="78"/>
  <c r="O27" i="78"/>
  <c r="N27" i="78"/>
  <c r="M27" i="78"/>
  <c r="L27" i="78"/>
  <c r="K27" i="78"/>
  <c r="J27" i="78"/>
  <c r="I27" i="78"/>
  <c r="H27" i="78"/>
  <c r="G27" i="78"/>
  <c r="F27" i="78"/>
  <c r="E27" i="78"/>
  <c r="D27" i="78"/>
  <c r="C27" i="78"/>
  <c r="B27" i="78"/>
  <c r="B45" i="78" s="1"/>
  <c r="A63" i="78" s="1"/>
  <c r="A81" i="78" s="1"/>
  <c r="Y26" i="78"/>
  <c r="X26" i="78"/>
  <c r="W26" i="78"/>
  <c r="V26" i="78"/>
  <c r="U26" i="78"/>
  <c r="T26" i="78"/>
  <c r="S26" i="78"/>
  <c r="R26" i="78"/>
  <c r="Q26" i="78"/>
  <c r="P26" i="78"/>
  <c r="O26" i="78"/>
  <c r="N26" i="78"/>
  <c r="M26" i="78"/>
  <c r="L26" i="78"/>
  <c r="K26" i="78"/>
  <c r="J26" i="78"/>
  <c r="I26" i="78"/>
  <c r="H26" i="78"/>
  <c r="G26" i="78"/>
  <c r="F26" i="78"/>
  <c r="E26" i="78"/>
  <c r="D26" i="78"/>
  <c r="C26" i="78"/>
  <c r="B26" i="78"/>
  <c r="B44" i="78" s="1"/>
  <c r="A62" i="78" s="1"/>
  <c r="A80" i="78" s="1"/>
  <c r="Y25" i="78"/>
  <c r="X25" i="78"/>
  <c r="W25" i="78"/>
  <c r="V25" i="78"/>
  <c r="U25" i="78"/>
  <c r="T25" i="78"/>
  <c r="S25" i="78"/>
  <c r="R25" i="78"/>
  <c r="Q25" i="78"/>
  <c r="P25" i="78"/>
  <c r="O25" i="78"/>
  <c r="N25" i="78"/>
  <c r="M25" i="78"/>
  <c r="L25" i="78"/>
  <c r="K25" i="78"/>
  <c r="J25" i="78"/>
  <c r="I25" i="78"/>
  <c r="H25" i="78"/>
  <c r="G25" i="78"/>
  <c r="F25" i="78"/>
  <c r="E25" i="78"/>
  <c r="D25" i="78"/>
  <c r="C25" i="78"/>
  <c r="B25" i="78"/>
  <c r="B43" i="78" s="1"/>
  <c r="A61" i="78" s="1"/>
  <c r="A79" i="78" s="1"/>
  <c r="Y24" i="78"/>
  <c r="X24" i="78"/>
  <c r="W24" i="78"/>
  <c r="V24" i="78"/>
  <c r="U24" i="78"/>
  <c r="T24" i="78"/>
  <c r="S24" i="78"/>
  <c r="R24" i="78"/>
  <c r="Q24" i="78"/>
  <c r="P24" i="78"/>
  <c r="O24" i="78"/>
  <c r="N24" i="78"/>
  <c r="M24" i="78"/>
  <c r="L24" i="78"/>
  <c r="K24" i="78"/>
  <c r="J24" i="78"/>
  <c r="I24" i="78"/>
  <c r="H24" i="78"/>
  <c r="G24" i="78"/>
  <c r="F24" i="78"/>
  <c r="E24" i="78"/>
  <c r="D24" i="78"/>
  <c r="C24" i="78"/>
  <c r="B24" i="78"/>
  <c r="B42" i="78" s="1"/>
  <c r="A60" i="78" s="1"/>
  <c r="A78" i="78" s="1"/>
  <c r="Y23" i="78"/>
  <c r="X23" i="78"/>
  <c r="W23" i="78"/>
  <c r="V23" i="78"/>
  <c r="U23" i="78"/>
  <c r="T23" i="78"/>
  <c r="S23" i="78"/>
  <c r="R23" i="78"/>
  <c r="Q23" i="78"/>
  <c r="P23" i="78"/>
  <c r="O23" i="78"/>
  <c r="N23" i="78"/>
  <c r="M23" i="78"/>
  <c r="L23" i="78"/>
  <c r="K23" i="78"/>
  <c r="J23" i="78"/>
  <c r="I23" i="78"/>
  <c r="H23" i="78"/>
  <c r="G23" i="78"/>
  <c r="F23" i="78"/>
  <c r="E23" i="78"/>
  <c r="D23" i="78"/>
  <c r="C23" i="78"/>
  <c r="B23" i="78"/>
  <c r="B41" i="78" s="1"/>
  <c r="A59" i="78" s="1"/>
  <c r="A77" i="78" s="1"/>
  <c r="Y22" i="78"/>
  <c r="X22" i="78"/>
  <c r="W22" i="78"/>
  <c r="V22" i="78"/>
  <c r="U22" i="78"/>
  <c r="T22" i="78"/>
  <c r="S22" i="78"/>
  <c r="R22" i="78"/>
  <c r="Q22" i="78"/>
  <c r="P22" i="78"/>
  <c r="O22" i="78"/>
  <c r="N22" i="78"/>
  <c r="M22" i="78"/>
  <c r="L22" i="78"/>
  <c r="K22" i="78"/>
  <c r="J22" i="78"/>
  <c r="I22" i="78"/>
  <c r="H22" i="78"/>
  <c r="G22" i="78"/>
  <c r="F22" i="78"/>
  <c r="E22" i="78"/>
  <c r="D22" i="78"/>
  <c r="C22" i="78"/>
  <c r="B22" i="78"/>
  <c r="B40" i="78" s="1"/>
  <c r="A58" i="78" s="1"/>
  <c r="A76" i="78" s="1"/>
  <c r="Y21" i="78"/>
  <c r="X21" i="78"/>
  <c r="W21" i="78"/>
  <c r="V21" i="78"/>
  <c r="U21" i="78"/>
  <c r="T21" i="78"/>
  <c r="S21" i="78"/>
  <c r="R21" i="78"/>
  <c r="Q21" i="78"/>
  <c r="P21" i="78"/>
  <c r="O21" i="78"/>
  <c r="N21" i="78"/>
  <c r="M21" i="78"/>
  <c r="L21" i="78"/>
  <c r="K21" i="78"/>
  <c r="J21" i="78"/>
  <c r="I21" i="78"/>
  <c r="H21" i="78"/>
  <c r="G21" i="78"/>
  <c r="F21" i="78"/>
  <c r="E21" i="78"/>
  <c r="D21" i="78"/>
  <c r="C21" i="78"/>
  <c r="B21" i="78"/>
  <c r="B39" i="78" s="1"/>
  <c r="A57" i="78" s="1"/>
  <c r="A75" i="78" s="1"/>
  <c r="Y20" i="78"/>
  <c r="X20" i="78"/>
  <c r="W20" i="78"/>
  <c r="V20" i="78"/>
  <c r="U20" i="78"/>
  <c r="T20" i="78"/>
  <c r="S20" i="78"/>
  <c r="R20" i="78"/>
  <c r="Q20" i="78"/>
  <c r="P20" i="78"/>
  <c r="O20" i="78"/>
  <c r="N20" i="78"/>
  <c r="M20" i="78"/>
  <c r="L20" i="78"/>
  <c r="K20" i="78"/>
  <c r="J20" i="78"/>
  <c r="I20" i="78"/>
  <c r="H20" i="78"/>
  <c r="G20" i="78"/>
  <c r="F20" i="78"/>
  <c r="E20" i="78"/>
  <c r="D20" i="78"/>
  <c r="C20" i="78"/>
  <c r="B20" i="78"/>
  <c r="B38" i="78" s="1"/>
  <c r="A56" i="78" s="1"/>
  <c r="A74" i="78" s="1"/>
  <c r="Y21" i="77"/>
  <c r="Y22" i="77"/>
  <c r="Y23" i="77"/>
  <c r="Y24" i="77"/>
  <c r="Y25" i="77"/>
  <c r="Y26" i="77"/>
  <c r="Y27" i="77"/>
  <c r="Y28" i="77"/>
  <c r="Y29" i="77"/>
  <c r="Y30" i="77"/>
  <c r="Y31" i="77"/>
  <c r="Y32" i="77"/>
  <c r="Y33" i="77"/>
  <c r="Y34" i="77"/>
  <c r="Y35" i="77"/>
  <c r="Y36" i="77"/>
  <c r="Y20" i="77"/>
  <c r="AC207" i="72"/>
  <c r="AC230" i="72" s="1"/>
  <c r="B21" i="77"/>
  <c r="B22" i="77"/>
  <c r="B40" i="77" s="1"/>
  <c r="A58" i="77" s="1"/>
  <c r="A76" i="77" s="1"/>
  <c r="B23" i="77"/>
  <c r="B41" i="77" s="1"/>
  <c r="A59" i="77" s="1"/>
  <c r="A77" i="77" s="1"/>
  <c r="B24" i="77"/>
  <c r="B42" i="77" s="1"/>
  <c r="A60" i="77" s="1"/>
  <c r="A78" i="77" s="1"/>
  <c r="B25" i="77"/>
  <c r="B43" i="77" s="1"/>
  <c r="A61" i="77" s="1"/>
  <c r="A79" i="77" s="1"/>
  <c r="B26" i="77"/>
  <c r="B44" i="77" s="1"/>
  <c r="A62" i="77" s="1"/>
  <c r="A80" i="77" s="1"/>
  <c r="B27" i="77"/>
  <c r="B45" i="77" s="1"/>
  <c r="A63" i="77" s="1"/>
  <c r="A81" i="77" s="1"/>
  <c r="B28" i="77"/>
  <c r="B46" i="77" s="1"/>
  <c r="A64" i="77" s="1"/>
  <c r="A82" i="77" s="1"/>
  <c r="B29" i="77"/>
  <c r="B30" i="77"/>
  <c r="B48" i="77" s="1"/>
  <c r="A66" i="77" s="1"/>
  <c r="A84" i="77" s="1"/>
  <c r="B31" i="77"/>
  <c r="B49" i="77" s="1"/>
  <c r="A67" i="77" s="1"/>
  <c r="A85" i="77" s="1"/>
  <c r="B32" i="77"/>
  <c r="B50" i="77" s="1"/>
  <c r="A68" i="77" s="1"/>
  <c r="A86" i="77" s="1"/>
  <c r="B33" i="77"/>
  <c r="B51" i="77" s="1"/>
  <c r="A69" i="77" s="1"/>
  <c r="A87" i="77" s="1"/>
  <c r="B34" i="77"/>
  <c r="B52" i="77" s="1"/>
  <c r="A70" i="77" s="1"/>
  <c r="A88" i="77" s="1"/>
  <c r="B35" i="77"/>
  <c r="B53" i="77" s="1"/>
  <c r="A71" i="77" s="1"/>
  <c r="A89" i="77" s="1"/>
  <c r="B36" i="77"/>
  <c r="B54" i="77" s="1"/>
  <c r="A72" i="77" s="1"/>
  <c r="A90" i="77" s="1"/>
  <c r="B20" i="77"/>
  <c r="C20" i="77"/>
  <c r="D20" i="77"/>
  <c r="E20" i="77"/>
  <c r="F20" i="77"/>
  <c r="G20" i="77"/>
  <c r="H20" i="77"/>
  <c r="I20" i="77"/>
  <c r="J20" i="77"/>
  <c r="K20" i="77"/>
  <c r="L20" i="77"/>
  <c r="M20" i="77"/>
  <c r="N20" i="77"/>
  <c r="O20" i="77"/>
  <c r="P20" i="77"/>
  <c r="Q20" i="77"/>
  <c r="R20" i="77"/>
  <c r="S20" i="77"/>
  <c r="T20" i="77"/>
  <c r="U20" i="77"/>
  <c r="V20" i="77"/>
  <c r="W20" i="77"/>
  <c r="X20" i="77"/>
  <c r="C21" i="77"/>
  <c r="D21" i="77"/>
  <c r="E21" i="77"/>
  <c r="F21" i="77"/>
  <c r="G21" i="77"/>
  <c r="H21" i="77"/>
  <c r="I21" i="77"/>
  <c r="B39" i="77" s="1"/>
  <c r="A57" i="77" s="1"/>
  <c r="A75" i="77" s="1"/>
  <c r="J21" i="77"/>
  <c r="K21" i="77"/>
  <c r="L21" i="77"/>
  <c r="M21" i="77"/>
  <c r="N21" i="77"/>
  <c r="O21" i="77"/>
  <c r="P21" i="77"/>
  <c r="Q21" i="77"/>
  <c r="R21" i="77"/>
  <c r="S21" i="77"/>
  <c r="T21" i="77"/>
  <c r="U21" i="77"/>
  <c r="V21" i="77"/>
  <c r="W21" i="77"/>
  <c r="X21" i="77"/>
  <c r="C22" i="77"/>
  <c r="D22" i="77"/>
  <c r="E22" i="77"/>
  <c r="F22" i="77"/>
  <c r="G22" i="77"/>
  <c r="H22" i="77"/>
  <c r="I22" i="77"/>
  <c r="J22" i="77"/>
  <c r="K22" i="77"/>
  <c r="L22" i="77"/>
  <c r="M22" i="77"/>
  <c r="N22" i="77"/>
  <c r="O22" i="77"/>
  <c r="P22" i="77"/>
  <c r="Q22" i="77"/>
  <c r="R22" i="77"/>
  <c r="S22" i="77"/>
  <c r="T22" i="77"/>
  <c r="U22" i="77"/>
  <c r="V22" i="77"/>
  <c r="W22" i="77"/>
  <c r="X22" i="77"/>
  <c r="C23" i="77"/>
  <c r="D23" i="77"/>
  <c r="E23" i="77"/>
  <c r="F23" i="77"/>
  <c r="G23" i="77"/>
  <c r="H23" i="77"/>
  <c r="I23" i="77"/>
  <c r="J23" i="77"/>
  <c r="K23" i="77"/>
  <c r="L23" i="77"/>
  <c r="M23" i="77"/>
  <c r="N23" i="77"/>
  <c r="O23" i="77"/>
  <c r="P23" i="77"/>
  <c r="Q23" i="77"/>
  <c r="R23" i="77"/>
  <c r="S23" i="77"/>
  <c r="T23" i="77"/>
  <c r="U23" i="77"/>
  <c r="V23" i="77"/>
  <c r="W23" i="77"/>
  <c r="X23" i="77"/>
  <c r="C24" i="77"/>
  <c r="D24" i="77"/>
  <c r="E24" i="77"/>
  <c r="F24" i="77"/>
  <c r="G24" i="77"/>
  <c r="H24" i="77"/>
  <c r="I24" i="77"/>
  <c r="J24" i="77"/>
  <c r="K24" i="77"/>
  <c r="L24" i="77"/>
  <c r="M24" i="77"/>
  <c r="N24" i="77"/>
  <c r="O24" i="77"/>
  <c r="P24" i="77"/>
  <c r="Q24" i="77"/>
  <c r="R24" i="77"/>
  <c r="S24" i="77"/>
  <c r="T24" i="77"/>
  <c r="U24" i="77"/>
  <c r="V24" i="77"/>
  <c r="W24" i="77"/>
  <c r="X24" i="77"/>
  <c r="C25" i="77"/>
  <c r="D25" i="77"/>
  <c r="E25" i="77"/>
  <c r="F25" i="77"/>
  <c r="G25" i="77"/>
  <c r="H25" i="77"/>
  <c r="I25" i="77"/>
  <c r="J25" i="77"/>
  <c r="K25" i="77"/>
  <c r="L25" i="77"/>
  <c r="M25" i="77"/>
  <c r="N25" i="77"/>
  <c r="O25" i="77"/>
  <c r="P25" i="77"/>
  <c r="Q25" i="77"/>
  <c r="R25" i="77"/>
  <c r="S25" i="77"/>
  <c r="T25" i="77"/>
  <c r="U25" i="77"/>
  <c r="V25" i="77"/>
  <c r="W25" i="77"/>
  <c r="X25" i="77"/>
  <c r="C26" i="77"/>
  <c r="D26" i="77"/>
  <c r="E26" i="77"/>
  <c r="F26" i="77"/>
  <c r="G26" i="77"/>
  <c r="H26" i="77"/>
  <c r="I26" i="77"/>
  <c r="J26" i="77"/>
  <c r="K26" i="77"/>
  <c r="L26" i="77"/>
  <c r="M26" i="77"/>
  <c r="N26" i="77"/>
  <c r="O26" i="77"/>
  <c r="P26" i="77"/>
  <c r="Q26" i="77"/>
  <c r="R26" i="77"/>
  <c r="S26" i="77"/>
  <c r="T26" i="77"/>
  <c r="U26" i="77"/>
  <c r="V26" i="77"/>
  <c r="W26" i="77"/>
  <c r="X26" i="77"/>
  <c r="C27" i="77"/>
  <c r="D27" i="77"/>
  <c r="E27" i="77"/>
  <c r="F27" i="77"/>
  <c r="G27" i="77"/>
  <c r="H27" i="77"/>
  <c r="I27" i="77"/>
  <c r="J27" i="77"/>
  <c r="K27" i="77"/>
  <c r="L27" i="77"/>
  <c r="M27" i="77"/>
  <c r="N27" i="77"/>
  <c r="O27" i="77"/>
  <c r="P27" i="77"/>
  <c r="Q27" i="77"/>
  <c r="R27" i="77"/>
  <c r="S27" i="77"/>
  <c r="T27" i="77"/>
  <c r="U27" i="77"/>
  <c r="V27" i="77"/>
  <c r="W27" i="77"/>
  <c r="X27" i="77"/>
  <c r="C28" i="77"/>
  <c r="D28" i="77"/>
  <c r="E28" i="77"/>
  <c r="F28" i="77"/>
  <c r="G28" i="77"/>
  <c r="H28" i="77"/>
  <c r="I28" i="77"/>
  <c r="J28" i="77"/>
  <c r="K28" i="77"/>
  <c r="L28" i="77"/>
  <c r="M28" i="77"/>
  <c r="N28" i="77"/>
  <c r="O28" i="77"/>
  <c r="P28" i="77"/>
  <c r="Q28" i="77"/>
  <c r="R28" i="77"/>
  <c r="S28" i="77"/>
  <c r="T28" i="77"/>
  <c r="U28" i="77"/>
  <c r="V28" i="77"/>
  <c r="W28" i="77"/>
  <c r="X28" i="77"/>
  <c r="C29" i="77"/>
  <c r="D29" i="77"/>
  <c r="E29" i="77"/>
  <c r="F29" i="77"/>
  <c r="G29" i="77"/>
  <c r="H29" i="77"/>
  <c r="I29" i="77"/>
  <c r="B47" i="77" s="1"/>
  <c r="A65" i="77" s="1"/>
  <c r="A83" i="77" s="1"/>
  <c r="J29" i="77"/>
  <c r="K29" i="77"/>
  <c r="L29" i="77"/>
  <c r="M29" i="77"/>
  <c r="N29" i="77"/>
  <c r="O29" i="77"/>
  <c r="P29" i="77"/>
  <c r="Q29" i="77"/>
  <c r="R29" i="77"/>
  <c r="S29" i="77"/>
  <c r="T29" i="77"/>
  <c r="U29" i="77"/>
  <c r="V29" i="77"/>
  <c r="W29" i="77"/>
  <c r="X29" i="77"/>
  <c r="C30" i="77"/>
  <c r="D30" i="77"/>
  <c r="E30" i="77"/>
  <c r="F30" i="77"/>
  <c r="G30" i="77"/>
  <c r="H30" i="77"/>
  <c r="I30" i="77"/>
  <c r="J30" i="77"/>
  <c r="K30" i="77"/>
  <c r="L30" i="77"/>
  <c r="M30" i="77"/>
  <c r="N30" i="77"/>
  <c r="O30" i="77"/>
  <c r="P30" i="77"/>
  <c r="Q30" i="77"/>
  <c r="R30" i="77"/>
  <c r="S30" i="77"/>
  <c r="T30" i="77"/>
  <c r="U30" i="77"/>
  <c r="V30" i="77"/>
  <c r="W30" i="77"/>
  <c r="X30" i="77"/>
  <c r="C31" i="77"/>
  <c r="D31" i="77"/>
  <c r="E31" i="77"/>
  <c r="F31" i="77"/>
  <c r="G31" i="77"/>
  <c r="H31" i="77"/>
  <c r="I31" i="77"/>
  <c r="J31" i="77"/>
  <c r="K31" i="77"/>
  <c r="L31" i="77"/>
  <c r="M31" i="77"/>
  <c r="N31" i="77"/>
  <c r="O31" i="77"/>
  <c r="P31" i="77"/>
  <c r="Q31" i="77"/>
  <c r="R31" i="77"/>
  <c r="S31" i="77"/>
  <c r="T31" i="77"/>
  <c r="U31" i="77"/>
  <c r="V31" i="77"/>
  <c r="W31" i="77"/>
  <c r="X31" i="77"/>
  <c r="C32" i="77"/>
  <c r="D32" i="77"/>
  <c r="E32" i="77"/>
  <c r="F32" i="77"/>
  <c r="G32" i="77"/>
  <c r="H32" i="77"/>
  <c r="I32" i="77"/>
  <c r="J32" i="77"/>
  <c r="K32" i="77"/>
  <c r="L32" i="77"/>
  <c r="M32" i="77"/>
  <c r="N32" i="77"/>
  <c r="O32" i="77"/>
  <c r="P32" i="77"/>
  <c r="Q32" i="77"/>
  <c r="R32" i="77"/>
  <c r="S32" i="77"/>
  <c r="T32" i="77"/>
  <c r="U32" i="77"/>
  <c r="V32" i="77"/>
  <c r="W32" i="77"/>
  <c r="X32" i="77"/>
  <c r="C33" i="77"/>
  <c r="D33" i="77"/>
  <c r="E33" i="77"/>
  <c r="F33" i="77"/>
  <c r="G33" i="77"/>
  <c r="H33" i="77"/>
  <c r="I33" i="77"/>
  <c r="J33" i="77"/>
  <c r="K33" i="77"/>
  <c r="L33" i="77"/>
  <c r="M33" i="77"/>
  <c r="N33" i="77"/>
  <c r="O33" i="77"/>
  <c r="P33" i="77"/>
  <c r="Q33" i="77"/>
  <c r="R33" i="77"/>
  <c r="S33" i="77"/>
  <c r="T33" i="77"/>
  <c r="U33" i="77"/>
  <c r="V33" i="77"/>
  <c r="W33" i="77"/>
  <c r="X33" i="77"/>
  <c r="C34" i="77"/>
  <c r="D34" i="77"/>
  <c r="E34" i="77"/>
  <c r="F34" i="77"/>
  <c r="G34" i="77"/>
  <c r="H34" i="77"/>
  <c r="I34" i="77"/>
  <c r="J34" i="77"/>
  <c r="K34" i="77"/>
  <c r="L34" i="77"/>
  <c r="M34" i="77"/>
  <c r="N34" i="77"/>
  <c r="O34" i="77"/>
  <c r="P34" i="77"/>
  <c r="Q34" i="77"/>
  <c r="R34" i="77"/>
  <c r="S34" i="77"/>
  <c r="T34" i="77"/>
  <c r="U34" i="77"/>
  <c r="V34" i="77"/>
  <c r="W34" i="77"/>
  <c r="X34" i="77"/>
  <c r="C35" i="77"/>
  <c r="D35" i="77"/>
  <c r="E35" i="77"/>
  <c r="F35" i="77"/>
  <c r="G35" i="77"/>
  <c r="H35" i="77"/>
  <c r="I35" i="77"/>
  <c r="J35" i="77"/>
  <c r="K35" i="77"/>
  <c r="L35" i="77"/>
  <c r="M35" i="77"/>
  <c r="N35" i="77"/>
  <c r="O35" i="77"/>
  <c r="P35" i="77"/>
  <c r="Q35" i="77"/>
  <c r="R35" i="77"/>
  <c r="S35" i="77"/>
  <c r="T35" i="77"/>
  <c r="U35" i="77"/>
  <c r="V35" i="77"/>
  <c r="W35" i="77"/>
  <c r="X35" i="77"/>
  <c r="C36" i="77"/>
  <c r="D36" i="77"/>
  <c r="E36" i="77"/>
  <c r="F36" i="77"/>
  <c r="G36" i="77"/>
  <c r="H36" i="77"/>
  <c r="I36" i="77"/>
  <c r="J36" i="77"/>
  <c r="K36" i="77"/>
  <c r="L36" i="77"/>
  <c r="M36" i="77"/>
  <c r="N36" i="77"/>
  <c r="O36" i="77"/>
  <c r="P36" i="77"/>
  <c r="Q36" i="77"/>
  <c r="R36" i="77"/>
  <c r="S36" i="77"/>
  <c r="T36" i="77"/>
  <c r="U36" i="77"/>
  <c r="V36" i="77"/>
  <c r="W36" i="77"/>
  <c r="X36" i="77"/>
  <c r="R4" i="76"/>
  <c r="R3" i="76"/>
  <c r="R2" i="76"/>
  <c r="M3" i="76"/>
  <c r="M4" i="76"/>
  <c r="M2" i="76"/>
  <c r="B3" i="76"/>
  <c r="C3" i="76"/>
  <c r="D3" i="76"/>
  <c r="E3" i="76"/>
  <c r="F3" i="76"/>
  <c r="G3" i="76"/>
  <c r="H3" i="76"/>
  <c r="I3" i="76"/>
  <c r="J3" i="76"/>
  <c r="K3" i="76"/>
  <c r="B4" i="76"/>
  <c r="C4" i="76"/>
  <c r="D4" i="76"/>
  <c r="E4" i="76"/>
  <c r="F4" i="76"/>
  <c r="G4" i="76"/>
  <c r="H4" i="76"/>
  <c r="I4" i="76"/>
  <c r="J4" i="76"/>
  <c r="K4" i="76"/>
  <c r="B5" i="76"/>
  <c r="C5" i="76"/>
  <c r="D5" i="76"/>
  <c r="E5" i="76"/>
  <c r="F5" i="76"/>
  <c r="G5" i="76"/>
  <c r="H5" i="76"/>
  <c r="I5" i="76"/>
  <c r="J5" i="76"/>
  <c r="K5" i="76"/>
  <c r="B6" i="76"/>
  <c r="C6" i="76"/>
  <c r="D6" i="76"/>
  <c r="E6" i="76"/>
  <c r="F6" i="76"/>
  <c r="G6" i="76"/>
  <c r="H6" i="76"/>
  <c r="I6" i="76"/>
  <c r="J6" i="76"/>
  <c r="K6" i="76"/>
  <c r="B7" i="76"/>
  <c r="C7" i="76"/>
  <c r="D7" i="76"/>
  <c r="E7" i="76"/>
  <c r="F7" i="76"/>
  <c r="G7" i="76"/>
  <c r="H7" i="76"/>
  <c r="I7" i="76"/>
  <c r="J7" i="76"/>
  <c r="K7" i="76"/>
  <c r="B8" i="76"/>
  <c r="C8" i="76"/>
  <c r="D8" i="76"/>
  <c r="E8" i="76"/>
  <c r="F8" i="76"/>
  <c r="G8" i="76"/>
  <c r="H8" i="76"/>
  <c r="I8" i="76"/>
  <c r="J8" i="76"/>
  <c r="K8" i="76"/>
  <c r="B9" i="76"/>
  <c r="C9" i="76"/>
  <c r="D9" i="76"/>
  <c r="E9" i="76"/>
  <c r="F9" i="76"/>
  <c r="G9" i="76"/>
  <c r="H9" i="76"/>
  <c r="I9" i="76"/>
  <c r="J9" i="76"/>
  <c r="K9" i="76"/>
  <c r="B10" i="76"/>
  <c r="C10" i="76"/>
  <c r="D10" i="76"/>
  <c r="E10" i="76"/>
  <c r="F10" i="76"/>
  <c r="G10" i="76"/>
  <c r="H10" i="76"/>
  <c r="I10" i="76"/>
  <c r="J10" i="76"/>
  <c r="K10" i="76"/>
  <c r="B11" i="76"/>
  <c r="C11" i="76"/>
  <c r="D11" i="76"/>
  <c r="E11" i="76"/>
  <c r="F11" i="76"/>
  <c r="G11" i="76"/>
  <c r="H11" i="76"/>
  <c r="I11" i="76"/>
  <c r="J11" i="76"/>
  <c r="K11" i="76"/>
  <c r="B12" i="76"/>
  <c r="C12" i="76"/>
  <c r="D12" i="76"/>
  <c r="E12" i="76"/>
  <c r="F12" i="76"/>
  <c r="G12" i="76"/>
  <c r="H12" i="76"/>
  <c r="I12" i="76"/>
  <c r="J12" i="76"/>
  <c r="K12" i="76"/>
  <c r="B13" i="76"/>
  <c r="C13" i="76"/>
  <c r="D13" i="76"/>
  <c r="E13" i="76"/>
  <c r="F13" i="76"/>
  <c r="G13" i="76"/>
  <c r="H13" i="76"/>
  <c r="I13" i="76"/>
  <c r="J13" i="76"/>
  <c r="K13" i="76"/>
  <c r="C2" i="76"/>
  <c r="D2" i="76"/>
  <c r="E2" i="76"/>
  <c r="F2" i="76"/>
  <c r="G2" i="76"/>
  <c r="H2" i="76"/>
  <c r="I2" i="76"/>
  <c r="J2" i="76"/>
  <c r="K2" i="76"/>
  <c r="B2" i="76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6" i="72" s="1"/>
  <c r="AH297" i="72"/>
  <c r="AG223" i="72"/>
  <c r="AG294" i="72" s="1"/>
  <c r="AF223" i="72"/>
  <c r="AF294" i="72" s="1"/>
  <c r="AE223" i="72"/>
  <c r="AE294" i="72"/>
  <c r="AE297" i="72"/>
  <c r="AD223" i="72"/>
  <c r="AD294" i="72"/>
  <c r="AD297" i="72" s="1"/>
  <c r="AC223" i="72"/>
  <c r="AC294" i="72" s="1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E296" i="72"/>
  <c r="AD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E295" i="72"/>
  <c r="AD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  <c r="AG295" i="72" l="1"/>
  <c r="AG296" i="72"/>
  <c r="AG297" i="72"/>
  <c r="AF297" i="72"/>
  <c r="AF295" i="72"/>
  <c r="AF296" i="72"/>
  <c r="AC297" i="72"/>
  <c r="AC295" i="72"/>
  <c r="AC296" i="72"/>
  <c r="AC231" i="72"/>
  <c r="AC232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F4" authorId="0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1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2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3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tc={2A851F42-9AFA-4700-B217-7B78CD641DDA}</author>
  </authors>
  <commentList>
    <comment ref="C3" authorId="0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<sst xmlns="http://schemas.openxmlformats.org/spreadsheetml/2006/main" count="1079" uniqueCount="199">
  <si>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</si>
  <si>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</si>
  <si>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</si>
  <si>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</si>
  <si>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</si>
  <si>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</si>
  <si>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</si>
  <si>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</si>
  <si>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</si>
  <si>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</si>
  <si>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</si>
  <si>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</si>
  <si>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</si>
  <si>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</si>
  <si>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</si>
  <si>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</si>
  <si>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</si>
  <si>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</si>
  <si>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</si>
  <si>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</si>
  <si>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</si>
  <si>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</si>
  <si>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</si>
  <si>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</si>
  <si>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</si>
  <si>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</si>
  <si>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</si>
  <si>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</si>
  <si>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</si>
  <si>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</si>
  <si>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</si>
  <si>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</si>
  <si>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</si>
  <si>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</si>
  <si>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</si>
  <si>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</si>
  <si>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</si>
  <si>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</si>
  <si>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</si>
  <si>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</si>
  <si>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</si>
  <si>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</si>
  <si>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</si>
  <si>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</si>
  <si>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</si>
  <si>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</si>
  <si>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</si>
  <si>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</si>
  <si>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</si>
  <si>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</si>
  <si>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</si>
  <si>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</si>
  <si>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</si>
  <si>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</si>
  <si>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</si>
  <si>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</si>
  <si>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</si>
  <si>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</si>
  <si>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</si>
  <si>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</si>
  <si>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</si>
  <si>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</si>
  <si>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</si>
  <si>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</si>
  <si>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</si>
  <si>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</si>
  <si>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</si>
  <si>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</si>
  <si>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</si>
  <si>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</si>
  <si>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</si>
  <si>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</si>
  <si>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</si>
  <si>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</si>
  <si>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</si>
  <si>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</si>
  <si>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</si>
  <si>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</si>
  <si>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</si>
  <si>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</si>
  <si>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</si>
  <si>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</si>
  <si>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</si>
  <si>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</si>
  <si>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</si>
  <si>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</si>
  <si>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</si>
  <si>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</si>
  <si>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</si>
  <si>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</si>
  <si>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</si>
  <si>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</si>
  <si>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</si>
  <si>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</si>
  <si>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</si>
  <si>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</si>
  <si>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</si>
  <si>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</si>
  <si>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</si>
  <si>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</si>
  <si>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</si>
  <si>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</si>
  <si>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</si>
  <si>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</si>
  <si>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</si>
  <si>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</si>
  <si>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</si>
  <si>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</si>
  <si>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</si>
  <si>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</si>
  <si>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</si>
  <si>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</si>
  <si>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</si>
  <si>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</si>
  <si>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</si>
  <si>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</si>
  <si>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</si>
  <si>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</si>
  <si>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</si>
  <si>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</si>
  <si>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</si>
  <si>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</si>
  <si>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</si>
  <si>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</si>
  <si>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</si>
  <si>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</si>
  <si>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</si>
  <si>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</si>
  <si>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</si>
  <si>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</si>
  <si>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</si>
  <si>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</si>
  <si>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</si>
  <si>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</si>
  <si>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</si>
  <si>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</si>
  <si>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</si>
  <si>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</si>
  <si>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</si>
  <si>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</si>
  <si>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</si>
  <si>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</si>
  <si>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</si>
  <si>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</si>
  <si>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</si>
  <si>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</si>
  <si>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</si>
  <si>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</si>
  <si>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</si>
  <si>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</si>
  <si>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</si>
  <si>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</si>
  <si>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</si>
  <si>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</si>
  <si>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</si>
  <si>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</si>
  <si>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</si>
  <si>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</si>
  <si>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</si>
  <si>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</si>
  <si>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</si>
  <si>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</si>
  <si>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</si>
  <si>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</si>
  <si>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</si>
  <si>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</si>
  <si>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</si>
  <si>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</si>
  <si>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</si>
  <si>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</si>
  <si>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</si>
  <si>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</si>
  <si>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</si>
  <si>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</si>
  <si>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</si>
  <si>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</si>
  <si>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>Demand assumed to be decreased by 20%</t>
  </si>
  <si>
    <t>Demand assumed to be increased by 20%</t>
  </si>
  <si>
    <t>50% of Penta is replaced by Hexa</t>
  </si>
  <si>
    <t>50% of MR is replaced by MMR</t>
  </si>
  <si>
    <t>Demand of IPV increases by 50% of the demand of Penta</t>
  </si>
  <si>
    <t xml:space="preserve">Demand of Mumps increases by 50% of the demand of MR </t>
  </si>
  <si>
    <t>R^2</t>
  </si>
  <si>
    <t>MMR-based</t>
  </si>
  <si>
    <t>Hexa-based</t>
  </si>
  <si>
    <t>Single Antigen</t>
  </si>
  <si>
    <t>if  R-squared value &lt; 0.3 this value is generally considered a None or Very weak effect size,
if R-squared value 0.3 &lt; r &lt; 0.5 this value is generally considered a weak or low effect size,
if R-squared value 0.5 &lt; r &lt; 0.7 this value is generally considered a Moderate effect size,
if R-squared value r &gt; 0.7 this value is generally considered strong effect size,</t>
  </si>
  <si>
    <t>Ref: Source: Moore, D. S., Notz, W. I, &amp; Flinger, M. A. (2013). The basic practice of statistics (6th ed.). New York, NY: W. H. Freeman and Company. Page (138).</t>
  </si>
  <si>
    <t>HPV - 2000-14</t>
  </si>
  <si>
    <t>HPV - 2015-23</t>
  </si>
  <si>
    <t>IPV - 2000-13</t>
  </si>
  <si>
    <t>IPV - 2014-23</t>
  </si>
  <si>
    <t>MR - 2000-13</t>
  </si>
  <si>
    <t>MR - 2014-23</t>
  </si>
  <si>
    <t>Very Weak</t>
  </si>
  <si>
    <t>Weak</t>
  </si>
  <si>
    <t>Moderate</t>
  </si>
  <si>
    <t>Strong</t>
  </si>
  <si>
    <t>Historical Data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</si>
</sst>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  <numFmt numFmtId="170" formatCode="_(* #,##0.0_);_(* \(#,##0.0\);_(* &quot;-&quot;?_);_(@_)"/>
  </numFmts>
  <fonts count="1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0" borderId="0" xfId="0" applyNumberFormat="1"/>
    <xf numFmtId="168" fontId="0" fillId="6" borderId="0" xfId="2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1" fontId="0" fillId="0" borderId="0" xfId="0" applyNumberFormat="1"/>
    <xf numFmtId="1" fontId="0" fillId="0" borderId="0" xfId="2" applyNumberFormat="1" applyFont="1"/>
    <xf numFmtId="2" fontId="0" fillId="13" borderId="0" xfId="0" applyNumberFormat="1" applyFill="1"/>
    <xf numFmtId="2" fontId="0" fillId="2" borderId="0" xfId="0" applyNumberFormat="1" applyFill="1"/>
    <xf numFmtId="2" fontId="0" fillId="6" borderId="0" xfId="0" applyNumberFormat="1" applyFill="1"/>
    <xf numFmtId="1" fontId="0" fillId="0" borderId="0" xfId="0" applyNumberFormat="1" applyAlignment="1">
      <alignment wrapText="1"/>
    </xf>
    <xf numFmtId="2" fontId="0" fillId="14" borderId="0" xfId="0" applyNumberFormat="1" applyFill="1"/>
    <xf numFmtId="1" fontId="0" fillId="0" borderId="0" xfId="0" applyNumberFormat="1" applyAlignment="1">
      <alignment horizontal="center"/>
    </xf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  <xf numFmtId="1" fontId="2" fillId="0" borderId="0" xfId="0" applyNumberFormat="1" applyFont="1" applyAlignment="1">
      <alignment horizontal="center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C3" dT="2023-10-05T20:10:18.12" personId="{2C6F9B4D-C5F2-4CB3-94F2-9BC9C4677273}" id="{2A851F42-9AFA-4700-B217-7B78CD641DDA}">
    <text>MA2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sheetPr>
    <pageSetUpPr fitToPage="1"/>
  </sheetPr>
  <dimension ref="A1:S54"/>
  <sheetViews>
    <sheetView tabSelected="1" zoomScale="79" zoomScaleNormal="100" workbookViewId="0">
      <selection activeCell="D2" sqref="D2"/>
    </sheetView>
  </sheetViews>
  <sheetFormatPr defaultRowHeight="15" x14ac:dyDescent="0.25"/>
  <cols>
    <col min="1" max="1" width="91.140625" customWidth="1"/>
    <col min="2" max="18" width="15.7109375" customWidth="1"/>
  </cols>
  <sheetData>
    <row r="1" spans="1:19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</row>
    <row r="2" spans="1:19" x14ac:dyDescent="0.25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</row>
    <row r="3" spans="1:19" x14ac:dyDescent="0.25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</row>
    <row r="4" spans="1:19" x14ac:dyDescent="0.25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</row>
    <row r="5" spans="1:19" x14ac:dyDescent="0.25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</row>
    <row r="6" spans="1:19" x14ac:dyDescent="0.25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</row>
    <row r="7" spans="1:19" x14ac:dyDescent="0.25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</row>
    <row r="8" spans="1:19" x14ac:dyDescent="0.25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</row>
    <row r="9" spans="1:19" x14ac:dyDescent="0.25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</row>
    <row r="10" spans="1:19" x14ac:dyDescent="0.25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</row>
    <row r="11" spans="1:19" x14ac:dyDescent="0.25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</row>
    <row r="12" spans="1:19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</row>
    <row r="13" spans="1:19" x14ac:dyDescent="0.25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</row>
    <row r="14" spans="1:19" x14ac:dyDescent="0.25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</row>
    <row r="15" spans="1:19" x14ac:dyDescent="0.25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</row>
    <row r="16" spans="1:19" x14ac:dyDescent="0.25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</row>
    <row r="17" spans="1:19" x14ac:dyDescent="0.25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</row>
    <row r="18" spans="1:19" x14ac:dyDescent="0.25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</row>
    <row r="19" spans="1:19" x14ac:dyDescent="0.25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</row>
    <row r="20" spans="1:19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9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9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9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9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9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9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9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9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9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9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9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9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B18:S19">
    <cfRule type="notContainsBlanks" dxfId="3" priority="1">
      <formula>LEN(TRIM(B18))&gt;0</formula>
    </cfRule>
  </conditionalFormatting>
  <conditionalFormatting sqref="S1 B1:R17 B20:R20">
    <cfRule type="notContainsBlanks" dxfId="2" priority="2" stopIfTrue="1">
      <formula>LEN(TRIM(B1))&gt;0</formula>
    </cfRule>
  </conditionalFormatting>
  <pageMargins left="0.7" right="0.7" top="0.75" bottom="0.75" header="0.3" footer="0.3"/>
  <pageSetup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C1" activePane="topRight" state="frozen"/>
      <selection pane="topRight" activeCell="AC213" sqref="AC213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customWidth="1"/>
    <col min="24" max="24" width="16.85546875" style="7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78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78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25">
      <c r="B4" s="78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25">
      <c r="B5" s="78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78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78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78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78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78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78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78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78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78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78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78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78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78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78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78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78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78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78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78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78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78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78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78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78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78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78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78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78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78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78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78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78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78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78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78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78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78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78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78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78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78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78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78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78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78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78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78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78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78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78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78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78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78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78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78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78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78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78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78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78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78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78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78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78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78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78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78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78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78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78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78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78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78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78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78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78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78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78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78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78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79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80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80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25">
      <c r="B93" s="80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81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78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78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78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78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78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78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78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78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78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78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78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78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78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78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78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78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78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78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78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78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78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78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78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78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78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78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78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78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78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78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78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78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78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78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78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78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78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78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78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78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78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78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78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78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78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78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78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78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78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78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25">
      <c r="B147" s="78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62929823.448526502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25">
      <c r="B148" s="78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158068844.99062499</v>
      </c>
      <c r="AD148" s="10">
        <v>161280061.74315399</v>
      </c>
      <c r="AE148" s="10">
        <v>167954803.5285427</v>
      </c>
      <c r="AF148" s="10">
        <v>161983944.08305499</v>
      </c>
      <c r="AG148" s="10">
        <v>162367383.17818099</v>
      </c>
      <c r="AH148" s="10">
        <v>162941685.62800601</v>
      </c>
    </row>
    <row r="149" spans="2:34" hidden="1" x14ac:dyDescent="0.25">
      <c r="B149" s="78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78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78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78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78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78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78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78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78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78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78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78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78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78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78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78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78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78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78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78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78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78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78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78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78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78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78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78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78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78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78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78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78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78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78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78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78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78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78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78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78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78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78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78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78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78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78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78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78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78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78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78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78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78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78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>SUM(AC96+AC136+AC142)</f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35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35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35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35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35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35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142</v>
      </c>
      <c r="B216" s="36" t="s">
        <v>18</v>
      </c>
      <c r="C216" s="35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35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175</v>
      </c>
      <c r="B218" s="35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35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35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35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161</v>
      </c>
      <c r="B222" s="35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35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220998668.4391515</v>
      </c>
      <c r="AD223" s="12">
        <f t="shared" si="16"/>
        <v>219106581.71571642</v>
      </c>
      <c r="AE223" s="12">
        <f t="shared" si="16"/>
        <v>222271116.40640509</v>
      </c>
      <c r="AF223" s="12">
        <f t="shared" si="16"/>
        <v>217335571.50486708</v>
      </c>
      <c r="AG223" s="12">
        <f t="shared" si="16"/>
        <v>218764570.77513325</v>
      </c>
      <c r="AH223" s="12">
        <f t="shared" si="16"/>
        <v>220234251.13688177</v>
      </c>
    </row>
    <row r="224" spans="1:34" x14ac:dyDescent="0.25">
      <c r="Y224" s="12"/>
    </row>
    <row r="225" spans="2:34" x14ac:dyDescent="0.25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169</v>
      </c>
      <c r="C226" s="7">
        <v>0.9</v>
      </c>
      <c r="U226" s="12"/>
      <c r="Y226" s="12"/>
    </row>
    <row r="227" spans="2:34" x14ac:dyDescent="0.25">
      <c r="B227" s="7" t="s">
        <v>170</v>
      </c>
      <c r="C227" s="7">
        <v>0.7</v>
      </c>
    </row>
    <row r="228" spans="2:34" x14ac:dyDescent="0.25">
      <c r="AD228" s="37"/>
      <c r="AE228" s="37"/>
      <c r="AF228" s="37"/>
      <c r="AG228" s="37"/>
      <c r="AH228" s="37"/>
    </row>
    <row r="229" spans="2:34" ht="15.75" thickBot="1" x14ac:dyDescent="0.3">
      <c r="C229" s="7" t="s">
        <v>171</v>
      </c>
      <c r="AD229" s="38"/>
      <c r="AE229" s="38"/>
      <c r="AF229" s="38"/>
      <c r="AG229" s="38"/>
      <c r="AH229" s="38"/>
    </row>
    <row r="230" spans="2:34" s="40" customFormat="1" ht="15.75" thickBot="1" x14ac:dyDescent="0.3">
      <c r="B230" s="39" t="s">
        <v>34</v>
      </c>
      <c r="D230" s="40">
        <f t="shared" ref="D230:AH230" si="17">D207*$C226</f>
        <v>70722233.142499998</v>
      </c>
      <c r="E230" s="40">
        <f t="shared" si="17"/>
        <v>10285.704</v>
      </c>
      <c r="F230" s="40">
        <f t="shared" si="17"/>
        <v>9839.4536842105263</v>
      </c>
      <c r="G230" s="40">
        <f t="shared" si="17"/>
        <v>9510.8153684210538</v>
      </c>
      <c r="H230" s="40">
        <f t="shared" si="17"/>
        <v>9568.3833473684226</v>
      </c>
      <c r="I230" s="40">
        <f t="shared" si="17"/>
        <v>9779.7871657894757</v>
      </c>
      <c r="J230" s="40">
        <f t="shared" si="17"/>
        <v>10055.805015789474</v>
      </c>
      <c r="K230" s="40">
        <f t="shared" si="17"/>
        <v>10143.130500000001</v>
      </c>
      <c r="L230" s="40">
        <f t="shared" si="17"/>
        <v>10119.738836842107</v>
      </c>
      <c r="M230" s="40">
        <f t="shared" si="17"/>
        <v>0</v>
      </c>
      <c r="N230" s="40">
        <f t="shared" si="17"/>
        <v>15926751.5</v>
      </c>
      <c r="O230" s="40">
        <f t="shared" si="17"/>
        <v>15949320.999999998</v>
      </c>
      <c r="P230" s="40">
        <f t="shared" si="17"/>
        <v>7833070.0000000009</v>
      </c>
      <c r="Q230" s="40">
        <f t="shared" si="17"/>
        <v>24181827.800000001</v>
      </c>
      <c r="R230" s="40">
        <f t="shared" si="17"/>
        <v>25737827.470000003</v>
      </c>
      <c r="S230" s="40">
        <f t="shared" si="17"/>
        <v>28571267.367894739</v>
      </c>
      <c r="T230" s="40">
        <f t="shared" si="17"/>
        <v>17468730.427368421</v>
      </c>
      <c r="U230" s="40">
        <f t="shared" si="17"/>
        <v>32860641.251499999</v>
      </c>
      <c r="V230" s="40">
        <f t="shared" si="17"/>
        <v>16512667.97291</v>
      </c>
      <c r="W230" s="40">
        <f t="shared" si="17"/>
        <v>13386389.473580789</v>
      </c>
      <c r="X230" s="40">
        <f t="shared" si="17"/>
        <v>8876470.5647684205</v>
      </c>
      <c r="Y230" s="40">
        <f t="shared" si="17"/>
        <v>13299464.005211843</v>
      </c>
      <c r="Z230" s="40">
        <f t="shared" si="17"/>
        <v>34154299.116977632</v>
      </c>
      <c r="AA230" s="40">
        <f t="shared" si="17"/>
        <v>15793016.25789316</v>
      </c>
      <c r="AB230" s="40">
        <f t="shared" si="17"/>
        <v>19172794.219558615</v>
      </c>
      <c r="AC230" s="40">
        <f t="shared" si="17"/>
        <v>20112941.270235438</v>
      </c>
      <c r="AD230" s="40">
        <f t="shared" si="17"/>
        <v>18852272.600186843</v>
      </c>
      <c r="AE230" s="40">
        <f t="shared" si="17"/>
        <v>17896292.28471316</v>
      </c>
      <c r="AF230" s="40">
        <f t="shared" si="17"/>
        <v>18741717.215013158</v>
      </c>
      <c r="AG230" s="40">
        <f t="shared" si="17"/>
        <v>19696180.864413157</v>
      </c>
      <c r="AH230" s="40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0" customFormat="1" ht="15.75" thickBot="1" x14ac:dyDescent="0.3">
      <c r="B233" s="39" t="s">
        <v>82</v>
      </c>
      <c r="D233" s="40">
        <f>D208*$C226</f>
        <v>15037694.261710526</v>
      </c>
      <c r="E233" s="40">
        <f t="shared" ref="E233:AH233" si="20">E208*$C226</f>
        <v>15037995.915355263</v>
      </c>
      <c r="F233" s="40">
        <f t="shared" si="20"/>
        <v>14959115.137223683</v>
      </c>
      <c r="G233" s="40">
        <f t="shared" si="20"/>
        <v>15221068.833000004</v>
      </c>
      <c r="H233" s="40">
        <f t="shared" si="20"/>
        <v>16191713.507826315</v>
      </c>
      <c r="I233" s="40">
        <f t="shared" si="20"/>
        <v>29002135.551848687</v>
      </c>
      <c r="J233" s="40">
        <f t="shared" si="20"/>
        <v>32409266.094618421</v>
      </c>
      <c r="K233" s="40">
        <f t="shared" si="20"/>
        <v>32074631.000802636</v>
      </c>
      <c r="L233" s="40">
        <f t="shared" si="20"/>
        <v>18983937.103223685</v>
      </c>
      <c r="M233" s="40">
        <f t="shared" si="20"/>
        <v>20117812.136407893</v>
      </c>
      <c r="N233" s="40">
        <f t="shared" si="20"/>
        <v>20146222.211842105</v>
      </c>
      <c r="O233" s="40">
        <f t="shared" si="20"/>
        <v>18975231.384868424</v>
      </c>
      <c r="P233" s="40">
        <f t="shared" si="20"/>
        <v>3823254.7420000006</v>
      </c>
      <c r="Q233" s="40">
        <f t="shared" si="20"/>
        <v>13576094.34485</v>
      </c>
      <c r="R233" s="40">
        <f t="shared" si="20"/>
        <v>21692028.627845716</v>
      </c>
      <c r="S233" s="40">
        <f t="shared" si="20"/>
        <v>91681545.685642853</v>
      </c>
      <c r="T233" s="40">
        <f t="shared" si="20"/>
        <v>80555307.518535718</v>
      </c>
      <c r="U233" s="40">
        <f t="shared" si="20"/>
        <v>149706108.48645502</v>
      </c>
      <c r="V233" s="40">
        <f t="shared" si="20"/>
        <v>369152955.18488359</v>
      </c>
      <c r="W233" s="40">
        <f t="shared" si="20"/>
        <v>299182889.75710523</v>
      </c>
      <c r="X233" s="40">
        <f t="shared" si="20"/>
        <v>174861942.18869361</v>
      </c>
      <c r="Y233" s="40">
        <f t="shared" si="20"/>
        <v>298151234.47706079</v>
      </c>
      <c r="Z233" s="40">
        <f t="shared" si="20"/>
        <v>204646519.83056429</v>
      </c>
      <c r="AA233" s="40">
        <f t="shared" si="20"/>
        <v>250952391.61314076</v>
      </c>
      <c r="AB233" s="40">
        <f t="shared" si="20"/>
        <v>226463129.34788474</v>
      </c>
      <c r="AC233" s="40">
        <f t="shared" si="20"/>
        <v>241029961.53018576</v>
      </c>
      <c r="AD233" s="40">
        <f t="shared" si="20"/>
        <v>333303551.77446431</v>
      </c>
      <c r="AE233" s="40">
        <f t="shared" si="20"/>
        <v>216381751.73324111</v>
      </c>
      <c r="AF233" s="40">
        <f t="shared" si="20"/>
        <v>339103611.08353096</v>
      </c>
      <c r="AG233" s="40">
        <f t="shared" si="20"/>
        <v>250986523.82707146</v>
      </c>
      <c r="AH233" s="40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0" customFormat="1" ht="15.75" thickBot="1" x14ac:dyDescent="0.3">
      <c r="B236" s="39" t="s">
        <v>7</v>
      </c>
      <c r="D236" s="40">
        <f t="shared" ref="D236:AH236" si="23">D209*$C226</f>
        <v>13405991.998691732</v>
      </c>
      <c r="E236" s="40">
        <f t="shared" si="23"/>
        <v>14325243.083849249</v>
      </c>
      <c r="F236" s="40">
        <f t="shared" si="23"/>
        <v>14796272.081276312</v>
      </c>
      <c r="G236" s="40">
        <f t="shared" si="23"/>
        <v>15346614.874053011</v>
      </c>
      <c r="H236" s="40">
        <f t="shared" si="23"/>
        <v>23177809.326140981</v>
      </c>
      <c r="I236" s="40">
        <f t="shared" si="23"/>
        <v>23864836.680286095</v>
      </c>
      <c r="J236" s="40">
        <f t="shared" si="23"/>
        <v>25248452.688875936</v>
      </c>
      <c r="K236" s="40">
        <f t="shared" si="23"/>
        <v>25167480.566644739</v>
      </c>
      <c r="L236" s="40">
        <f t="shared" si="23"/>
        <v>35508949.880201131</v>
      </c>
      <c r="M236" s="40">
        <f t="shared" si="23"/>
        <v>37091798.092687964</v>
      </c>
      <c r="N236" s="40">
        <f t="shared" si="23"/>
        <v>38634070.761956766</v>
      </c>
      <c r="O236" s="40">
        <f t="shared" si="23"/>
        <v>38596668.042201139</v>
      </c>
      <c r="P236" s="40">
        <f t="shared" si="23"/>
        <v>19933904.245921053</v>
      </c>
      <c r="Q236" s="40">
        <f t="shared" si="23"/>
        <v>19895077.933278196</v>
      </c>
      <c r="R236" s="40">
        <f t="shared" si="23"/>
        <v>17853999.247827068</v>
      </c>
      <c r="S236" s="40">
        <f t="shared" si="23"/>
        <v>23791036.18233835</v>
      </c>
      <c r="T236" s="40">
        <f t="shared" si="23"/>
        <v>18663964.920005646</v>
      </c>
      <c r="U236" s="40">
        <f t="shared" si="23"/>
        <v>18272812.983706769</v>
      </c>
      <c r="V236" s="40">
        <f t="shared" si="23"/>
        <v>21540784.068819739</v>
      </c>
      <c r="W236" s="40">
        <f t="shared" si="23"/>
        <v>19613675.108400945</v>
      </c>
      <c r="X236" s="40">
        <f t="shared" si="23"/>
        <v>16825463.6640094</v>
      </c>
      <c r="Y236" s="40">
        <f t="shared" si="23"/>
        <v>23446940.378586467</v>
      </c>
      <c r="Z236" s="40">
        <f t="shared" si="23"/>
        <v>23963758.811385334</v>
      </c>
      <c r="AA236" s="40">
        <f t="shared" si="23"/>
        <v>23206882.500469923</v>
      </c>
      <c r="AB236" s="40">
        <f t="shared" si="23"/>
        <v>22741290.487296991</v>
      </c>
      <c r="AC236" s="40">
        <f t="shared" si="23"/>
        <v>21182616.991913538</v>
      </c>
      <c r="AD236" s="40">
        <f t="shared" si="23"/>
        <v>14584874.384171054</v>
      </c>
      <c r="AE236" s="40">
        <f t="shared" si="23"/>
        <v>16785386.659531955</v>
      </c>
      <c r="AF236" s="40">
        <f t="shared" si="23"/>
        <v>8018666.5077575203</v>
      </c>
      <c r="AG236" s="40">
        <f t="shared" si="23"/>
        <v>9646613.8812687956</v>
      </c>
      <c r="AH236" s="40">
        <f t="shared" si="23"/>
        <v>11679892.861385338</v>
      </c>
    </row>
    <row r="237" spans="2:34" x14ac:dyDescent="0.25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0" customFormat="1" ht="15.75" thickBot="1" x14ac:dyDescent="0.3">
      <c r="B239" s="39" t="s">
        <v>86</v>
      </c>
      <c r="D239" s="41">
        <f>D210</f>
        <v>78159428.70084165</v>
      </c>
      <c r="E239" s="41">
        <f t="shared" ref="E239:AH239" si="26">E210</f>
        <v>79754932.221154869</v>
      </c>
      <c r="F239" s="41">
        <f t="shared" si="26"/>
        <v>82572071.930308357</v>
      </c>
      <c r="G239" s="41">
        <f t="shared" si="26"/>
        <v>85747371.100018784</v>
      </c>
      <c r="H239" s="41">
        <f t="shared" si="26"/>
        <v>88823501.799946755</v>
      </c>
      <c r="I239" s="41">
        <f t="shared" si="26"/>
        <v>90980825.641051829</v>
      </c>
      <c r="J239" s="41">
        <f t="shared" si="26"/>
        <v>93434224.750214219</v>
      </c>
      <c r="K239" s="41">
        <f t="shared" si="26"/>
        <v>98105257.648446709</v>
      </c>
      <c r="L239" s="41">
        <f t="shared" si="26"/>
        <v>101078445.76415768</v>
      </c>
      <c r="M239" s="41">
        <f t="shared" si="26"/>
        <v>104582797.03656946</v>
      </c>
      <c r="N239" s="41">
        <f t="shared" si="26"/>
        <v>105776184.51721099</v>
      </c>
      <c r="O239" s="41">
        <f t="shared" si="26"/>
        <v>135372840.88102099</v>
      </c>
      <c r="P239" s="41">
        <f t="shared" si="26"/>
        <v>148582723.54941028</v>
      </c>
      <c r="Q239" s="41">
        <f t="shared" si="26"/>
        <v>164282756.196031</v>
      </c>
      <c r="R239" s="41">
        <f t="shared" si="26"/>
        <v>173551045.36105618</v>
      </c>
      <c r="S239" s="41">
        <f t="shared" si="26"/>
        <v>177885694.95791954</v>
      </c>
      <c r="T239" s="41">
        <f t="shared" si="26"/>
        <v>149831513.85508409</v>
      </c>
      <c r="U239" s="41">
        <f t="shared" si="26"/>
        <v>186085427.29991889</v>
      </c>
      <c r="V239" s="41">
        <f t="shared" si="26"/>
        <v>164768260.88476095</v>
      </c>
      <c r="W239" s="41">
        <f t="shared" si="26"/>
        <v>42499759.782201052</v>
      </c>
      <c r="X239" s="41">
        <f t="shared" si="26"/>
        <v>10518907.671401918</v>
      </c>
      <c r="Y239" s="41">
        <f t="shared" si="26"/>
        <v>7180030.7496517412</v>
      </c>
      <c r="Z239" s="41">
        <f t="shared" si="26"/>
        <v>6811039.7848258708</v>
      </c>
      <c r="AA239" s="41">
        <f t="shared" si="26"/>
        <v>6823077.7507462688</v>
      </c>
      <c r="AB239" s="41">
        <f t="shared" si="26"/>
        <v>6836161.7518905476</v>
      </c>
      <c r="AC239" s="41">
        <f t="shared" si="26"/>
        <v>2892677.8183333329</v>
      </c>
      <c r="AD239" s="41">
        <f t="shared" si="26"/>
        <v>2936861.2</v>
      </c>
      <c r="AE239" s="41">
        <f t="shared" si="26"/>
        <v>2979573.415</v>
      </c>
      <c r="AF239" s="41">
        <f t="shared" si="26"/>
        <v>3019022.6733333329</v>
      </c>
      <c r="AG239" s="41">
        <f t="shared" si="26"/>
        <v>3057248.74</v>
      </c>
      <c r="AH239" s="41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0" customFormat="1" ht="15.75" thickBot="1" x14ac:dyDescent="0.3">
      <c r="B243" s="39" t="s">
        <v>84</v>
      </c>
      <c r="D243" s="41">
        <f>D211</f>
        <v>50764265.476614729</v>
      </c>
      <c r="E243" s="41">
        <f t="shared" ref="E243:AH243" si="30">E211</f>
        <v>50774337.539247289</v>
      </c>
      <c r="F243" s="41">
        <f t="shared" si="30"/>
        <v>50335231.889878154</v>
      </c>
      <c r="G243" s="41">
        <f t="shared" si="30"/>
        <v>52856121.30412057</v>
      </c>
      <c r="H243" s="41">
        <f t="shared" si="30"/>
        <v>69969918.250373557</v>
      </c>
      <c r="I243" s="41">
        <f t="shared" si="30"/>
        <v>68257614.967450723</v>
      </c>
      <c r="J243" s="41">
        <f t="shared" si="30"/>
        <v>54723842.706776053</v>
      </c>
      <c r="K243" s="41">
        <f t="shared" si="30"/>
        <v>53185019.472065121</v>
      </c>
      <c r="L243" s="41">
        <f t="shared" si="30"/>
        <v>38358186.250233114</v>
      </c>
      <c r="M243" s="41">
        <f t="shared" si="30"/>
        <v>36289140.125531644</v>
      </c>
      <c r="N243" s="41">
        <f t="shared" si="30"/>
        <v>31847542.07414145</v>
      </c>
      <c r="O243" s="41">
        <f t="shared" si="30"/>
        <v>29878049.329418853</v>
      </c>
      <c r="P243" s="41">
        <f t="shared" si="30"/>
        <v>27224650.822669961</v>
      </c>
      <c r="Q243" s="41">
        <f t="shared" si="30"/>
        <v>28389437.100745611</v>
      </c>
      <c r="R243" s="41">
        <f t="shared" si="30"/>
        <v>29041953.411824565</v>
      </c>
      <c r="S243" s="41">
        <f t="shared" si="30"/>
        <v>34928665.468587726</v>
      </c>
      <c r="T243" s="41">
        <f t="shared" si="30"/>
        <v>74784905.956905723</v>
      </c>
      <c r="U243" s="41">
        <f t="shared" si="30"/>
        <v>94070115.624735251</v>
      </c>
      <c r="V243" s="41">
        <f t="shared" si="30"/>
        <v>129988736.12009519</v>
      </c>
      <c r="W243" s="41">
        <f t="shared" si="30"/>
        <v>244473057.03895932</v>
      </c>
      <c r="X243" s="41">
        <f t="shared" si="30"/>
        <v>268834027.91079444</v>
      </c>
      <c r="Y243" s="41">
        <f t="shared" si="30"/>
        <v>243482508.59073868</v>
      </c>
      <c r="Z243" s="41">
        <f t="shared" si="30"/>
        <v>265683552.45220169</v>
      </c>
      <c r="AA243" s="41">
        <f t="shared" si="30"/>
        <v>267449255.31556958</v>
      </c>
      <c r="AB243" s="41">
        <f t="shared" si="30"/>
        <v>252260511.73202878</v>
      </c>
      <c r="AC243" s="41">
        <f t="shared" si="30"/>
        <v>254784837.78433856</v>
      </c>
      <c r="AD243" s="41">
        <f t="shared" si="30"/>
        <v>252649060.60826117</v>
      </c>
      <c r="AE243" s="41">
        <f t="shared" si="30"/>
        <v>255763567.71337724</v>
      </c>
      <c r="AF243" s="41">
        <f t="shared" si="30"/>
        <v>253520237.87101316</v>
      </c>
      <c r="AG243" s="41">
        <f t="shared" si="30"/>
        <v>257067992.06900519</v>
      </c>
      <c r="AH243" s="41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0" customFormat="1" ht="15.75" thickBot="1" x14ac:dyDescent="0.3">
      <c r="B247" s="39" t="s">
        <v>10</v>
      </c>
      <c r="D247" s="40">
        <f t="shared" ref="D247:AH247" si="34">$C225*D212</f>
        <v>23016345.02235572</v>
      </c>
      <c r="E247" s="40">
        <f t="shared" si="34"/>
        <v>22585963.239165686</v>
      </c>
      <c r="F247" s="40">
        <f t="shared" si="34"/>
        <v>22122731.982950319</v>
      </c>
      <c r="G247" s="40">
        <f t="shared" si="34"/>
        <v>21331937.092768393</v>
      </c>
      <c r="H247" s="40">
        <f t="shared" si="34"/>
        <v>20960173.434599504</v>
      </c>
      <c r="I247" s="40">
        <f t="shared" si="34"/>
        <v>20563309.493522257</v>
      </c>
      <c r="J247" s="40">
        <f t="shared" si="34"/>
        <v>22336228.052101273</v>
      </c>
      <c r="K247" s="40">
        <f t="shared" si="34"/>
        <v>21907844.0673116</v>
      </c>
      <c r="L247" s="40">
        <f t="shared" si="34"/>
        <v>21931751.465510674</v>
      </c>
      <c r="M247" s="40">
        <f t="shared" si="34"/>
        <v>21807943.872771926</v>
      </c>
      <c r="N247" s="40">
        <f t="shared" si="34"/>
        <v>21070828.734517541</v>
      </c>
      <c r="O247" s="40">
        <f t="shared" si="34"/>
        <v>21258930.92776316</v>
      </c>
      <c r="P247" s="40">
        <f t="shared" si="34"/>
        <v>2151717.1985833338</v>
      </c>
      <c r="Q247" s="40">
        <f t="shared" si="34"/>
        <v>2055746.1026666667</v>
      </c>
      <c r="R247" s="40">
        <f t="shared" si="34"/>
        <v>2090957.487666667</v>
      </c>
      <c r="S247" s="40">
        <f t="shared" si="34"/>
        <v>2076008.7929166669</v>
      </c>
      <c r="T247" s="40">
        <f t="shared" si="34"/>
        <v>1962935.2077500003</v>
      </c>
      <c r="U247" s="40">
        <f t="shared" si="34"/>
        <v>2420563.8957500001</v>
      </c>
      <c r="V247" s="40">
        <f t="shared" si="34"/>
        <v>2439458.1621666667</v>
      </c>
      <c r="W247" s="40">
        <f t="shared" si="34"/>
        <v>2395566.3095833338</v>
      </c>
      <c r="X247" s="40">
        <f t="shared" si="34"/>
        <v>5569093.2494999999</v>
      </c>
      <c r="Y247" s="40">
        <f t="shared" si="34"/>
        <v>7045392.1558552645</v>
      </c>
      <c r="Z247" s="40">
        <f t="shared" si="34"/>
        <v>7086573.4450307023</v>
      </c>
      <c r="AA247" s="40">
        <f t="shared" si="34"/>
        <v>7195724.6102500008</v>
      </c>
      <c r="AB247" s="40">
        <f t="shared" si="34"/>
        <v>6885289.9389517549</v>
      </c>
      <c r="AC247" s="40">
        <f t="shared" si="34"/>
        <v>6974115.3475921061</v>
      </c>
      <c r="AD247" s="40">
        <f t="shared" si="34"/>
        <v>7060217.5141184218</v>
      </c>
      <c r="AE247" s="40">
        <f t="shared" si="34"/>
        <v>6692018.1383289481</v>
      </c>
      <c r="AF247" s="40">
        <f t="shared" si="34"/>
        <v>6737449.4233508771</v>
      </c>
      <c r="AG247" s="40">
        <f t="shared" si="34"/>
        <v>6794867.1551798247</v>
      </c>
      <c r="AH247" s="40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0" customFormat="1" ht="15.75" thickBot="1" x14ac:dyDescent="0.3">
      <c r="B251" s="39" t="s">
        <v>166</v>
      </c>
      <c r="D251" s="40">
        <f t="shared" ref="D251:AH251" si="38">$C225*D213</f>
        <v>342758695.46779001</v>
      </c>
      <c r="E251" s="40">
        <f t="shared" si="38"/>
        <v>346404533.84962791</v>
      </c>
      <c r="F251" s="40">
        <f t="shared" si="38"/>
        <v>302608043.61163944</v>
      </c>
      <c r="G251" s="40">
        <f t="shared" si="38"/>
        <v>289158605.75561082</v>
      </c>
      <c r="H251" s="40">
        <f t="shared" si="38"/>
        <v>287241499.82494414</v>
      </c>
      <c r="I251" s="40">
        <f t="shared" si="38"/>
        <v>282741805.42506039</v>
      </c>
      <c r="J251" s="40">
        <f t="shared" si="38"/>
        <v>267670644.20541641</v>
      </c>
      <c r="K251" s="40">
        <f t="shared" si="38"/>
        <v>250580870.60594818</v>
      </c>
      <c r="L251" s="40">
        <f t="shared" si="38"/>
        <v>248539933.35356328</v>
      </c>
      <c r="M251" s="40">
        <f t="shared" si="38"/>
        <v>256094886.59564543</v>
      </c>
      <c r="N251" s="40">
        <f t="shared" si="38"/>
        <v>258860938.22515541</v>
      </c>
      <c r="O251" s="40">
        <f t="shared" si="38"/>
        <v>256253272.4160341</v>
      </c>
      <c r="P251" s="40">
        <f t="shared" si="38"/>
        <v>158859613.48096263</v>
      </c>
      <c r="Q251" s="40">
        <f t="shared" si="38"/>
        <v>156410998.47589552</v>
      </c>
      <c r="R251" s="40">
        <f t="shared" si="38"/>
        <v>152884608.65728733</v>
      </c>
      <c r="S251" s="40">
        <f t="shared" si="38"/>
        <v>100438749.8800187</v>
      </c>
      <c r="T251" s="40">
        <f t="shared" si="38"/>
        <v>71449583.63495785</v>
      </c>
      <c r="U251" s="40">
        <f t="shared" si="38"/>
        <v>73293456.580281451</v>
      </c>
      <c r="V251" s="40">
        <f t="shared" si="38"/>
        <v>73101280.406092882</v>
      </c>
      <c r="W251" s="40">
        <f t="shared" si="38"/>
        <v>72463972.831903726</v>
      </c>
      <c r="X251" s="40">
        <f t="shared" si="38"/>
        <v>67663173.88394776</v>
      </c>
      <c r="Y251" s="40">
        <f t="shared" si="38"/>
        <v>68259566.670606643</v>
      </c>
      <c r="Z251" s="40">
        <f t="shared" si="38"/>
        <v>71955385.650588542</v>
      </c>
      <c r="AA251" s="40">
        <f t="shared" si="38"/>
        <v>72426026.041623309</v>
      </c>
      <c r="AB251" s="40">
        <f t="shared" si="38"/>
        <v>68148001.069169462</v>
      </c>
      <c r="AC251" s="40">
        <f t="shared" si="38"/>
        <v>66571616.650144748</v>
      </c>
      <c r="AD251" s="40">
        <f t="shared" si="38"/>
        <v>63798439.253131576</v>
      </c>
      <c r="AE251" s="40">
        <f t="shared" si="38"/>
        <v>63929685.091249987</v>
      </c>
      <c r="AF251" s="40">
        <f t="shared" si="38"/>
        <v>63682652.819499999</v>
      </c>
      <c r="AG251" s="40">
        <f t="shared" si="38"/>
        <v>63523714.605999999</v>
      </c>
      <c r="AH251" s="40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0" customFormat="1" ht="15.75" thickBot="1" x14ac:dyDescent="0.3">
      <c r="B254" s="39" t="s">
        <v>21</v>
      </c>
      <c r="D254" s="41">
        <f t="shared" ref="D254:AH254" si="41">D214</f>
        <v>4569986.5263157897</v>
      </c>
      <c r="E254" s="41">
        <f t="shared" si="41"/>
        <v>2613786.0340789473</v>
      </c>
      <c r="F254" s="41">
        <f t="shared" si="41"/>
        <v>2314794.7413157895</v>
      </c>
      <c r="G254" s="41">
        <f t="shared" si="41"/>
        <v>4993056.5542105269</v>
      </c>
      <c r="H254" s="41">
        <f t="shared" si="41"/>
        <v>6731549.5777631579</v>
      </c>
      <c r="I254" s="41">
        <f t="shared" si="41"/>
        <v>5829500.5882894741</v>
      </c>
      <c r="J254" s="41">
        <f t="shared" si="41"/>
        <v>2388879.1685526315</v>
      </c>
      <c r="K254" s="41">
        <f t="shared" si="41"/>
        <v>2682333.9976315787</v>
      </c>
      <c r="L254" s="41">
        <f t="shared" si="41"/>
        <v>5503855.038947368</v>
      </c>
      <c r="M254" s="41">
        <f t="shared" si="41"/>
        <v>6149962.5543421051</v>
      </c>
      <c r="N254" s="41">
        <f t="shared" si="41"/>
        <v>2755123.0750000002</v>
      </c>
      <c r="O254" s="41">
        <f t="shared" si="41"/>
        <v>3016433.5149999997</v>
      </c>
      <c r="P254" s="41">
        <f t="shared" si="41"/>
        <v>2770511.5999999996</v>
      </c>
      <c r="Q254" s="41">
        <f t="shared" si="41"/>
        <v>2616817.8899999997</v>
      </c>
      <c r="R254" s="41">
        <f t="shared" si="41"/>
        <v>0</v>
      </c>
      <c r="S254" s="41">
        <f t="shared" si="41"/>
        <v>0</v>
      </c>
      <c r="T254" s="41">
        <f t="shared" si="41"/>
        <v>0</v>
      </c>
      <c r="U254" s="41">
        <f t="shared" si="41"/>
        <v>0</v>
      </c>
      <c r="V254" s="41">
        <f t="shared" si="41"/>
        <v>0</v>
      </c>
      <c r="W254" s="41">
        <f t="shared" si="41"/>
        <v>2577182.4</v>
      </c>
      <c r="X254" s="41">
        <f t="shared" si="41"/>
        <v>2545600.65</v>
      </c>
      <c r="Y254" s="41">
        <f t="shared" si="41"/>
        <v>5826576.9305263162</v>
      </c>
      <c r="Z254" s="41">
        <f t="shared" si="41"/>
        <v>5816636.375</v>
      </c>
      <c r="AA254" s="41">
        <f t="shared" si="41"/>
        <v>5854584.8755263165</v>
      </c>
      <c r="AB254" s="41">
        <f t="shared" si="41"/>
        <v>5896821.9957894739</v>
      </c>
      <c r="AC254" s="41">
        <f t="shared" si="41"/>
        <v>5926170.5989473686</v>
      </c>
      <c r="AD254" s="41">
        <f t="shared" si="41"/>
        <v>5954082.8915789481</v>
      </c>
      <c r="AE254" s="41">
        <f t="shared" si="41"/>
        <v>5991783.4488157891</v>
      </c>
      <c r="AF254" s="41">
        <f t="shared" si="41"/>
        <v>6035049.5778947361</v>
      </c>
      <c r="AG254" s="41">
        <f t="shared" si="41"/>
        <v>6086680.1910526324</v>
      </c>
      <c r="AH254" s="41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0" customFormat="1" ht="15.75" thickBot="1" x14ac:dyDescent="0.3">
      <c r="B256" s="39" t="s">
        <v>16</v>
      </c>
      <c r="D256" s="40">
        <f t="shared" ref="D256:AH256" si="43">$C225*D215</f>
        <v>6158222.6619736841</v>
      </c>
      <c r="E256" s="40">
        <f t="shared" si="43"/>
        <v>12453410.210276315</v>
      </c>
      <c r="F256" s="40">
        <f t="shared" si="43"/>
        <v>23916405.311815791</v>
      </c>
      <c r="G256" s="40">
        <f t="shared" si="43"/>
        <v>25689493.923934214</v>
      </c>
      <c r="H256" s="40">
        <f t="shared" si="43"/>
        <v>37745305.151342094</v>
      </c>
      <c r="I256" s="40">
        <f t="shared" si="43"/>
        <v>48831078.884934209</v>
      </c>
      <c r="J256" s="40">
        <f t="shared" si="43"/>
        <v>54085300.185342111</v>
      </c>
      <c r="K256" s="40">
        <f t="shared" si="43"/>
        <v>67496577.863144726</v>
      </c>
      <c r="L256" s="40">
        <f t="shared" si="43"/>
        <v>75088805.02243422</v>
      </c>
      <c r="M256" s="40">
        <f t="shared" si="43"/>
        <v>134065428.34748685</v>
      </c>
      <c r="N256" s="40">
        <f t="shared" si="43"/>
        <v>136106626.44473246</v>
      </c>
      <c r="O256" s="40">
        <f t="shared" si="43"/>
        <v>142829656.00082603</v>
      </c>
      <c r="P256" s="40">
        <f t="shared" si="43"/>
        <v>157087421.03855264</v>
      </c>
      <c r="Q256" s="40">
        <f t="shared" si="43"/>
        <v>166351402.07810089</v>
      </c>
      <c r="R256" s="40">
        <f t="shared" si="43"/>
        <v>193042386.40974414</v>
      </c>
      <c r="S256" s="40">
        <f t="shared" si="43"/>
        <v>257546661.08006582</v>
      </c>
      <c r="T256" s="40">
        <f t="shared" si="43"/>
        <v>287403962.41421145</v>
      </c>
      <c r="U256" s="40">
        <f t="shared" si="43"/>
        <v>293433303.82753831</v>
      </c>
      <c r="V256" s="40">
        <f t="shared" si="43"/>
        <v>302982825.69309908</v>
      </c>
      <c r="W256" s="40">
        <f t="shared" si="43"/>
        <v>308177821.74668276</v>
      </c>
      <c r="X256" s="40">
        <f t="shared" si="43"/>
        <v>295918253.04801607</v>
      </c>
      <c r="Y256" s="40">
        <f>$C225*Y215</f>
        <v>278060214.63434213</v>
      </c>
      <c r="Z256" s="40">
        <f t="shared" si="43"/>
        <v>303801740.35737705</v>
      </c>
      <c r="AA256" s="40">
        <f t="shared" si="43"/>
        <v>308844966.00231403</v>
      </c>
      <c r="AB256" s="40">
        <f t="shared" si="43"/>
        <v>294634212.94739461</v>
      </c>
      <c r="AC256" s="40">
        <f t="shared" si="43"/>
        <v>294942374.71382898</v>
      </c>
      <c r="AD256" s="40">
        <f t="shared" si="43"/>
        <v>290180150.20963156</v>
      </c>
      <c r="AE256" s="40">
        <f t="shared" si="43"/>
        <v>293525541.60252637</v>
      </c>
      <c r="AF256" s="40">
        <f t="shared" si="43"/>
        <v>290818601.21918428</v>
      </c>
      <c r="AG256" s="40">
        <f t="shared" si="43"/>
        <v>294389398.16839474</v>
      </c>
      <c r="AH256" s="40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3" customFormat="1" ht="15.75" thickBot="1" x14ac:dyDescent="0.3">
      <c r="B262" s="42" t="s">
        <v>18</v>
      </c>
    </row>
    <row r="263" spans="2:34" ht="15.75" thickBot="1" x14ac:dyDescent="0.3">
      <c r="B263" s="44"/>
    </row>
    <row r="264" spans="2:34" s="40" customFormat="1" ht="15.75" thickBot="1" x14ac:dyDescent="0.3">
      <c r="B264" s="39" t="s">
        <v>25</v>
      </c>
      <c r="D264" s="40">
        <f t="shared" ref="D264:AH264" si="49">$C225*D217</f>
        <v>0</v>
      </c>
      <c r="E264" s="40">
        <f t="shared" si="49"/>
        <v>0</v>
      </c>
      <c r="F264" s="40">
        <f t="shared" si="49"/>
        <v>0</v>
      </c>
      <c r="G264" s="40">
        <f t="shared" si="49"/>
        <v>0</v>
      </c>
      <c r="H264" s="40">
        <f t="shared" si="49"/>
        <v>0</v>
      </c>
      <c r="I264" s="40">
        <f t="shared" si="49"/>
        <v>0</v>
      </c>
      <c r="J264" s="40">
        <f t="shared" si="49"/>
        <v>592425.67999999993</v>
      </c>
      <c r="K264" s="40">
        <f t="shared" si="49"/>
        <v>629461.44799999997</v>
      </c>
      <c r="L264" s="40">
        <f t="shared" si="49"/>
        <v>1720459.4825000004</v>
      </c>
      <c r="M264" s="40">
        <f t="shared" si="49"/>
        <v>1982664.8297499998</v>
      </c>
      <c r="N264" s="40">
        <f t="shared" si="49"/>
        <v>1755958.9850000003</v>
      </c>
      <c r="O264" s="40">
        <f t="shared" si="49"/>
        <v>1575423.4924999999</v>
      </c>
      <c r="P264" s="40">
        <f t="shared" si="49"/>
        <v>1312526.996</v>
      </c>
      <c r="Q264" s="40">
        <f t="shared" si="49"/>
        <v>1156925.0373421051</v>
      </c>
      <c r="R264" s="40">
        <f t="shared" si="49"/>
        <v>921980.11191337719</v>
      </c>
      <c r="S264" s="40">
        <f t="shared" si="49"/>
        <v>15548199.954756754</v>
      </c>
      <c r="T264" s="40">
        <f t="shared" si="49"/>
        <v>50116308.227560356</v>
      </c>
      <c r="U264" s="40">
        <f t="shared" si="49"/>
        <v>56835411.427591875</v>
      </c>
      <c r="V264" s="40">
        <f t="shared" si="49"/>
        <v>71562172.852060661</v>
      </c>
      <c r="W264" s="40">
        <f t="shared" si="49"/>
        <v>90281596.793742657</v>
      </c>
      <c r="X264" s="40">
        <f t="shared" si="49"/>
        <v>87843336.109295309</v>
      </c>
      <c r="Y264" s="40">
        <f t="shared" si="49"/>
        <v>92156951.532235399</v>
      </c>
      <c r="Z264" s="40">
        <f t="shared" si="49"/>
        <v>123102063.86598659</v>
      </c>
      <c r="AA264" s="40">
        <f t="shared" si="49"/>
        <v>143900083.9556033</v>
      </c>
      <c r="AB264" s="40">
        <f t="shared" si="49"/>
        <v>143351345.04634282</v>
      </c>
      <c r="AC264" s="40">
        <f t="shared" si="49"/>
        <v>143100762.34842792</v>
      </c>
      <c r="AD264" s="40">
        <f t="shared" si="49"/>
        <v>141013145.87288186</v>
      </c>
      <c r="AE264" s="40">
        <f t="shared" si="49"/>
        <v>143591479.97921395</v>
      </c>
      <c r="AF264" s="40">
        <f t="shared" si="49"/>
        <v>141367873.41087139</v>
      </c>
      <c r="AG264" s="40">
        <f t="shared" si="49"/>
        <v>143888005.36557484</v>
      </c>
      <c r="AH264" s="40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0" customFormat="1" ht="15.75" thickBot="1" x14ac:dyDescent="0.3">
      <c r="B269" s="39" t="s">
        <v>23</v>
      </c>
      <c r="D269" s="40">
        <f t="shared" ref="D269:AD269" si="54">$C226*D218</f>
        <v>0</v>
      </c>
      <c r="E269" s="40">
        <f t="shared" si="54"/>
        <v>0</v>
      </c>
      <c r="F269" s="40">
        <f t="shared" si="54"/>
        <v>0</v>
      </c>
      <c r="G269" s="40">
        <f t="shared" si="54"/>
        <v>0</v>
      </c>
      <c r="H269" s="40">
        <f t="shared" si="54"/>
        <v>0</v>
      </c>
      <c r="I269" s="40">
        <f t="shared" si="54"/>
        <v>0</v>
      </c>
      <c r="J269" s="40">
        <f t="shared" si="54"/>
        <v>0</v>
      </c>
      <c r="K269" s="40">
        <f t="shared" si="54"/>
        <v>0</v>
      </c>
      <c r="L269" s="40">
        <f t="shared" si="54"/>
        <v>0</v>
      </c>
      <c r="M269" s="40">
        <f t="shared" si="54"/>
        <v>0</v>
      </c>
      <c r="N269" s="40">
        <f t="shared" si="54"/>
        <v>0</v>
      </c>
      <c r="O269" s="40">
        <f t="shared" si="54"/>
        <v>0</v>
      </c>
      <c r="P269" s="40">
        <f t="shared" si="54"/>
        <v>0</v>
      </c>
      <c r="Q269" s="40">
        <f t="shared" si="54"/>
        <v>0</v>
      </c>
      <c r="R269" s="40">
        <f t="shared" si="54"/>
        <v>0</v>
      </c>
      <c r="S269" s="40">
        <f t="shared" si="54"/>
        <v>0</v>
      </c>
      <c r="T269" s="40">
        <f t="shared" si="54"/>
        <v>288789165.2713502</v>
      </c>
      <c r="U269" s="40">
        <f t="shared" si="54"/>
        <v>413172887.01000875</v>
      </c>
      <c r="V269" s="40">
        <f t="shared" si="54"/>
        <v>410003657.12216377</v>
      </c>
      <c r="W269" s="40">
        <f t="shared" si="54"/>
        <v>417436366.80762458</v>
      </c>
      <c r="X269" s="40">
        <f t="shared" si="54"/>
        <v>401241154.03786778</v>
      </c>
      <c r="Y269" s="40">
        <f>$C226*Y218</f>
        <v>394562665.8401103</v>
      </c>
      <c r="Z269" s="40">
        <f t="shared" si="54"/>
        <v>423244183.59993792</v>
      </c>
      <c r="AA269" s="40">
        <f t="shared" si="54"/>
        <v>430032156.14306992</v>
      </c>
      <c r="AB269" s="40">
        <f t="shared" si="54"/>
        <v>414082770.96558297</v>
      </c>
      <c r="AC269" s="40">
        <f t="shared" si="54"/>
        <v>415234701.58905321</v>
      </c>
      <c r="AD269" s="40">
        <f t="shared" si="54"/>
        <v>399623580.7166121</v>
      </c>
      <c r="AE269" s="40">
        <f>AVERAGE(AC269:AD269)</f>
        <v>407429141.15283263</v>
      </c>
      <c r="AF269" s="40">
        <f t="shared" ref="AF269:AH269" si="55">AVERAGE(AD269:AE269)</f>
        <v>403526360.93472236</v>
      </c>
      <c r="AG269" s="40">
        <f t="shared" si="55"/>
        <v>405477751.04377747</v>
      </c>
      <c r="AH269" s="40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0" customFormat="1" ht="15.75" thickBot="1" x14ac:dyDescent="0.3">
      <c r="B278" s="39" t="s">
        <v>132</v>
      </c>
      <c r="D278" s="40">
        <f>$C226*D219</f>
        <v>0</v>
      </c>
      <c r="E278" s="40">
        <f t="shared" ref="E278:AH278" si="64">$C226*E219</f>
        <v>0</v>
      </c>
      <c r="F278" s="40">
        <f t="shared" si="64"/>
        <v>0</v>
      </c>
      <c r="G278" s="40">
        <f t="shared" si="64"/>
        <v>0</v>
      </c>
      <c r="H278" s="40">
        <f t="shared" si="64"/>
        <v>0</v>
      </c>
      <c r="I278" s="40">
        <f t="shared" si="64"/>
        <v>0</v>
      </c>
      <c r="J278" s="40">
        <f t="shared" si="64"/>
        <v>0</v>
      </c>
      <c r="K278" s="40">
        <f t="shared" si="64"/>
        <v>0</v>
      </c>
      <c r="L278" s="40">
        <f t="shared" si="64"/>
        <v>8492.9684210526339</v>
      </c>
      <c r="M278" s="40">
        <f t="shared" si="64"/>
        <v>13529.605894736844</v>
      </c>
      <c r="N278" s="40">
        <f t="shared" si="64"/>
        <v>6307.051973310884</v>
      </c>
      <c r="O278" s="40">
        <f t="shared" si="64"/>
        <v>13785.83154327792</v>
      </c>
      <c r="P278" s="40">
        <f t="shared" si="64"/>
        <v>54753.650945065521</v>
      </c>
      <c r="Q278" s="40">
        <f t="shared" si="64"/>
        <v>163206.84247285913</v>
      </c>
      <c r="R278" s="40">
        <f t="shared" si="64"/>
        <v>314932.11507194396</v>
      </c>
      <c r="S278" s="40">
        <f t="shared" si="64"/>
        <v>463188.16864553868</v>
      </c>
      <c r="T278" s="40">
        <f t="shared" si="64"/>
        <v>1391091.5439465046</v>
      </c>
      <c r="U278" s="40">
        <f t="shared" si="64"/>
        <v>2239020.75506764</v>
      </c>
      <c r="V278" s="40">
        <f t="shared" si="64"/>
        <v>6263745.028251281</v>
      </c>
      <c r="W278" s="40">
        <f t="shared" si="64"/>
        <v>9248364.4510664716</v>
      </c>
      <c r="X278" s="40">
        <f t="shared" si="64"/>
        <v>10810783.66698347</v>
      </c>
      <c r="Y278" s="40">
        <f t="shared" si="64"/>
        <v>17089388.749203499</v>
      </c>
      <c r="Z278" s="40">
        <f t="shared" si="64"/>
        <v>16901851.376106206</v>
      </c>
      <c r="AA278" s="40">
        <f t="shared" si="64"/>
        <v>24713978.951873932</v>
      </c>
      <c r="AB278" s="40">
        <f t="shared" si="64"/>
        <v>65564538.652931139</v>
      </c>
      <c r="AC278" s="40">
        <f t="shared" si="64"/>
        <v>83403544.681806788</v>
      </c>
      <c r="AD278" s="40">
        <f t="shared" si="64"/>
        <v>58233396.360563003</v>
      </c>
      <c r="AE278" s="40">
        <f t="shared" si="64"/>
        <v>38013277.207676649</v>
      </c>
      <c r="AF278" s="40">
        <f t="shared" si="64"/>
        <v>38131590.777497351</v>
      </c>
      <c r="AG278" s="40">
        <f t="shared" si="64"/>
        <v>30357420.180054598</v>
      </c>
      <c r="AH278" s="40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0" customFormat="1" ht="15.75" thickBot="1" x14ac:dyDescent="0.3">
      <c r="B283" s="39" t="s">
        <v>134</v>
      </c>
      <c r="D283" s="40">
        <f t="shared" ref="D283:AH283" si="69">$C225*D220</f>
        <v>22977633.269298248</v>
      </c>
      <c r="E283" s="40">
        <f t="shared" si="69"/>
        <v>25790697.107324563</v>
      </c>
      <c r="F283" s="40">
        <f t="shared" si="69"/>
        <v>74528478.938209474</v>
      </c>
      <c r="G283" s="40">
        <f t="shared" si="69"/>
        <v>82305659.564322919</v>
      </c>
      <c r="H283" s="40">
        <f t="shared" si="69"/>
        <v>90372067.772089839</v>
      </c>
      <c r="I283" s="40">
        <f t="shared" si="69"/>
        <v>94290261.488411486</v>
      </c>
      <c r="J283" s="40">
        <f t="shared" si="69"/>
        <v>92281643.198060125</v>
      </c>
      <c r="K283" s="40">
        <f t="shared" si="69"/>
        <v>94477398.424237266</v>
      </c>
      <c r="L283" s="40">
        <f t="shared" si="69"/>
        <v>113108184.34837635</v>
      </c>
      <c r="M283" s="40">
        <f t="shared" si="69"/>
        <v>126625327.07085901</v>
      </c>
      <c r="N283" s="40">
        <f t="shared" si="69"/>
        <v>121960080.33810781</v>
      </c>
      <c r="O283" s="40">
        <f t="shared" si="69"/>
        <v>172975627.97461841</v>
      </c>
      <c r="P283" s="40">
        <f t="shared" si="69"/>
        <v>135970414.82088032</v>
      </c>
      <c r="Q283" s="40">
        <f t="shared" si="69"/>
        <v>135432243.90849674</v>
      </c>
      <c r="R283" s="40">
        <f t="shared" si="69"/>
        <v>131673495.1797737</v>
      </c>
      <c r="S283" s="40">
        <f t="shared" si="69"/>
        <v>79698596.504038274</v>
      </c>
      <c r="T283" s="40">
        <f t="shared" si="69"/>
        <v>54602863.874079816</v>
      </c>
      <c r="U283" s="40">
        <f t="shared" si="69"/>
        <v>57270441.237388603</v>
      </c>
      <c r="V283" s="40">
        <f t="shared" si="69"/>
        <v>62588800.720532462</v>
      </c>
      <c r="W283" s="40">
        <f t="shared" si="69"/>
        <v>65887652.718449421</v>
      </c>
      <c r="X283" s="40">
        <f t="shared" si="69"/>
        <v>66301088.320557907</v>
      </c>
      <c r="Y283" s="40">
        <f t="shared" si="69"/>
        <v>65452807.358494878</v>
      </c>
      <c r="Z283" s="40">
        <f t="shared" si="69"/>
        <v>73507231.928842098</v>
      </c>
      <c r="AA283" s="40">
        <f t="shared" si="69"/>
        <v>78044591.712610826</v>
      </c>
      <c r="AB283" s="40">
        <f t="shared" si="69"/>
        <v>73530740.276428953</v>
      </c>
      <c r="AC283" s="40">
        <f t="shared" si="69"/>
        <v>72650734.809197366</v>
      </c>
      <c r="AD283" s="40">
        <f t="shared" si="69"/>
        <v>70781675.329460517</v>
      </c>
      <c r="AE283" s="40">
        <f t="shared" si="69"/>
        <v>71699191.767065793</v>
      </c>
      <c r="AF283" s="40">
        <f t="shared" si="69"/>
        <v>70201955.95860526</v>
      </c>
      <c r="AG283" s="40">
        <f t="shared" si="69"/>
        <v>71047043.627855256</v>
      </c>
      <c r="AH283" s="40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0" customFormat="1" ht="15.75" thickBot="1" x14ac:dyDescent="0.3">
      <c r="B286" s="39" t="s">
        <v>37</v>
      </c>
      <c r="D286" s="41">
        <f t="shared" ref="D286:AD286" si="72">D221</f>
        <v>804259.78947368416</v>
      </c>
      <c r="E286" s="41">
        <f t="shared" si="72"/>
        <v>814409.56736842101</v>
      </c>
      <c r="F286" s="41">
        <f t="shared" si="72"/>
        <v>791281.72789473692</v>
      </c>
      <c r="G286" s="41">
        <f t="shared" si="72"/>
        <v>745679.86605263175</v>
      </c>
      <c r="H286" s="41">
        <f t="shared" si="72"/>
        <v>797608.27776315797</v>
      </c>
      <c r="I286" s="41">
        <f t="shared" si="72"/>
        <v>793505.3601315791</v>
      </c>
      <c r="J286" s="41">
        <f t="shared" si="72"/>
        <v>807322.46184210526</v>
      </c>
      <c r="K286" s="41">
        <f t="shared" si="72"/>
        <v>15497985.037631581</v>
      </c>
      <c r="L286" s="41">
        <f t="shared" si="72"/>
        <v>23015253.727710523</v>
      </c>
      <c r="M286" s="41">
        <f t="shared" si="72"/>
        <v>29554012.882236842</v>
      </c>
      <c r="N286" s="41">
        <f t="shared" si="72"/>
        <v>28143333.279144734</v>
      </c>
      <c r="O286" s="41">
        <f t="shared" si="72"/>
        <v>27963363.659868423</v>
      </c>
      <c r="P286" s="41">
        <f t="shared" si="72"/>
        <v>287270.77894736844</v>
      </c>
      <c r="Q286" s="41">
        <f t="shared" si="72"/>
        <v>295912.22842105263</v>
      </c>
      <c r="R286" s="41">
        <f t="shared" si="72"/>
        <v>313516.50986842107</v>
      </c>
      <c r="S286" s="41">
        <f t="shared" si="72"/>
        <v>300997.51578947366</v>
      </c>
      <c r="T286" s="41">
        <f t="shared" si="72"/>
        <v>430151.70526315796</v>
      </c>
      <c r="U286" s="41">
        <f t="shared" si="72"/>
        <v>1240330.3978947368</v>
      </c>
      <c r="V286" s="41">
        <f t="shared" si="72"/>
        <v>1797781.6965789474</v>
      </c>
      <c r="W286" s="41">
        <f t="shared" si="72"/>
        <v>1041960.3836842106</v>
      </c>
      <c r="X286" s="41">
        <f t="shared" si="72"/>
        <v>903155.61315789458</v>
      </c>
      <c r="Y286" s="41">
        <f t="shared" si="72"/>
        <v>927637.83394736843</v>
      </c>
      <c r="Z286" s="41">
        <f t="shared" si="72"/>
        <v>777066.97697368416</v>
      </c>
      <c r="AA286" s="41">
        <f t="shared" si="72"/>
        <v>630153.08855263167</v>
      </c>
      <c r="AB286" s="41">
        <f t="shared" si="72"/>
        <v>3543.6963157894734</v>
      </c>
      <c r="AC286" s="41">
        <f t="shared" si="72"/>
        <v>3783.6457894736841</v>
      </c>
      <c r="AD286" s="41">
        <f t="shared" si="72"/>
        <v>4031.9913157894744</v>
      </c>
      <c r="AE286" s="41">
        <f>AVERAGE(AC286:AD286)</f>
        <v>3907.8185526315792</v>
      </c>
      <c r="AF286" s="41">
        <f t="shared" ref="AF286:AH286" si="73">AVERAGE(AD286:AE286)</f>
        <v>3969.9049342105268</v>
      </c>
      <c r="AG286" s="41">
        <f t="shared" si="73"/>
        <v>3938.8617434210528</v>
      </c>
      <c r="AH286" s="41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6" customFormat="1" ht="15.75" thickBot="1" x14ac:dyDescent="0.3">
      <c r="B290" s="45" t="s">
        <v>4</v>
      </c>
      <c r="D290" s="47">
        <f t="shared" ref="D290:AH290" si="77">D222*$C$226</f>
        <v>0</v>
      </c>
      <c r="E290" s="47">
        <f t="shared" si="77"/>
        <v>0</v>
      </c>
      <c r="F290" s="47">
        <f t="shared" si="77"/>
        <v>0</v>
      </c>
      <c r="G290" s="47">
        <f t="shared" si="77"/>
        <v>0</v>
      </c>
      <c r="H290" s="47">
        <f t="shared" si="77"/>
        <v>0</v>
      </c>
      <c r="I290" s="47">
        <f t="shared" si="77"/>
        <v>0</v>
      </c>
      <c r="J290" s="47">
        <f t="shared" si="77"/>
        <v>2726906.2863157899</v>
      </c>
      <c r="K290" s="47">
        <f t="shared" si="77"/>
        <v>6982736.0920578958</v>
      </c>
      <c r="L290" s="47">
        <f t="shared" si="77"/>
        <v>1391270.7722605264</v>
      </c>
      <c r="M290" s="47">
        <f t="shared" si="77"/>
        <v>3906719.7085421062</v>
      </c>
      <c r="N290" s="47">
        <f t="shared" si="77"/>
        <v>3158218.1567605264</v>
      </c>
      <c r="O290" s="47">
        <f t="shared" si="77"/>
        <v>5340618.692857895</v>
      </c>
      <c r="P290" s="47">
        <f t="shared" si="77"/>
        <v>10594160.103236843</v>
      </c>
      <c r="Q290" s="47">
        <f t="shared" si="77"/>
        <v>19111559.236497637</v>
      </c>
      <c r="R290" s="47">
        <f t="shared" si="77"/>
        <v>31627006.773100667</v>
      </c>
      <c r="S290" s="47">
        <f t="shared" si="77"/>
        <v>40047992.528240137</v>
      </c>
      <c r="T290" s="47">
        <f t="shared" si="77"/>
        <v>49807731.391002625</v>
      </c>
      <c r="U290" s="47">
        <f t="shared" si="77"/>
        <v>59998083.181180671</v>
      </c>
      <c r="V290" s="47">
        <f t="shared" si="77"/>
        <v>83783618.322586983</v>
      </c>
      <c r="W290" s="47">
        <f t="shared" si="77"/>
        <v>113873099.70590834</v>
      </c>
      <c r="X290" s="47">
        <f t="shared" si="77"/>
        <v>128035181.23244892</v>
      </c>
      <c r="Y290" s="47">
        <f t="shared" si="77"/>
        <v>128231103.03100766</v>
      </c>
      <c r="Z290" s="47">
        <f t="shared" si="77"/>
        <v>149779874.46255931</v>
      </c>
      <c r="AA290" s="47">
        <f t="shared" si="77"/>
        <v>156376255.86047167</v>
      </c>
      <c r="AB290" s="47">
        <f t="shared" si="77"/>
        <v>167695532.9248164</v>
      </c>
      <c r="AC290" s="47">
        <f t="shared" si="77"/>
        <v>177901458.8585726</v>
      </c>
      <c r="AD290" s="47">
        <f t="shared" si="77"/>
        <v>185087093.96972051</v>
      </c>
      <c r="AE290" s="47">
        <f t="shared" si="77"/>
        <v>188597559.99176079</v>
      </c>
      <c r="AF290" s="47">
        <f t="shared" si="77"/>
        <v>186619995.0985921</v>
      </c>
      <c r="AG290" s="47">
        <f t="shared" si="77"/>
        <v>188645659.03682899</v>
      </c>
      <c r="AH290" s="47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6" customFormat="1" ht="15.75" thickBot="1" x14ac:dyDescent="0.3">
      <c r="B294" s="45" t="s">
        <v>162</v>
      </c>
      <c r="D294" s="47">
        <f t="shared" ref="D294:AH294" si="81">D223*$C$225</f>
        <v>0</v>
      </c>
      <c r="E294" s="47">
        <f t="shared" si="81"/>
        <v>0</v>
      </c>
      <c r="F294" s="47">
        <f t="shared" si="81"/>
        <v>0</v>
      </c>
      <c r="G294" s="47">
        <f t="shared" si="81"/>
        <v>0</v>
      </c>
      <c r="H294" s="47">
        <f t="shared" si="81"/>
        <v>0</v>
      </c>
      <c r="I294" s="47">
        <f t="shared" si="81"/>
        <v>0</v>
      </c>
      <c r="J294" s="47">
        <f t="shared" si="81"/>
        <v>0</v>
      </c>
      <c r="K294" s="47">
        <f t="shared" si="81"/>
        <v>0</v>
      </c>
      <c r="L294" s="47">
        <f t="shared" si="81"/>
        <v>6930.694736842107</v>
      </c>
      <c r="M294" s="47">
        <f t="shared" si="81"/>
        <v>1888576.667915222</v>
      </c>
      <c r="N294" s="47">
        <f t="shared" si="81"/>
        <v>1737490.0510733631</v>
      </c>
      <c r="O294" s="47">
        <f t="shared" si="81"/>
        <v>10260276.193137994</v>
      </c>
      <c r="P294" s="47">
        <f t="shared" si="81"/>
        <v>25462369.960992083</v>
      </c>
      <c r="Q294" s="47">
        <f t="shared" si="81"/>
        <v>45287016.999522917</v>
      </c>
      <c r="R294" s="47">
        <f t="shared" si="81"/>
        <v>72844350.00487785</v>
      </c>
      <c r="S294" s="47">
        <f t="shared" si="81"/>
        <v>98732022.3340431</v>
      </c>
      <c r="T294" s="47">
        <f t="shared" si="81"/>
        <v>118364379.48980543</v>
      </c>
      <c r="U294" s="47">
        <f t="shared" si="81"/>
        <v>140059942.83472636</v>
      </c>
      <c r="V294" s="47">
        <f t="shared" si="81"/>
        <v>150181753.04222625</v>
      </c>
      <c r="W294" s="47">
        <f t="shared" si="81"/>
        <v>160118755.327104</v>
      </c>
      <c r="X294" s="47">
        <f t="shared" si="81"/>
        <v>155993015.96107277</v>
      </c>
      <c r="Y294" s="47">
        <f t="shared" si="81"/>
        <v>176880256.33290988</v>
      </c>
      <c r="Z294" s="47">
        <f t="shared" si="81"/>
        <v>205695706.20549178</v>
      </c>
      <c r="AA294" s="47">
        <f t="shared" si="81"/>
        <v>230082012.48636305</v>
      </c>
      <c r="AB294" s="47">
        <f t="shared" si="81"/>
        <v>226532296.39728108</v>
      </c>
      <c r="AC294" s="47">
        <f t="shared" si="81"/>
        <v>243098535.28306666</v>
      </c>
      <c r="AD294" s="47">
        <f t="shared" si="81"/>
        <v>241017239.88728809</v>
      </c>
      <c r="AE294" s="47">
        <f t="shared" si="81"/>
        <v>244498228.04704562</v>
      </c>
      <c r="AF294" s="47">
        <f t="shared" si="81"/>
        <v>239069128.65535381</v>
      </c>
      <c r="AG294" s="47">
        <f t="shared" si="81"/>
        <v>240641027.85264659</v>
      </c>
      <c r="AH294" s="47">
        <f t="shared" si="81"/>
        <v>242257676.25056997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166469649.16123042</v>
      </c>
      <c r="AD295" s="12">
        <f t="shared" si="82"/>
        <v>165044414.27064291</v>
      </c>
      <c r="AE295" s="12">
        <f t="shared" si="82"/>
        <v>167428134.42352036</v>
      </c>
      <c r="AF295" s="12">
        <f t="shared" si="82"/>
        <v>163710381.57920966</v>
      </c>
      <c r="AG295" s="12">
        <f t="shared" si="82"/>
        <v>164786790.81213841</v>
      </c>
      <c r="AH295" s="12">
        <f t="shared" si="82"/>
        <v>165893843.51941204</v>
      </c>
    </row>
    <row r="296" spans="2:34" x14ac:dyDescent="0.25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7927126.1505347826</v>
      </c>
      <c r="AD296" s="12">
        <f t="shared" si="83"/>
        <v>7859257.8224115679</v>
      </c>
      <c r="AE296" s="12">
        <f t="shared" si="83"/>
        <v>7972768.3058819221</v>
      </c>
      <c r="AF296" s="12">
        <f t="shared" si="83"/>
        <v>7795732.4561528414</v>
      </c>
      <c r="AG296" s="12">
        <f t="shared" si="83"/>
        <v>7846990.0386732584</v>
      </c>
      <c r="AH296" s="12">
        <f t="shared" si="83"/>
        <v>7899706.8342577163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68701759.971301436</v>
      </c>
      <c r="AD297" s="12">
        <f t="shared" si="84"/>
        <v>68113567.79423359</v>
      </c>
      <c r="AE297" s="12">
        <f t="shared" si="84"/>
        <v>69097325.317643315</v>
      </c>
      <c r="AF297" s="12">
        <f t="shared" si="84"/>
        <v>67563014.619991288</v>
      </c>
      <c r="AG297" s="12">
        <f t="shared" si="84"/>
        <v>68007247.001834899</v>
      </c>
      <c r="AH297" s="12">
        <f t="shared" si="84"/>
        <v>68464125.896900207</v>
      </c>
    </row>
    <row r="302" spans="2:34" x14ac:dyDescent="0.25">
      <c r="AD302" s="44"/>
      <c r="AE302" s="44"/>
      <c r="AF302" s="44"/>
      <c r="AG302" s="44"/>
      <c r="AH302" s="44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28:B30"/>
    <mergeCell ref="B2:B6"/>
    <mergeCell ref="B7:B10"/>
    <mergeCell ref="B11:B14"/>
    <mergeCell ref="B17:B21"/>
    <mergeCell ref="B22:B26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BE0A-0635-4203-802C-82AE212B2A62}">
  <dimension ref="A1:Y109"/>
  <sheetViews>
    <sheetView topLeftCell="A61" workbookViewId="0">
      <selection activeCell="A56" sqref="A56"/>
    </sheetView>
  </sheetViews>
  <sheetFormatPr defaultRowHeight="15" x14ac:dyDescent="0.25"/>
  <cols>
    <col min="1" max="1" width="9" style="70" bestFit="1" customWidth="1"/>
    <col min="2" max="9" width="14.7109375" style="70" bestFit="1" customWidth="1"/>
    <col min="10" max="10" width="76.42578125" style="70" customWidth="1"/>
    <col min="11" max="25" width="14.7109375" style="70" bestFit="1" customWidth="1"/>
  </cols>
  <sheetData>
    <row r="1" spans="1:25" x14ac:dyDescent="0.25">
      <c r="A1"/>
      <c r="B1" s="70">
        <v>2000</v>
      </c>
      <c r="C1" s="70">
        <v>2001</v>
      </c>
      <c r="D1" s="70">
        <v>2002</v>
      </c>
      <c r="E1" s="70">
        <v>2003</v>
      </c>
      <c r="F1" s="70">
        <v>2004</v>
      </c>
      <c r="G1" s="70">
        <v>2005</v>
      </c>
      <c r="H1" s="70">
        <v>2006</v>
      </c>
      <c r="I1" s="70">
        <v>2007</v>
      </c>
      <c r="J1" s="70">
        <v>2008</v>
      </c>
      <c r="K1" s="70">
        <v>2009</v>
      </c>
      <c r="L1" s="70">
        <v>2010</v>
      </c>
      <c r="M1" s="70">
        <v>2011</v>
      </c>
      <c r="N1" s="70">
        <v>2012</v>
      </c>
      <c r="O1" s="70">
        <v>2013</v>
      </c>
      <c r="P1" s="70">
        <v>2014</v>
      </c>
      <c r="Q1" s="70">
        <v>2015</v>
      </c>
      <c r="R1" s="70">
        <v>2016</v>
      </c>
      <c r="S1" s="70">
        <v>2017</v>
      </c>
      <c r="T1" s="70">
        <v>2018</v>
      </c>
      <c r="U1" s="70">
        <v>2019</v>
      </c>
      <c r="V1" s="70">
        <v>2020</v>
      </c>
      <c r="W1" s="70">
        <v>2021</v>
      </c>
      <c r="X1" s="70">
        <v>2022</v>
      </c>
      <c r="Y1" s="70">
        <v>2023</v>
      </c>
    </row>
    <row r="2" spans="1:25" x14ac:dyDescent="0.25">
      <c r="A2" s="7" t="s">
        <v>139</v>
      </c>
      <c r="B2" s="71">
        <v>78580259.047222212</v>
      </c>
      <c r="C2" s="71">
        <v>11428.56</v>
      </c>
      <c r="D2" s="71">
        <v>10932.726315789474</v>
      </c>
      <c r="E2" s="71">
        <v>10567.572631578949</v>
      </c>
      <c r="F2" s="71">
        <v>10631.53705263158</v>
      </c>
      <c r="G2" s="71">
        <v>10866.430184210529</v>
      </c>
      <c r="H2" s="71">
        <v>11173.116684210527</v>
      </c>
      <c r="I2" s="71">
        <v>11270.145</v>
      </c>
      <c r="J2" s="71">
        <v>11244.154263157896</v>
      </c>
      <c r="K2" s="71">
        <v>0</v>
      </c>
      <c r="L2" s="71">
        <v>17696390.555555556</v>
      </c>
      <c r="M2" s="71">
        <v>17721467.777777776</v>
      </c>
      <c r="N2" s="71">
        <v>8703411.1111111119</v>
      </c>
      <c r="O2" s="71">
        <v>26868697.555555556</v>
      </c>
      <c r="P2" s="71">
        <v>28597586.077777781</v>
      </c>
      <c r="Q2" s="71">
        <v>31745852.630994152</v>
      </c>
      <c r="R2" s="71">
        <v>19409700.474853802</v>
      </c>
      <c r="S2" s="71">
        <v>36511823.612777777</v>
      </c>
      <c r="T2" s="71">
        <v>18347408.858788889</v>
      </c>
      <c r="U2" s="71">
        <v>14873766.081756432</v>
      </c>
      <c r="V2" s="71">
        <v>9862745.0719649121</v>
      </c>
      <c r="W2" s="71">
        <v>14777182.228013158</v>
      </c>
      <c r="X2" s="71">
        <v>37949221.241086259</v>
      </c>
      <c r="Y2" s="71">
        <v>17547795.842103511</v>
      </c>
    </row>
    <row r="3" spans="1:25" x14ac:dyDescent="0.25">
      <c r="A3" s="7" t="s">
        <v>82</v>
      </c>
      <c r="B3" s="71">
        <v>16708549.179678362</v>
      </c>
      <c r="C3" s="71">
        <v>16708884.350394737</v>
      </c>
      <c r="D3" s="71">
        <v>16621239.041359648</v>
      </c>
      <c r="E3" s="71">
        <v>16912298.703333337</v>
      </c>
      <c r="F3" s="71">
        <v>17990792.786473684</v>
      </c>
      <c r="G3" s="71">
        <v>32224595.057609651</v>
      </c>
      <c r="H3" s="71">
        <v>36010295.660687134</v>
      </c>
      <c r="I3" s="71">
        <v>35638478.889780708</v>
      </c>
      <c r="J3" s="71">
        <v>21093263.448026314</v>
      </c>
      <c r="K3" s="71">
        <v>22353124.59600877</v>
      </c>
      <c r="L3" s="71">
        <v>22384691.346491225</v>
      </c>
      <c r="M3" s="71">
        <v>21083590.427631583</v>
      </c>
      <c r="N3" s="71">
        <v>4248060.8244444449</v>
      </c>
      <c r="O3" s="71">
        <v>15084549.272055555</v>
      </c>
      <c r="P3" s="71">
        <v>24102254.030939683</v>
      </c>
      <c r="Q3" s="71">
        <v>101868384.09515873</v>
      </c>
      <c r="R3" s="71">
        <v>89505897.242817461</v>
      </c>
      <c r="S3" s="71">
        <v>166340120.54050559</v>
      </c>
      <c r="T3" s="71">
        <v>410169950.20542622</v>
      </c>
      <c r="U3" s="71">
        <v>332425433.06345028</v>
      </c>
      <c r="V3" s="71">
        <v>194291046.87632623</v>
      </c>
      <c r="W3" s="71">
        <v>331279149.4189564</v>
      </c>
      <c r="X3" s="71">
        <v>227385022.03396031</v>
      </c>
      <c r="Y3" s="71">
        <v>278835990.6812675</v>
      </c>
    </row>
    <row r="4" spans="1:25" x14ac:dyDescent="0.25">
      <c r="A4" s="7" t="s">
        <v>7</v>
      </c>
      <c r="B4" s="71">
        <v>14895546.665213035</v>
      </c>
      <c r="C4" s="71">
        <v>15916936.7598325</v>
      </c>
      <c r="D4" s="71">
        <v>16440302.312529236</v>
      </c>
      <c r="E4" s="71">
        <v>17051794.304503344</v>
      </c>
      <c r="F4" s="71">
        <v>25753121.473489977</v>
      </c>
      <c r="G4" s="71">
        <v>26516485.200317882</v>
      </c>
      <c r="H4" s="71">
        <v>28053836.320973262</v>
      </c>
      <c r="I4" s="71">
        <v>27963867.296271931</v>
      </c>
      <c r="J4" s="71">
        <v>39454388.755779035</v>
      </c>
      <c r="K4" s="71">
        <v>41213108.991875514</v>
      </c>
      <c r="L4" s="71">
        <v>42926745.29106307</v>
      </c>
      <c r="M4" s="71">
        <v>42885186.713556819</v>
      </c>
      <c r="N4" s="71">
        <v>22148782.495467838</v>
      </c>
      <c r="O4" s="71">
        <v>22105642.148086883</v>
      </c>
      <c r="P4" s="71">
        <v>19837776.942030076</v>
      </c>
      <c r="Q4" s="71">
        <v>26434484.64704261</v>
      </c>
      <c r="R4" s="71">
        <v>20737738.80000627</v>
      </c>
      <c r="S4" s="71">
        <v>20303125.537451964</v>
      </c>
      <c r="T4" s="71">
        <v>23934204.520910822</v>
      </c>
      <c r="U4" s="71">
        <v>21792972.342667714</v>
      </c>
      <c r="V4" s="71">
        <v>18694959.626677111</v>
      </c>
      <c r="W4" s="71">
        <v>26052155.976207186</v>
      </c>
      <c r="X4" s="71">
        <v>26626398.679317039</v>
      </c>
      <c r="Y4" s="71">
        <v>25785425.000522137</v>
      </c>
    </row>
    <row r="5" spans="1:25" x14ac:dyDescent="0.25">
      <c r="A5" s="7" t="s">
        <v>86</v>
      </c>
      <c r="B5" s="71">
        <v>78159428.70084165</v>
      </c>
      <c r="C5" s="71">
        <v>79754932.221154869</v>
      </c>
      <c r="D5" s="71">
        <v>82572071.930308357</v>
      </c>
      <c r="E5" s="71">
        <v>85747371.100018784</v>
      </c>
      <c r="F5" s="71">
        <v>88823501.799946755</v>
      </c>
      <c r="G5" s="71">
        <v>90980825.641051829</v>
      </c>
      <c r="H5" s="71">
        <v>93434224.750214219</v>
      </c>
      <c r="I5" s="71">
        <v>98105257.648446709</v>
      </c>
      <c r="J5" s="71">
        <v>101078445.76415768</v>
      </c>
      <c r="K5" s="71">
        <v>104582797.03656946</v>
      </c>
      <c r="L5" s="71">
        <v>105776184.51721099</v>
      </c>
      <c r="M5" s="71">
        <v>135372840.88102099</v>
      </c>
      <c r="N5" s="71">
        <v>148582723.54941028</v>
      </c>
      <c r="O5" s="71">
        <v>164282756.196031</v>
      </c>
      <c r="P5" s="71">
        <v>173551045.36105618</v>
      </c>
      <c r="Q5" s="71">
        <v>177885694.95791954</v>
      </c>
      <c r="R5" s="71">
        <v>149831513.85508409</v>
      </c>
      <c r="S5" s="71">
        <v>186085427.29991889</v>
      </c>
      <c r="T5" s="71">
        <v>164768260.88476095</v>
      </c>
      <c r="U5" s="71">
        <v>42499759.782201052</v>
      </c>
      <c r="V5" s="71">
        <v>10518907.671401918</v>
      </c>
      <c r="W5" s="71">
        <v>7180030.7496517412</v>
      </c>
      <c r="X5" s="71">
        <v>6811039.7848258708</v>
      </c>
      <c r="Y5" s="71">
        <v>6823077.7507462688</v>
      </c>
    </row>
    <row r="6" spans="1:25" x14ac:dyDescent="0.25">
      <c r="A6" s="7" t="s">
        <v>84</v>
      </c>
      <c r="B6" s="71">
        <v>50764265.476614729</v>
      </c>
      <c r="C6" s="71">
        <v>50774337.539247289</v>
      </c>
      <c r="D6" s="71">
        <v>50335231.889878154</v>
      </c>
      <c r="E6" s="71">
        <v>52856121.30412057</v>
      </c>
      <c r="F6" s="71">
        <v>69969918.250373557</v>
      </c>
      <c r="G6" s="71">
        <v>68257614.967450723</v>
      </c>
      <c r="H6" s="71">
        <v>54723842.706776053</v>
      </c>
      <c r="I6" s="71">
        <v>53185019.472065121</v>
      </c>
      <c r="J6" s="71">
        <v>38358186.250233114</v>
      </c>
      <c r="K6" s="71">
        <v>36289140.125531644</v>
      </c>
      <c r="L6" s="71">
        <v>31847542.07414145</v>
      </c>
      <c r="M6" s="71">
        <v>29878049.329418853</v>
      </c>
      <c r="N6" s="71">
        <v>27224650.822669961</v>
      </c>
      <c r="O6" s="71">
        <v>28389437.100745611</v>
      </c>
      <c r="P6" s="71">
        <v>29041953.411824565</v>
      </c>
      <c r="Q6" s="71">
        <v>34928665.468587726</v>
      </c>
      <c r="R6" s="71">
        <v>74784905.956905723</v>
      </c>
      <c r="S6" s="71">
        <v>94070115.624735251</v>
      </c>
      <c r="T6" s="71">
        <v>129988736.12009519</v>
      </c>
      <c r="U6" s="71">
        <v>244473057.03895932</v>
      </c>
      <c r="V6" s="71">
        <v>268834027.91079444</v>
      </c>
      <c r="W6" s="71">
        <v>243482508.59073868</v>
      </c>
      <c r="X6" s="71">
        <v>265683552.45220169</v>
      </c>
      <c r="Y6" s="71">
        <v>267449255.31556958</v>
      </c>
    </row>
    <row r="7" spans="1:25" x14ac:dyDescent="0.25">
      <c r="A7" s="7" t="s">
        <v>73</v>
      </c>
      <c r="B7" s="71">
        <v>20923950.020323381</v>
      </c>
      <c r="C7" s="71">
        <v>20532693.853786986</v>
      </c>
      <c r="D7" s="71">
        <v>20111574.529954832</v>
      </c>
      <c r="E7" s="71">
        <v>19392670.084334902</v>
      </c>
      <c r="F7" s="71">
        <v>19054703.122363184</v>
      </c>
      <c r="G7" s="71">
        <v>18693917.72138387</v>
      </c>
      <c r="H7" s="71">
        <v>20305661.86554661</v>
      </c>
      <c r="I7" s="71">
        <v>19916221.87937418</v>
      </c>
      <c r="J7" s="71">
        <v>19937955.877736975</v>
      </c>
      <c r="K7" s="71">
        <v>19825403.520701751</v>
      </c>
      <c r="L7" s="71">
        <v>19155298.849561401</v>
      </c>
      <c r="M7" s="71">
        <v>19326300.843421053</v>
      </c>
      <c r="N7" s="71">
        <v>1956106.5441666669</v>
      </c>
      <c r="O7" s="71">
        <v>1868860.0933333333</v>
      </c>
      <c r="P7" s="71">
        <v>1900870.4433333334</v>
      </c>
      <c r="Q7" s="71">
        <v>1887280.7208333334</v>
      </c>
      <c r="R7" s="71">
        <v>1784486.5525000002</v>
      </c>
      <c r="S7" s="71">
        <v>2200512.6324999998</v>
      </c>
      <c r="T7" s="71">
        <v>2217689.2383333333</v>
      </c>
      <c r="U7" s="71">
        <v>2177787.5541666667</v>
      </c>
      <c r="V7" s="71">
        <v>5062812.0449999999</v>
      </c>
      <c r="W7" s="71">
        <v>6404901.9598684218</v>
      </c>
      <c r="X7" s="71">
        <v>6442339.4954824559</v>
      </c>
      <c r="Y7" s="71">
        <v>6541567.8275000006</v>
      </c>
    </row>
    <row r="8" spans="1:25" x14ac:dyDescent="0.25">
      <c r="A8" s="7" t="s">
        <v>74</v>
      </c>
      <c r="B8" s="71">
        <v>311598814.06162727</v>
      </c>
      <c r="C8" s="71">
        <v>314913212.59057081</v>
      </c>
      <c r="D8" s="71">
        <v>275098221.46512675</v>
      </c>
      <c r="E8" s="71">
        <v>262871459.77782801</v>
      </c>
      <c r="F8" s="71">
        <v>261128636.20449466</v>
      </c>
      <c r="G8" s="71">
        <v>257038004.93187308</v>
      </c>
      <c r="H8" s="71">
        <v>243336949.27765125</v>
      </c>
      <c r="I8" s="71">
        <v>227800791.45995286</v>
      </c>
      <c r="J8" s="71">
        <v>225945393.95778477</v>
      </c>
      <c r="K8" s="71">
        <v>232813533.26876855</v>
      </c>
      <c r="L8" s="71">
        <v>235328125.65923217</v>
      </c>
      <c r="M8" s="71">
        <v>232957520.37821281</v>
      </c>
      <c r="N8" s="71">
        <v>144417830.43723875</v>
      </c>
      <c r="O8" s="71">
        <v>142191816.79626864</v>
      </c>
      <c r="P8" s="71">
        <v>138986007.87026119</v>
      </c>
      <c r="Q8" s="71">
        <v>91307954.436380625</v>
      </c>
      <c r="R8" s="71">
        <v>64954166.940870769</v>
      </c>
      <c r="S8" s="71">
        <v>66630415.072983138</v>
      </c>
      <c r="T8" s="71">
        <v>66455709.460084438</v>
      </c>
      <c r="U8" s="71">
        <v>65876338.938094288</v>
      </c>
      <c r="V8" s="71">
        <v>61511976.258134328</v>
      </c>
      <c r="W8" s="71">
        <v>62054151.5187333</v>
      </c>
      <c r="X8" s="71">
        <v>65413986.955080487</v>
      </c>
      <c r="Y8" s="71">
        <v>65841841.856021188</v>
      </c>
    </row>
    <row r="9" spans="1:25" x14ac:dyDescent="0.25">
      <c r="A9" s="7" t="s">
        <v>77</v>
      </c>
      <c r="B9" s="71">
        <v>4569986.5263157897</v>
      </c>
      <c r="C9" s="71">
        <v>2613786.0340789473</v>
      </c>
      <c r="D9" s="71">
        <v>2314794.7413157895</v>
      </c>
      <c r="E9" s="71">
        <v>4993056.5542105269</v>
      </c>
      <c r="F9" s="71">
        <v>6731549.5777631579</v>
      </c>
      <c r="G9" s="71">
        <v>5829500.5882894741</v>
      </c>
      <c r="H9" s="71">
        <v>2388879.1685526315</v>
      </c>
      <c r="I9" s="71">
        <v>2682333.9976315787</v>
      </c>
      <c r="J9" s="71">
        <v>5503855.038947368</v>
      </c>
      <c r="K9" s="71">
        <v>6149962.5543421051</v>
      </c>
      <c r="L9" s="71">
        <v>2755123.0750000002</v>
      </c>
      <c r="M9" s="71">
        <v>3016433.5149999997</v>
      </c>
      <c r="N9" s="71">
        <v>2770511.5999999996</v>
      </c>
      <c r="O9" s="71">
        <v>2616817.8899999997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2577182.4</v>
      </c>
      <c r="V9" s="71">
        <v>2545600.65</v>
      </c>
      <c r="W9" s="71">
        <v>5826576.9305263162</v>
      </c>
      <c r="X9" s="71">
        <v>5816636.375</v>
      </c>
      <c r="Y9" s="71">
        <v>5854584.8755263165</v>
      </c>
    </row>
    <row r="10" spans="1:25" x14ac:dyDescent="0.25">
      <c r="A10" s="7" t="s">
        <v>1</v>
      </c>
      <c r="B10" s="71">
        <v>5598384.2381578945</v>
      </c>
      <c r="C10" s="71">
        <v>11321282.009342104</v>
      </c>
      <c r="D10" s="71">
        <v>21742186.647105262</v>
      </c>
      <c r="E10" s="71">
        <v>23354085.385394737</v>
      </c>
      <c r="F10" s="71">
        <v>34313913.773947358</v>
      </c>
      <c r="G10" s="71">
        <v>44391889.895394735</v>
      </c>
      <c r="H10" s="71">
        <v>49168454.713947371</v>
      </c>
      <c r="I10" s="71">
        <v>61360525.330131561</v>
      </c>
      <c r="J10" s="71">
        <v>68262550.020394742</v>
      </c>
      <c r="K10" s="71">
        <v>121877662.13407895</v>
      </c>
      <c r="L10" s="71">
        <v>123733296.76793858</v>
      </c>
      <c r="M10" s="71">
        <v>129845141.81893274</v>
      </c>
      <c r="N10" s="71">
        <v>142806746.3986842</v>
      </c>
      <c r="O10" s="71">
        <v>151228547.34372807</v>
      </c>
      <c r="P10" s="71">
        <v>175493078.55431286</v>
      </c>
      <c r="Q10" s="71">
        <v>234133328.25460526</v>
      </c>
      <c r="R10" s="71">
        <v>261276329.46746492</v>
      </c>
      <c r="S10" s="71">
        <v>266757548.93412569</v>
      </c>
      <c r="T10" s="71">
        <v>275438932.44827187</v>
      </c>
      <c r="U10" s="71">
        <v>280161656.13334793</v>
      </c>
      <c r="V10" s="71">
        <v>269016593.68001461</v>
      </c>
      <c r="W10" s="71">
        <v>252782013.30394739</v>
      </c>
      <c r="X10" s="71">
        <v>276183400.32488823</v>
      </c>
      <c r="Y10" s="71">
        <v>280768150.91119456</v>
      </c>
    </row>
    <row r="11" spans="1:25" x14ac:dyDescent="0.25">
      <c r="A11" s="7" t="s">
        <v>142</v>
      </c>
      <c r="B11" s="71">
        <v>77147.621052631584</v>
      </c>
      <c r="C11" s="71">
        <v>78898.436052631587</v>
      </c>
      <c r="D11" s="71">
        <v>77949.259342105273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14724.549928421055</v>
      </c>
      <c r="R11" s="71">
        <v>213958.16491831583</v>
      </c>
      <c r="S11" s="71">
        <v>0</v>
      </c>
      <c r="T11" s="71">
        <v>896285.52631578944</v>
      </c>
      <c r="U11" s="71">
        <v>160009.85263157895</v>
      </c>
      <c r="V11" s="71">
        <v>0</v>
      </c>
      <c r="W11" s="71">
        <v>0</v>
      </c>
      <c r="X11" s="71">
        <v>0</v>
      </c>
      <c r="Y11" s="71">
        <v>0</v>
      </c>
    </row>
    <row r="12" spans="1:25" x14ac:dyDescent="0.25">
      <c r="A12" s="7" t="s">
        <v>79</v>
      </c>
      <c r="B12" s="71">
        <v>0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538568.79999999993</v>
      </c>
      <c r="I12" s="71">
        <v>572237.67999999993</v>
      </c>
      <c r="J12" s="71">
        <v>1564054.0750000002</v>
      </c>
      <c r="K12" s="71">
        <v>1802422.5724999998</v>
      </c>
      <c r="L12" s="71">
        <v>1596326.35</v>
      </c>
      <c r="M12" s="71">
        <v>1432203.1749999998</v>
      </c>
      <c r="N12" s="71">
        <v>1193206.3599999999</v>
      </c>
      <c r="O12" s="71">
        <v>1051750.0339473682</v>
      </c>
      <c r="P12" s="71">
        <v>838163.73810307006</v>
      </c>
      <c r="Q12" s="71">
        <v>14134727.231597047</v>
      </c>
      <c r="R12" s="71">
        <v>45560280.206873044</v>
      </c>
      <c r="S12" s="71">
        <v>51668555.84326534</v>
      </c>
      <c r="T12" s="71">
        <v>65056520.774600595</v>
      </c>
      <c r="U12" s="71">
        <v>82074178.903402403</v>
      </c>
      <c r="V12" s="71">
        <v>79857578.281177551</v>
      </c>
      <c r="W12" s="71">
        <v>83779046.847486719</v>
      </c>
      <c r="X12" s="71">
        <v>111910967.15089689</v>
      </c>
      <c r="Y12" s="71">
        <v>130818258.14145753</v>
      </c>
    </row>
    <row r="13" spans="1:25" x14ac:dyDescent="0.25">
      <c r="A13" s="7" t="s">
        <v>175</v>
      </c>
      <c r="B13" s="71">
        <v>0</v>
      </c>
      <c r="C13" s="71">
        <v>0</v>
      </c>
      <c r="D13" s="71">
        <v>0</v>
      </c>
      <c r="E13" s="71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320876850.3015002</v>
      </c>
      <c r="S13" s="71">
        <v>459080985.56667638</v>
      </c>
      <c r="T13" s="71">
        <v>455559619.02462643</v>
      </c>
      <c r="U13" s="71">
        <v>463818185.3418051</v>
      </c>
      <c r="V13" s="71">
        <v>445823504.48651975</v>
      </c>
      <c r="W13" s="71">
        <v>438402962.04456699</v>
      </c>
      <c r="X13" s="71">
        <v>470271315.11104214</v>
      </c>
      <c r="Y13" s="71">
        <v>477813506.82563323</v>
      </c>
    </row>
    <row r="14" spans="1:25" x14ac:dyDescent="0.25">
      <c r="A14" s="7" t="s">
        <v>5</v>
      </c>
      <c r="B14" s="71">
        <v>0</v>
      </c>
      <c r="C14" s="71">
        <v>0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9436.6315789473701</v>
      </c>
      <c r="K14" s="71">
        <v>15032.895438596493</v>
      </c>
      <c r="L14" s="71">
        <v>7007.8355259009822</v>
      </c>
      <c r="M14" s="71">
        <v>15317.590603642133</v>
      </c>
      <c r="N14" s="71">
        <v>60837.389938961685</v>
      </c>
      <c r="O14" s="71">
        <v>181340.93608095459</v>
      </c>
      <c r="P14" s="71">
        <v>349924.57230215997</v>
      </c>
      <c r="Q14" s="71">
        <v>514653.5207172652</v>
      </c>
      <c r="R14" s="71">
        <v>1545657.2710516718</v>
      </c>
      <c r="S14" s="71">
        <v>2487800.8389640441</v>
      </c>
      <c r="T14" s="71">
        <v>6959716.6980569791</v>
      </c>
      <c r="U14" s="71">
        <v>10275960.501184968</v>
      </c>
      <c r="V14" s="71">
        <v>12011981.852203855</v>
      </c>
      <c r="W14" s="71">
        <v>18988209.721337222</v>
      </c>
      <c r="X14" s="71">
        <v>18779834.86234023</v>
      </c>
      <c r="Y14" s="71">
        <v>27459976.613193259</v>
      </c>
    </row>
    <row r="15" spans="1:25" x14ac:dyDescent="0.25">
      <c r="A15" s="7" t="s">
        <v>78</v>
      </c>
      <c r="B15" s="71">
        <v>20888757.51754386</v>
      </c>
      <c r="C15" s="71">
        <v>23446088.279385965</v>
      </c>
      <c r="D15" s="71">
        <v>67753162.671099514</v>
      </c>
      <c r="E15" s="71">
        <v>74823326.876657188</v>
      </c>
      <c r="F15" s="71">
        <v>82156425.247354388</v>
      </c>
      <c r="G15" s="71">
        <v>85718419.53491953</v>
      </c>
      <c r="H15" s="71">
        <v>83892402.907327384</v>
      </c>
      <c r="I15" s="71">
        <v>85888544.02203387</v>
      </c>
      <c r="J15" s="71">
        <v>102825622.13488758</v>
      </c>
      <c r="K15" s="71">
        <v>115113933.70078091</v>
      </c>
      <c r="L15" s="71">
        <v>110872800.30737072</v>
      </c>
      <c r="M15" s="71">
        <v>157250570.88601673</v>
      </c>
      <c r="N15" s="71">
        <v>123609468.01898211</v>
      </c>
      <c r="O15" s="71">
        <v>123120221.73499703</v>
      </c>
      <c r="P15" s="71">
        <v>119703177.4361579</v>
      </c>
      <c r="Q15" s="71">
        <v>72453269.549125701</v>
      </c>
      <c r="R15" s="71">
        <v>49638967.158254378</v>
      </c>
      <c r="S15" s="71">
        <v>52064037.488535091</v>
      </c>
      <c r="T15" s="71">
        <v>56898909.745938599</v>
      </c>
      <c r="U15" s="71">
        <v>59897866.107681289</v>
      </c>
      <c r="V15" s="71">
        <v>60273716.65505264</v>
      </c>
      <c r="W15" s="71">
        <v>59502552.144086249</v>
      </c>
      <c r="X15" s="71">
        <v>66824756.298947357</v>
      </c>
      <c r="Y15" s="71">
        <v>70949628.8296462</v>
      </c>
    </row>
    <row r="16" spans="1:25" x14ac:dyDescent="0.25">
      <c r="A16" s="7" t="s">
        <v>105</v>
      </c>
      <c r="B16" s="71">
        <v>804259.78947368416</v>
      </c>
      <c r="C16" s="71">
        <v>814409.56736842101</v>
      </c>
      <c r="D16" s="71">
        <v>791281.72789473692</v>
      </c>
      <c r="E16" s="71">
        <v>745679.86605263175</v>
      </c>
      <c r="F16" s="71">
        <v>797608.27776315797</v>
      </c>
      <c r="G16" s="71">
        <v>793505.3601315791</v>
      </c>
      <c r="H16" s="71">
        <v>807322.46184210526</v>
      </c>
      <c r="I16" s="71">
        <v>15497985.037631581</v>
      </c>
      <c r="J16" s="71">
        <v>23015253.727710523</v>
      </c>
      <c r="K16" s="71">
        <v>29554012.882236842</v>
      </c>
      <c r="L16" s="71">
        <v>28143333.279144734</v>
      </c>
      <c r="M16" s="71">
        <v>27963363.659868423</v>
      </c>
      <c r="N16" s="71">
        <v>287270.77894736844</v>
      </c>
      <c r="O16" s="71">
        <v>295912.22842105263</v>
      </c>
      <c r="P16" s="71">
        <v>313516.50986842107</v>
      </c>
      <c r="Q16" s="71">
        <v>300997.51578947366</v>
      </c>
      <c r="R16" s="71">
        <v>430151.70526315796</v>
      </c>
      <c r="S16" s="71">
        <v>1240330.3978947368</v>
      </c>
      <c r="T16" s="71">
        <v>1797781.6965789474</v>
      </c>
      <c r="U16" s="71">
        <v>1041960.3836842106</v>
      </c>
      <c r="V16" s="71">
        <v>903155.61315789458</v>
      </c>
      <c r="W16" s="71">
        <v>927637.83394736843</v>
      </c>
      <c r="X16" s="71">
        <v>777066.97697368416</v>
      </c>
      <c r="Y16" s="71">
        <v>630153.08855263167</v>
      </c>
    </row>
    <row r="17" spans="1:25" x14ac:dyDescent="0.25">
      <c r="A17" s="7" t="s">
        <v>161</v>
      </c>
      <c r="B17" s="71">
        <v>0</v>
      </c>
      <c r="C17" s="71">
        <v>0</v>
      </c>
      <c r="D17" s="71">
        <v>0</v>
      </c>
      <c r="E17" s="71">
        <v>0</v>
      </c>
      <c r="F17" s="71">
        <v>0</v>
      </c>
      <c r="G17" s="71">
        <v>0</v>
      </c>
      <c r="H17" s="71">
        <v>3029895.8736842112</v>
      </c>
      <c r="I17" s="71">
        <v>7758595.6578421062</v>
      </c>
      <c r="J17" s="71">
        <v>1545856.413622807</v>
      </c>
      <c r="K17" s="71">
        <v>4340799.6761578955</v>
      </c>
      <c r="L17" s="71">
        <v>3509131.2852894738</v>
      </c>
      <c r="M17" s="71">
        <v>5934020.7698421059</v>
      </c>
      <c r="N17" s="71">
        <v>11771289.003596492</v>
      </c>
      <c r="O17" s="71">
        <v>21235065.818330705</v>
      </c>
      <c r="P17" s="71">
        <v>35141118.636778519</v>
      </c>
      <c r="Q17" s="71">
        <v>44497769.475822374</v>
      </c>
      <c r="R17" s="71">
        <v>55341923.767780691</v>
      </c>
      <c r="S17" s="71">
        <v>66664536.867978521</v>
      </c>
      <c r="T17" s="71">
        <v>93092909.247318864</v>
      </c>
      <c r="U17" s="71">
        <v>126525666.33989815</v>
      </c>
      <c r="V17" s="71">
        <v>142261312.48049879</v>
      </c>
      <c r="W17" s="71">
        <v>142479003.36778629</v>
      </c>
      <c r="X17" s="71">
        <v>166422082.736177</v>
      </c>
      <c r="Y17" s="71">
        <v>173751395.40052408</v>
      </c>
    </row>
    <row r="18" spans="1:25" x14ac:dyDescent="0.25">
      <c r="A18" s="7" t="s">
        <v>6</v>
      </c>
      <c r="B18" s="71">
        <v>0</v>
      </c>
      <c r="C18" s="71">
        <v>0</v>
      </c>
      <c r="D18" s="71">
        <v>0</v>
      </c>
      <c r="E18" s="71">
        <v>0</v>
      </c>
      <c r="F18" s="71">
        <v>0</v>
      </c>
      <c r="G18" s="71">
        <v>0</v>
      </c>
      <c r="H18" s="71">
        <v>0</v>
      </c>
      <c r="I18" s="71">
        <v>6300.6315789473692</v>
      </c>
      <c r="J18" s="71">
        <v>1716887.879922929</v>
      </c>
      <c r="K18" s="71">
        <v>1579536.4100666936</v>
      </c>
      <c r="L18" s="71">
        <v>9327523.8119436298</v>
      </c>
      <c r="M18" s="71">
        <v>23147609.055447347</v>
      </c>
      <c r="N18" s="71">
        <v>41170015.45411174</v>
      </c>
      <c r="O18" s="71">
        <v>66222136.368070766</v>
      </c>
      <c r="P18" s="71">
        <v>89756383.940039173</v>
      </c>
      <c r="Q18" s="71">
        <v>107603981.35436857</v>
      </c>
      <c r="R18" s="71">
        <v>127327220.75884214</v>
      </c>
      <c r="S18" s="71">
        <v>136528866.40202385</v>
      </c>
      <c r="T18" s="71">
        <v>145562504.84282181</v>
      </c>
      <c r="U18" s="71">
        <v>141811832.69188434</v>
      </c>
      <c r="V18" s="71">
        <v>160800233.02991807</v>
      </c>
      <c r="W18" s="71">
        <v>186996096.55044705</v>
      </c>
      <c r="X18" s="71">
        <v>209165465.89669368</v>
      </c>
      <c r="Y18" s="71">
        <v>205938451.27025551</v>
      </c>
    </row>
    <row r="20" spans="1:25" x14ac:dyDescent="0.25">
      <c r="A20" s="7" t="s">
        <v>139</v>
      </c>
      <c r="B20" s="70" t="str">
        <f>+"["&amp;ROUND(B2,0)&amp;","</f>
        <v>[78580259,</v>
      </c>
      <c r="C20" s="70" t="str">
        <f t="shared" ref="C20:X29" si="0">+ROUND(C2,0)&amp;","</f>
        <v>11429,</v>
      </c>
      <c r="D20" s="70" t="str">
        <f t="shared" si="0"/>
        <v>10933,</v>
      </c>
      <c r="E20" s="70" t="str">
        <f t="shared" si="0"/>
        <v>10568,</v>
      </c>
      <c r="F20" s="70" t="str">
        <f t="shared" si="0"/>
        <v>10632,</v>
      </c>
      <c r="G20" s="70" t="str">
        <f t="shared" si="0"/>
        <v>10866,</v>
      </c>
      <c r="H20" s="70" t="str">
        <f t="shared" si="0"/>
        <v>11173,</v>
      </c>
      <c r="I20" s="70" t="str">
        <f t="shared" si="0"/>
        <v>11270,</v>
      </c>
      <c r="J20" s="70" t="str">
        <f t="shared" si="0"/>
        <v>11244,</v>
      </c>
      <c r="K20" s="70" t="str">
        <f t="shared" si="0"/>
        <v>0,</v>
      </c>
      <c r="L20" s="70" t="str">
        <f t="shared" si="0"/>
        <v>17696391,</v>
      </c>
      <c r="M20" s="70" t="str">
        <f t="shared" si="0"/>
        <v>17721468,</v>
      </c>
      <c r="N20" s="70" t="str">
        <f t="shared" si="0"/>
        <v>8703411,</v>
      </c>
      <c r="O20" s="70" t="str">
        <f t="shared" si="0"/>
        <v>26868698,</v>
      </c>
      <c r="P20" s="70" t="str">
        <f t="shared" si="0"/>
        <v>28597586,</v>
      </c>
      <c r="Q20" s="70" t="str">
        <f t="shared" si="0"/>
        <v>31745853,</v>
      </c>
      <c r="R20" s="70" t="str">
        <f t="shared" si="0"/>
        <v>19409700,</v>
      </c>
      <c r="S20" s="70" t="str">
        <f t="shared" si="0"/>
        <v>36511824,</v>
      </c>
      <c r="T20" s="70" t="str">
        <f t="shared" si="0"/>
        <v>18347409,</v>
      </c>
      <c r="U20" s="70" t="str">
        <f t="shared" si="0"/>
        <v>14873766,</v>
      </c>
      <c r="V20" s="70" t="str">
        <f t="shared" si="0"/>
        <v>9862745,</v>
      </c>
      <c r="W20" s="70" t="str">
        <f t="shared" si="0"/>
        <v>14777182,</v>
      </c>
      <c r="X20" s="70" t="str">
        <f t="shared" si="0"/>
        <v>37949221,</v>
      </c>
      <c r="Y20" s="70" t="str">
        <f>+ROUND(Y2,0)&amp;"]"</f>
        <v>17547796]</v>
      </c>
    </row>
    <row r="21" spans="1:25" x14ac:dyDescent="0.25">
      <c r="A21" s="7" t="s">
        <v>82</v>
      </c>
      <c r="B21" s="70" t="str">
        <f t="shared" ref="B21:B36" si="1">+"["&amp;ROUND(B3,0)&amp;","</f>
        <v>[16708549,</v>
      </c>
      <c r="C21" s="70" t="str">
        <f t="shared" ref="C21:Q21" si="2">+ROUND(C3,0)&amp;","</f>
        <v>16708884,</v>
      </c>
      <c r="D21" s="70" t="str">
        <f t="shared" si="2"/>
        <v>16621239,</v>
      </c>
      <c r="E21" s="70" t="str">
        <f t="shared" si="2"/>
        <v>16912299,</v>
      </c>
      <c r="F21" s="70" t="str">
        <f t="shared" si="2"/>
        <v>17990793,</v>
      </c>
      <c r="G21" s="70" t="str">
        <f t="shared" si="2"/>
        <v>32224595,</v>
      </c>
      <c r="H21" s="70" t="str">
        <f t="shared" si="2"/>
        <v>36010296,</v>
      </c>
      <c r="I21" s="70" t="str">
        <f t="shared" si="2"/>
        <v>35638479,</v>
      </c>
      <c r="J21" s="70" t="str">
        <f t="shared" si="2"/>
        <v>21093263,</v>
      </c>
      <c r="K21" s="70" t="str">
        <f t="shared" si="2"/>
        <v>22353125,</v>
      </c>
      <c r="L21" s="70" t="str">
        <f t="shared" si="2"/>
        <v>22384691,</v>
      </c>
      <c r="M21" s="70" t="str">
        <f t="shared" si="2"/>
        <v>21083590,</v>
      </c>
      <c r="N21" s="70" t="str">
        <f t="shared" si="2"/>
        <v>4248061,</v>
      </c>
      <c r="O21" s="70" t="str">
        <f t="shared" si="2"/>
        <v>15084549,</v>
      </c>
      <c r="P21" s="70" t="str">
        <f t="shared" si="2"/>
        <v>24102254,</v>
      </c>
      <c r="Q21" s="70" t="str">
        <f t="shared" si="2"/>
        <v>101868384,</v>
      </c>
      <c r="R21" s="70" t="str">
        <f t="shared" si="0"/>
        <v>89505897,</v>
      </c>
      <c r="S21" s="70" t="str">
        <f t="shared" si="0"/>
        <v>166340121,</v>
      </c>
      <c r="T21" s="70" t="str">
        <f t="shared" si="0"/>
        <v>410169950,</v>
      </c>
      <c r="U21" s="70" t="str">
        <f t="shared" si="0"/>
        <v>332425433,</v>
      </c>
      <c r="V21" s="70" t="str">
        <f t="shared" si="0"/>
        <v>194291047,</v>
      </c>
      <c r="W21" s="70" t="str">
        <f t="shared" si="0"/>
        <v>331279149,</v>
      </c>
      <c r="X21" s="70" t="str">
        <f t="shared" si="0"/>
        <v>227385022,</v>
      </c>
      <c r="Y21" s="70" t="str">
        <f t="shared" ref="Y21:Y36" si="3">+ROUND(Y3,0)&amp;"]"</f>
        <v>278835991]</v>
      </c>
    </row>
    <row r="22" spans="1:25" x14ac:dyDescent="0.25">
      <c r="A22" s="7" t="s">
        <v>7</v>
      </c>
      <c r="B22" s="70" t="str">
        <f t="shared" si="1"/>
        <v>[14895547,</v>
      </c>
      <c r="C22" s="70" t="str">
        <f t="shared" si="0"/>
        <v>15916937,</v>
      </c>
      <c r="D22" s="70" t="str">
        <f t="shared" si="0"/>
        <v>16440302,</v>
      </c>
      <c r="E22" s="70" t="str">
        <f t="shared" si="0"/>
        <v>17051794,</v>
      </c>
      <c r="F22" s="70" t="str">
        <f t="shared" si="0"/>
        <v>25753121,</v>
      </c>
      <c r="G22" s="70" t="str">
        <f t="shared" si="0"/>
        <v>26516485,</v>
      </c>
      <c r="H22" s="70" t="str">
        <f t="shared" si="0"/>
        <v>28053836,</v>
      </c>
      <c r="I22" s="70" t="str">
        <f t="shared" si="0"/>
        <v>27963867,</v>
      </c>
      <c r="J22" s="70" t="str">
        <f t="shared" si="0"/>
        <v>39454389,</v>
      </c>
      <c r="K22" s="70" t="str">
        <f t="shared" si="0"/>
        <v>41213109,</v>
      </c>
      <c r="L22" s="70" t="str">
        <f t="shared" si="0"/>
        <v>42926745,</v>
      </c>
      <c r="M22" s="70" t="str">
        <f t="shared" si="0"/>
        <v>42885187,</v>
      </c>
      <c r="N22" s="70" t="str">
        <f t="shared" si="0"/>
        <v>22148782,</v>
      </c>
      <c r="O22" s="70" t="str">
        <f t="shared" si="0"/>
        <v>22105642,</v>
      </c>
      <c r="P22" s="70" t="str">
        <f t="shared" si="0"/>
        <v>19837777,</v>
      </c>
      <c r="Q22" s="70" t="str">
        <f t="shared" si="0"/>
        <v>26434485,</v>
      </c>
      <c r="R22" s="70" t="str">
        <f t="shared" si="0"/>
        <v>20737739,</v>
      </c>
      <c r="S22" s="70" t="str">
        <f t="shared" si="0"/>
        <v>20303126,</v>
      </c>
      <c r="T22" s="70" t="str">
        <f t="shared" si="0"/>
        <v>23934205,</v>
      </c>
      <c r="U22" s="70" t="str">
        <f t="shared" si="0"/>
        <v>21792972,</v>
      </c>
      <c r="V22" s="70" t="str">
        <f t="shared" si="0"/>
        <v>18694960,</v>
      </c>
      <c r="W22" s="70" t="str">
        <f t="shared" si="0"/>
        <v>26052156,</v>
      </c>
      <c r="X22" s="70" t="str">
        <f t="shared" si="0"/>
        <v>26626399,</v>
      </c>
      <c r="Y22" s="70" t="str">
        <f t="shared" si="3"/>
        <v>25785425]</v>
      </c>
    </row>
    <row r="23" spans="1:25" x14ac:dyDescent="0.25">
      <c r="A23" s="7" t="s">
        <v>86</v>
      </c>
      <c r="B23" s="70" t="str">
        <f t="shared" si="1"/>
        <v>[78159429,</v>
      </c>
      <c r="C23" s="70" t="str">
        <f t="shared" si="0"/>
        <v>79754932,</v>
      </c>
      <c r="D23" s="70" t="str">
        <f t="shared" si="0"/>
        <v>82572072,</v>
      </c>
      <c r="E23" s="70" t="str">
        <f t="shared" si="0"/>
        <v>85747371,</v>
      </c>
      <c r="F23" s="70" t="str">
        <f t="shared" si="0"/>
        <v>88823502,</v>
      </c>
      <c r="G23" s="70" t="str">
        <f t="shared" si="0"/>
        <v>90980826,</v>
      </c>
      <c r="H23" s="70" t="str">
        <f t="shared" si="0"/>
        <v>93434225,</v>
      </c>
      <c r="I23" s="70" t="str">
        <f t="shared" si="0"/>
        <v>98105258,</v>
      </c>
      <c r="J23" s="70" t="str">
        <f t="shared" si="0"/>
        <v>101078446,</v>
      </c>
      <c r="K23" s="70" t="str">
        <f t="shared" si="0"/>
        <v>104582797,</v>
      </c>
      <c r="L23" s="70" t="str">
        <f t="shared" si="0"/>
        <v>105776185,</v>
      </c>
      <c r="M23" s="70" t="str">
        <f t="shared" si="0"/>
        <v>135372841,</v>
      </c>
      <c r="N23" s="70" t="str">
        <f t="shared" si="0"/>
        <v>148582724,</v>
      </c>
      <c r="O23" s="70" t="str">
        <f t="shared" si="0"/>
        <v>164282756,</v>
      </c>
      <c r="P23" s="70" t="str">
        <f t="shared" si="0"/>
        <v>173551045,</v>
      </c>
      <c r="Q23" s="70" t="str">
        <f t="shared" si="0"/>
        <v>177885695,</v>
      </c>
      <c r="R23" s="70" t="str">
        <f t="shared" si="0"/>
        <v>149831514,</v>
      </c>
      <c r="S23" s="70" t="str">
        <f t="shared" si="0"/>
        <v>186085427,</v>
      </c>
      <c r="T23" s="70" t="str">
        <f t="shared" si="0"/>
        <v>164768261,</v>
      </c>
      <c r="U23" s="70" t="str">
        <f t="shared" si="0"/>
        <v>42499760,</v>
      </c>
      <c r="V23" s="70" t="str">
        <f t="shared" si="0"/>
        <v>10518908,</v>
      </c>
      <c r="W23" s="70" t="str">
        <f t="shared" si="0"/>
        <v>7180031,</v>
      </c>
      <c r="X23" s="70" t="str">
        <f t="shared" si="0"/>
        <v>6811040,</v>
      </c>
      <c r="Y23" s="70" t="str">
        <f t="shared" si="3"/>
        <v>6823078]</v>
      </c>
    </row>
    <row r="24" spans="1:25" x14ac:dyDescent="0.25">
      <c r="A24" s="7" t="s">
        <v>84</v>
      </c>
      <c r="B24" s="70" t="str">
        <f t="shared" si="1"/>
        <v>[50764265,</v>
      </c>
      <c r="C24" s="70" t="str">
        <f t="shared" si="0"/>
        <v>50774338,</v>
      </c>
      <c r="D24" s="70" t="str">
        <f t="shared" si="0"/>
        <v>50335232,</v>
      </c>
      <c r="E24" s="70" t="str">
        <f t="shared" si="0"/>
        <v>52856121,</v>
      </c>
      <c r="F24" s="70" t="str">
        <f t="shared" si="0"/>
        <v>69969918,</v>
      </c>
      <c r="G24" s="70" t="str">
        <f t="shared" si="0"/>
        <v>68257615,</v>
      </c>
      <c r="H24" s="70" t="str">
        <f t="shared" si="0"/>
        <v>54723843,</v>
      </c>
      <c r="I24" s="70" t="str">
        <f t="shared" si="0"/>
        <v>53185019,</v>
      </c>
      <c r="J24" s="70" t="str">
        <f t="shared" si="0"/>
        <v>38358186,</v>
      </c>
      <c r="K24" s="70" t="str">
        <f t="shared" si="0"/>
        <v>36289140,</v>
      </c>
      <c r="L24" s="70" t="str">
        <f t="shared" si="0"/>
        <v>31847542,</v>
      </c>
      <c r="M24" s="70" t="str">
        <f t="shared" si="0"/>
        <v>29878049,</v>
      </c>
      <c r="N24" s="70" t="str">
        <f t="shared" si="0"/>
        <v>27224651,</v>
      </c>
      <c r="O24" s="70" t="str">
        <f t="shared" si="0"/>
        <v>28389437,</v>
      </c>
      <c r="P24" s="70" t="str">
        <f t="shared" si="0"/>
        <v>29041953,</v>
      </c>
      <c r="Q24" s="70" t="str">
        <f t="shared" si="0"/>
        <v>34928665,</v>
      </c>
      <c r="R24" s="70" t="str">
        <f t="shared" si="0"/>
        <v>74784906,</v>
      </c>
      <c r="S24" s="70" t="str">
        <f t="shared" si="0"/>
        <v>94070116,</v>
      </c>
      <c r="T24" s="70" t="str">
        <f t="shared" si="0"/>
        <v>129988736,</v>
      </c>
      <c r="U24" s="70" t="str">
        <f t="shared" si="0"/>
        <v>244473057,</v>
      </c>
      <c r="V24" s="70" t="str">
        <f t="shared" si="0"/>
        <v>268834028,</v>
      </c>
      <c r="W24" s="70" t="str">
        <f t="shared" si="0"/>
        <v>243482509,</v>
      </c>
      <c r="X24" s="70" t="str">
        <f t="shared" si="0"/>
        <v>265683552,</v>
      </c>
      <c r="Y24" s="70" t="str">
        <f t="shared" si="3"/>
        <v>267449255]</v>
      </c>
    </row>
    <row r="25" spans="1:25" x14ac:dyDescent="0.25">
      <c r="A25" s="7" t="s">
        <v>73</v>
      </c>
      <c r="B25" s="70" t="str">
        <f t="shared" si="1"/>
        <v>[20923950,</v>
      </c>
      <c r="C25" s="70" t="str">
        <f t="shared" si="0"/>
        <v>20532694,</v>
      </c>
      <c r="D25" s="70" t="str">
        <f t="shared" si="0"/>
        <v>20111575,</v>
      </c>
      <c r="E25" s="70" t="str">
        <f t="shared" si="0"/>
        <v>19392670,</v>
      </c>
      <c r="F25" s="70" t="str">
        <f t="shared" si="0"/>
        <v>19054703,</v>
      </c>
      <c r="G25" s="70" t="str">
        <f t="shared" si="0"/>
        <v>18693918,</v>
      </c>
      <c r="H25" s="70" t="str">
        <f t="shared" si="0"/>
        <v>20305662,</v>
      </c>
      <c r="I25" s="70" t="str">
        <f t="shared" si="0"/>
        <v>19916222,</v>
      </c>
      <c r="J25" s="70" t="str">
        <f t="shared" si="0"/>
        <v>19937956,</v>
      </c>
      <c r="K25" s="70" t="str">
        <f t="shared" si="0"/>
        <v>19825404,</v>
      </c>
      <c r="L25" s="70" t="str">
        <f t="shared" si="0"/>
        <v>19155299,</v>
      </c>
      <c r="M25" s="70" t="str">
        <f t="shared" si="0"/>
        <v>19326301,</v>
      </c>
      <c r="N25" s="70" t="str">
        <f t="shared" si="0"/>
        <v>1956107,</v>
      </c>
      <c r="O25" s="70" t="str">
        <f t="shared" si="0"/>
        <v>1868860,</v>
      </c>
      <c r="P25" s="70" t="str">
        <f t="shared" si="0"/>
        <v>1900870,</v>
      </c>
      <c r="Q25" s="70" t="str">
        <f t="shared" si="0"/>
        <v>1887281,</v>
      </c>
      <c r="R25" s="70" t="str">
        <f t="shared" si="0"/>
        <v>1784487,</v>
      </c>
      <c r="S25" s="70" t="str">
        <f t="shared" si="0"/>
        <v>2200513,</v>
      </c>
      <c r="T25" s="70" t="str">
        <f t="shared" si="0"/>
        <v>2217689,</v>
      </c>
      <c r="U25" s="70" t="str">
        <f t="shared" si="0"/>
        <v>2177788,</v>
      </c>
      <c r="V25" s="70" t="str">
        <f t="shared" si="0"/>
        <v>5062812,</v>
      </c>
      <c r="W25" s="70" t="str">
        <f t="shared" si="0"/>
        <v>6404902,</v>
      </c>
      <c r="X25" s="70" t="str">
        <f t="shared" si="0"/>
        <v>6442339,</v>
      </c>
      <c r="Y25" s="70" t="str">
        <f t="shared" si="3"/>
        <v>6541568]</v>
      </c>
    </row>
    <row r="26" spans="1:25" x14ac:dyDescent="0.25">
      <c r="A26" s="7" t="s">
        <v>74</v>
      </c>
      <c r="B26" s="70" t="str">
        <f t="shared" si="1"/>
        <v>[311598814,</v>
      </c>
      <c r="C26" s="70" t="str">
        <f t="shared" si="0"/>
        <v>314913213,</v>
      </c>
      <c r="D26" s="70" t="str">
        <f t="shared" si="0"/>
        <v>275098221,</v>
      </c>
      <c r="E26" s="70" t="str">
        <f t="shared" si="0"/>
        <v>262871460,</v>
      </c>
      <c r="F26" s="70" t="str">
        <f t="shared" si="0"/>
        <v>261128636,</v>
      </c>
      <c r="G26" s="70" t="str">
        <f t="shared" si="0"/>
        <v>257038005,</v>
      </c>
      <c r="H26" s="70" t="str">
        <f t="shared" si="0"/>
        <v>243336949,</v>
      </c>
      <c r="I26" s="70" t="str">
        <f t="shared" si="0"/>
        <v>227800791,</v>
      </c>
      <c r="J26" s="70" t="str">
        <f t="shared" si="0"/>
        <v>225945394,</v>
      </c>
      <c r="K26" s="70" t="str">
        <f t="shared" si="0"/>
        <v>232813533,</v>
      </c>
      <c r="L26" s="70" t="str">
        <f t="shared" si="0"/>
        <v>235328126,</v>
      </c>
      <c r="M26" s="70" t="str">
        <f t="shared" si="0"/>
        <v>232957520,</v>
      </c>
      <c r="N26" s="70" t="str">
        <f t="shared" si="0"/>
        <v>144417830,</v>
      </c>
      <c r="O26" s="70" t="str">
        <f t="shared" si="0"/>
        <v>142191817,</v>
      </c>
      <c r="P26" s="70" t="str">
        <f t="shared" si="0"/>
        <v>138986008,</v>
      </c>
      <c r="Q26" s="70" t="str">
        <f t="shared" si="0"/>
        <v>91307954,</v>
      </c>
      <c r="R26" s="70" t="str">
        <f t="shared" si="0"/>
        <v>64954167,</v>
      </c>
      <c r="S26" s="70" t="str">
        <f t="shared" si="0"/>
        <v>66630415,</v>
      </c>
      <c r="T26" s="70" t="str">
        <f t="shared" si="0"/>
        <v>66455709,</v>
      </c>
      <c r="U26" s="70" t="str">
        <f t="shared" si="0"/>
        <v>65876339,</v>
      </c>
      <c r="V26" s="70" t="str">
        <f t="shared" si="0"/>
        <v>61511976,</v>
      </c>
      <c r="W26" s="70" t="str">
        <f t="shared" si="0"/>
        <v>62054152,</v>
      </c>
      <c r="X26" s="70" t="str">
        <f t="shared" si="0"/>
        <v>65413987,</v>
      </c>
      <c r="Y26" s="70" t="str">
        <f t="shared" si="3"/>
        <v>65841842]</v>
      </c>
    </row>
    <row r="27" spans="1:25" x14ac:dyDescent="0.25">
      <c r="A27" s="7" t="s">
        <v>77</v>
      </c>
      <c r="B27" s="70" t="str">
        <f t="shared" si="1"/>
        <v>[4569987,</v>
      </c>
      <c r="C27" s="70" t="str">
        <f t="shared" si="0"/>
        <v>2613786,</v>
      </c>
      <c r="D27" s="70" t="str">
        <f t="shared" si="0"/>
        <v>2314795,</v>
      </c>
      <c r="E27" s="70" t="str">
        <f t="shared" si="0"/>
        <v>4993057,</v>
      </c>
      <c r="F27" s="70" t="str">
        <f t="shared" si="0"/>
        <v>6731550,</v>
      </c>
      <c r="G27" s="70" t="str">
        <f t="shared" si="0"/>
        <v>5829501,</v>
      </c>
      <c r="H27" s="70" t="str">
        <f t="shared" si="0"/>
        <v>2388879,</v>
      </c>
      <c r="I27" s="70" t="str">
        <f t="shared" si="0"/>
        <v>2682334,</v>
      </c>
      <c r="J27" s="70" t="str">
        <f t="shared" si="0"/>
        <v>5503855,</v>
      </c>
      <c r="K27" s="70" t="str">
        <f t="shared" si="0"/>
        <v>6149963,</v>
      </c>
      <c r="L27" s="70" t="str">
        <f t="shared" si="0"/>
        <v>2755123,</v>
      </c>
      <c r="M27" s="70" t="str">
        <f t="shared" si="0"/>
        <v>3016434,</v>
      </c>
      <c r="N27" s="70" t="str">
        <f t="shared" si="0"/>
        <v>2770512,</v>
      </c>
      <c r="O27" s="70" t="str">
        <f t="shared" si="0"/>
        <v>2616818,</v>
      </c>
      <c r="P27" s="70" t="str">
        <f t="shared" si="0"/>
        <v>0,</v>
      </c>
      <c r="Q27" s="70" t="str">
        <f t="shared" si="0"/>
        <v>0,</v>
      </c>
      <c r="R27" s="70" t="str">
        <f t="shared" si="0"/>
        <v>0,</v>
      </c>
      <c r="S27" s="70" t="str">
        <f t="shared" si="0"/>
        <v>0,</v>
      </c>
      <c r="T27" s="70" t="str">
        <f t="shared" si="0"/>
        <v>0,</v>
      </c>
      <c r="U27" s="70" t="str">
        <f t="shared" si="0"/>
        <v>2577182,</v>
      </c>
      <c r="V27" s="70" t="str">
        <f t="shared" si="0"/>
        <v>2545601,</v>
      </c>
      <c r="W27" s="70" t="str">
        <f t="shared" si="0"/>
        <v>5826577,</v>
      </c>
      <c r="X27" s="70" t="str">
        <f t="shared" si="0"/>
        <v>5816636,</v>
      </c>
      <c r="Y27" s="70" t="str">
        <f t="shared" si="3"/>
        <v>5854585]</v>
      </c>
    </row>
    <row r="28" spans="1:25" x14ac:dyDescent="0.25">
      <c r="A28" s="7" t="s">
        <v>1</v>
      </c>
      <c r="B28" s="70" t="str">
        <f t="shared" si="1"/>
        <v>[5598384,</v>
      </c>
      <c r="C28" s="70" t="str">
        <f t="shared" si="0"/>
        <v>11321282,</v>
      </c>
      <c r="D28" s="70" t="str">
        <f t="shared" si="0"/>
        <v>21742187,</v>
      </c>
      <c r="E28" s="70" t="str">
        <f t="shared" si="0"/>
        <v>23354085,</v>
      </c>
      <c r="F28" s="70" t="str">
        <f t="shared" si="0"/>
        <v>34313914,</v>
      </c>
      <c r="G28" s="70" t="str">
        <f t="shared" si="0"/>
        <v>44391890,</v>
      </c>
      <c r="H28" s="70" t="str">
        <f t="shared" si="0"/>
        <v>49168455,</v>
      </c>
      <c r="I28" s="70" t="str">
        <f t="shared" si="0"/>
        <v>61360525,</v>
      </c>
      <c r="J28" s="70" t="str">
        <f t="shared" si="0"/>
        <v>68262550,</v>
      </c>
      <c r="K28" s="70" t="str">
        <f t="shared" si="0"/>
        <v>121877662,</v>
      </c>
      <c r="L28" s="70" t="str">
        <f t="shared" si="0"/>
        <v>123733297,</v>
      </c>
      <c r="M28" s="70" t="str">
        <f t="shared" si="0"/>
        <v>129845142,</v>
      </c>
      <c r="N28" s="70" t="str">
        <f t="shared" si="0"/>
        <v>142806746,</v>
      </c>
      <c r="O28" s="70" t="str">
        <f t="shared" si="0"/>
        <v>151228547,</v>
      </c>
      <c r="P28" s="70" t="str">
        <f t="shared" si="0"/>
        <v>175493079,</v>
      </c>
      <c r="Q28" s="70" t="str">
        <f t="shared" si="0"/>
        <v>234133328,</v>
      </c>
      <c r="R28" s="70" t="str">
        <f t="shared" si="0"/>
        <v>261276329,</v>
      </c>
      <c r="S28" s="70" t="str">
        <f t="shared" si="0"/>
        <v>266757549,</v>
      </c>
      <c r="T28" s="70" t="str">
        <f t="shared" si="0"/>
        <v>275438932,</v>
      </c>
      <c r="U28" s="70" t="str">
        <f t="shared" si="0"/>
        <v>280161656,</v>
      </c>
      <c r="V28" s="70" t="str">
        <f t="shared" si="0"/>
        <v>269016594,</v>
      </c>
      <c r="W28" s="70" t="str">
        <f t="shared" si="0"/>
        <v>252782013,</v>
      </c>
      <c r="X28" s="70" t="str">
        <f t="shared" si="0"/>
        <v>276183400,</v>
      </c>
      <c r="Y28" s="70" t="str">
        <f t="shared" si="3"/>
        <v>280768151]</v>
      </c>
    </row>
    <row r="29" spans="1:25" x14ac:dyDescent="0.25">
      <c r="A29" s="7" t="s">
        <v>142</v>
      </c>
      <c r="B29" s="70" t="str">
        <f t="shared" si="1"/>
        <v>[77148,</v>
      </c>
      <c r="C29" s="70" t="str">
        <f t="shared" si="0"/>
        <v>78898,</v>
      </c>
      <c r="D29" s="70" t="str">
        <f t="shared" si="0"/>
        <v>77949,</v>
      </c>
      <c r="E29" s="70" t="str">
        <f t="shared" si="0"/>
        <v>0,</v>
      </c>
      <c r="F29" s="70" t="str">
        <f t="shared" si="0"/>
        <v>0,</v>
      </c>
      <c r="G29" s="70" t="str">
        <f t="shared" si="0"/>
        <v>0,</v>
      </c>
      <c r="H29" s="70" t="str">
        <f t="shared" si="0"/>
        <v>0,</v>
      </c>
      <c r="I29" s="70" t="str">
        <f t="shared" si="0"/>
        <v>0,</v>
      </c>
      <c r="J29" s="70" t="str">
        <f t="shared" si="0"/>
        <v>0,</v>
      </c>
      <c r="K29" s="70" t="str">
        <f t="shared" si="0"/>
        <v>0,</v>
      </c>
      <c r="L29" s="70" t="str">
        <f t="shared" ref="C29:X36" si="4">+ROUND(L11,0)&amp;","</f>
        <v>0,</v>
      </c>
      <c r="M29" s="70" t="str">
        <f t="shared" si="4"/>
        <v>0,</v>
      </c>
      <c r="N29" s="70" t="str">
        <f t="shared" si="4"/>
        <v>0,</v>
      </c>
      <c r="O29" s="70" t="str">
        <f t="shared" si="4"/>
        <v>0,</v>
      </c>
      <c r="P29" s="70" t="str">
        <f t="shared" si="4"/>
        <v>0,</v>
      </c>
      <c r="Q29" s="70" t="str">
        <f t="shared" si="4"/>
        <v>14725,</v>
      </c>
      <c r="R29" s="70" t="str">
        <f t="shared" si="4"/>
        <v>213958,</v>
      </c>
      <c r="S29" s="70" t="str">
        <f t="shared" si="4"/>
        <v>0,</v>
      </c>
      <c r="T29" s="70" t="str">
        <f t="shared" si="4"/>
        <v>896286,</v>
      </c>
      <c r="U29" s="70" t="str">
        <f t="shared" si="4"/>
        <v>160010,</v>
      </c>
      <c r="V29" s="70" t="str">
        <f t="shared" si="4"/>
        <v>0,</v>
      </c>
      <c r="W29" s="70" t="str">
        <f t="shared" si="4"/>
        <v>0,</v>
      </c>
      <c r="X29" s="70" t="str">
        <f t="shared" si="4"/>
        <v>0,</v>
      </c>
      <c r="Y29" s="70" t="str">
        <f t="shared" si="3"/>
        <v>0]</v>
      </c>
    </row>
    <row r="30" spans="1:25" x14ac:dyDescent="0.25">
      <c r="A30" s="7" t="s">
        <v>79</v>
      </c>
      <c r="B30" s="70" t="str">
        <f t="shared" si="1"/>
        <v>[0,</v>
      </c>
      <c r="C30" s="70" t="str">
        <f t="shared" si="4"/>
        <v>0,</v>
      </c>
      <c r="D30" s="70" t="str">
        <f t="shared" si="4"/>
        <v>0,</v>
      </c>
      <c r="E30" s="70" t="str">
        <f t="shared" si="4"/>
        <v>0,</v>
      </c>
      <c r="F30" s="70" t="str">
        <f t="shared" si="4"/>
        <v>0,</v>
      </c>
      <c r="G30" s="70" t="str">
        <f t="shared" si="4"/>
        <v>0,</v>
      </c>
      <c r="H30" s="70" t="str">
        <f t="shared" si="4"/>
        <v>538569,</v>
      </c>
      <c r="I30" s="70" t="str">
        <f t="shared" si="4"/>
        <v>572238,</v>
      </c>
      <c r="J30" s="70" t="str">
        <f t="shared" si="4"/>
        <v>1564054,</v>
      </c>
      <c r="K30" s="70" t="str">
        <f t="shared" si="4"/>
        <v>1802423,</v>
      </c>
      <c r="L30" s="70" t="str">
        <f t="shared" si="4"/>
        <v>1596326,</v>
      </c>
      <c r="M30" s="70" t="str">
        <f t="shared" si="4"/>
        <v>1432203,</v>
      </c>
      <c r="N30" s="70" t="str">
        <f t="shared" si="4"/>
        <v>1193206,</v>
      </c>
      <c r="O30" s="70" t="str">
        <f t="shared" si="4"/>
        <v>1051750,</v>
      </c>
      <c r="P30" s="70" t="str">
        <f t="shared" si="4"/>
        <v>838164,</v>
      </c>
      <c r="Q30" s="70" t="str">
        <f t="shared" si="4"/>
        <v>14134727,</v>
      </c>
      <c r="R30" s="70" t="str">
        <f t="shared" si="4"/>
        <v>45560280,</v>
      </c>
      <c r="S30" s="70" t="str">
        <f t="shared" si="4"/>
        <v>51668556,</v>
      </c>
      <c r="T30" s="70" t="str">
        <f t="shared" si="4"/>
        <v>65056521,</v>
      </c>
      <c r="U30" s="70" t="str">
        <f t="shared" si="4"/>
        <v>82074179,</v>
      </c>
      <c r="V30" s="70" t="str">
        <f t="shared" si="4"/>
        <v>79857578,</v>
      </c>
      <c r="W30" s="70" t="str">
        <f t="shared" si="4"/>
        <v>83779047,</v>
      </c>
      <c r="X30" s="70" t="str">
        <f t="shared" si="4"/>
        <v>111910967,</v>
      </c>
      <c r="Y30" s="70" t="str">
        <f t="shared" si="3"/>
        <v>130818258]</v>
      </c>
    </row>
    <row r="31" spans="1:25" x14ac:dyDescent="0.25">
      <c r="A31" s="7" t="s">
        <v>175</v>
      </c>
      <c r="B31" s="70" t="str">
        <f t="shared" si="1"/>
        <v>[0,</v>
      </c>
      <c r="C31" s="70" t="str">
        <f t="shared" si="4"/>
        <v>0,</v>
      </c>
      <c r="D31" s="70" t="str">
        <f t="shared" si="4"/>
        <v>0,</v>
      </c>
      <c r="E31" s="70" t="str">
        <f t="shared" si="4"/>
        <v>0,</v>
      </c>
      <c r="F31" s="70" t="str">
        <f t="shared" si="4"/>
        <v>0,</v>
      </c>
      <c r="G31" s="70" t="str">
        <f t="shared" si="4"/>
        <v>0,</v>
      </c>
      <c r="H31" s="70" t="str">
        <f t="shared" si="4"/>
        <v>0,</v>
      </c>
      <c r="I31" s="70" t="str">
        <f t="shared" si="4"/>
        <v>0,</v>
      </c>
      <c r="J31" s="70" t="str">
        <f t="shared" si="4"/>
        <v>0,</v>
      </c>
      <c r="K31" s="70" t="str">
        <f t="shared" si="4"/>
        <v>0,</v>
      </c>
      <c r="L31" s="70" t="str">
        <f t="shared" si="4"/>
        <v>0,</v>
      </c>
      <c r="M31" s="70" t="str">
        <f t="shared" si="4"/>
        <v>0,</v>
      </c>
      <c r="N31" s="70" t="str">
        <f t="shared" si="4"/>
        <v>0,</v>
      </c>
      <c r="O31" s="70" t="str">
        <f t="shared" si="4"/>
        <v>0,</v>
      </c>
      <c r="P31" s="70" t="str">
        <f t="shared" si="4"/>
        <v>0,</v>
      </c>
      <c r="Q31" s="70" t="str">
        <f t="shared" si="4"/>
        <v>0,</v>
      </c>
      <c r="R31" s="70" t="str">
        <f t="shared" si="4"/>
        <v>320876850,</v>
      </c>
      <c r="S31" s="70" t="str">
        <f t="shared" si="4"/>
        <v>459080986,</v>
      </c>
      <c r="T31" s="70" t="str">
        <f t="shared" si="4"/>
        <v>455559619,</v>
      </c>
      <c r="U31" s="70" t="str">
        <f t="shared" si="4"/>
        <v>463818185,</v>
      </c>
      <c r="V31" s="70" t="str">
        <f t="shared" si="4"/>
        <v>445823504,</v>
      </c>
      <c r="W31" s="70" t="str">
        <f t="shared" si="4"/>
        <v>438402962,</v>
      </c>
      <c r="X31" s="70" t="str">
        <f t="shared" si="4"/>
        <v>470271315,</v>
      </c>
      <c r="Y31" s="70" t="str">
        <f t="shared" si="3"/>
        <v>477813507]</v>
      </c>
    </row>
    <row r="32" spans="1:25" x14ac:dyDescent="0.25">
      <c r="A32" s="7" t="s">
        <v>5</v>
      </c>
      <c r="B32" s="70" t="str">
        <f t="shared" si="1"/>
        <v>[0,</v>
      </c>
      <c r="C32" s="70" t="str">
        <f t="shared" si="4"/>
        <v>0,</v>
      </c>
      <c r="D32" s="70" t="str">
        <f t="shared" si="4"/>
        <v>0,</v>
      </c>
      <c r="E32" s="70" t="str">
        <f t="shared" si="4"/>
        <v>0,</v>
      </c>
      <c r="F32" s="70" t="str">
        <f t="shared" si="4"/>
        <v>0,</v>
      </c>
      <c r="G32" s="70" t="str">
        <f t="shared" si="4"/>
        <v>0,</v>
      </c>
      <c r="H32" s="70" t="str">
        <f t="shared" si="4"/>
        <v>0,</v>
      </c>
      <c r="I32" s="70" t="str">
        <f t="shared" si="4"/>
        <v>0,</v>
      </c>
      <c r="J32" s="70" t="str">
        <f t="shared" si="4"/>
        <v>9437,</v>
      </c>
      <c r="K32" s="70" t="str">
        <f t="shared" si="4"/>
        <v>15033,</v>
      </c>
      <c r="L32" s="70" t="str">
        <f t="shared" si="4"/>
        <v>7008,</v>
      </c>
      <c r="M32" s="70" t="str">
        <f t="shared" si="4"/>
        <v>15318,</v>
      </c>
      <c r="N32" s="70" t="str">
        <f t="shared" si="4"/>
        <v>60837,</v>
      </c>
      <c r="O32" s="70" t="str">
        <f t="shared" si="4"/>
        <v>181341,</v>
      </c>
      <c r="P32" s="70" t="str">
        <f t="shared" si="4"/>
        <v>349925,</v>
      </c>
      <c r="Q32" s="70" t="str">
        <f t="shared" si="4"/>
        <v>514654,</v>
      </c>
      <c r="R32" s="70" t="str">
        <f t="shared" si="4"/>
        <v>1545657,</v>
      </c>
      <c r="S32" s="70" t="str">
        <f t="shared" si="4"/>
        <v>2487801,</v>
      </c>
      <c r="T32" s="70" t="str">
        <f t="shared" si="4"/>
        <v>6959717,</v>
      </c>
      <c r="U32" s="70" t="str">
        <f t="shared" si="4"/>
        <v>10275961,</v>
      </c>
      <c r="V32" s="70" t="str">
        <f t="shared" si="4"/>
        <v>12011982,</v>
      </c>
      <c r="W32" s="70" t="str">
        <f t="shared" si="4"/>
        <v>18988210,</v>
      </c>
      <c r="X32" s="70" t="str">
        <f t="shared" si="4"/>
        <v>18779835,</v>
      </c>
      <c r="Y32" s="70" t="str">
        <f t="shared" si="3"/>
        <v>27459977]</v>
      </c>
    </row>
    <row r="33" spans="1:25" x14ac:dyDescent="0.25">
      <c r="A33" s="7" t="s">
        <v>78</v>
      </c>
      <c r="B33" s="70" t="str">
        <f t="shared" si="1"/>
        <v>[20888758,</v>
      </c>
      <c r="C33" s="70" t="str">
        <f t="shared" si="4"/>
        <v>23446088,</v>
      </c>
      <c r="D33" s="70" t="str">
        <f t="shared" si="4"/>
        <v>67753163,</v>
      </c>
      <c r="E33" s="70" t="str">
        <f t="shared" si="4"/>
        <v>74823327,</v>
      </c>
      <c r="F33" s="70" t="str">
        <f t="shared" si="4"/>
        <v>82156425,</v>
      </c>
      <c r="G33" s="70" t="str">
        <f t="shared" si="4"/>
        <v>85718420,</v>
      </c>
      <c r="H33" s="70" t="str">
        <f t="shared" si="4"/>
        <v>83892403,</v>
      </c>
      <c r="I33" s="70" t="str">
        <f t="shared" si="4"/>
        <v>85888544,</v>
      </c>
      <c r="J33" s="70" t="str">
        <f t="shared" si="4"/>
        <v>102825622,</v>
      </c>
      <c r="K33" s="70" t="str">
        <f t="shared" si="4"/>
        <v>115113934,</v>
      </c>
      <c r="L33" s="70" t="str">
        <f t="shared" si="4"/>
        <v>110872800,</v>
      </c>
      <c r="M33" s="70" t="str">
        <f t="shared" si="4"/>
        <v>157250571,</v>
      </c>
      <c r="N33" s="70" t="str">
        <f t="shared" si="4"/>
        <v>123609468,</v>
      </c>
      <c r="O33" s="70" t="str">
        <f t="shared" si="4"/>
        <v>123120222,</v>
      </c>
      <c r="P33" s="70" t="str">
        <f t="shared" si="4"/>
        <v>119703177,</v>
      </c>
      <c r="Q33" s="70" t="str">
        <f t="shared" si="4"/>
        <v>72453270,</v>
      </c>
      <c r="R33" s="70" t="str">
        <f t="shared" si="4"/>
        <v>49638967,</v>
      </c>
      <c r="S33" s="70" t="str">
        <f t="shared" si="4"/>
        <v>52064037,</v>
      </c>
      <c r="T33" s="70" t="str">
        <f t="shared" si="4"/>
        <v>56898910,</v>
      </c>
      <c r="U33" s="70" t="str">
        <f t="shared" si="4"/>
        <v>59897866,</v>
      </c>
      <c r="V33" s="70" t="str">
        <f t="shared" si="4"/>
        <v>60273717,</v>
      </c>
      <c r="W33" s="70" t="str">
        <f t="shared" si="4"/>
        <v>59502552,</v>
      </c>
      <c r="X33" s="70" t="str">
        <f t="shared" si="4"/>
        <v>66824756,</v>
      </c>
      <c r="Y33" s="70" t="str">
        <f t="shared" si="3"/>
        <v>70949629]</v>
      </c>
    </row>
    <row r="34" spans="1:25" x14ac:dyDescent="0.25">
      <c r="A34" s="7" t="s">
        <v>105</v>
      </c>
      <c r="B34" s="70" t="str">
        <f t="shared" si="1"/>
        <v>[804260,</v>
      </c>
      <c r="C34" s="70" t="str">
        <f t="shared" si="4"/>
        <v>814410,</v>
      </c>
      <c r="D34" s="70" t="str">
        <f t="shared" si="4"/>
        <v>791282,</v>
      </c>
      <c r="E34" s="70" t="str">
        <f t="shared" si="4"/>
        <v>745680,</v>
      </c>
      <c r="F34" s="70" t="str">
        <f t="shared" si="4"/>
        <v>797608,</v>
      </c>
      <c r="G34" s="70" t="str">
        <f t="shared" si="4"/>
        <v>793505,</v>
      </c>
      <c r="H34" s="70" t="str">
        <f t="shared" si="4"/>
        <v>807322,</v>
      </c>
      <c r="I34" s="70" t="str">
        <f t="shared" si="4"/>
        <v>15497985,</v>
      </c>
      <c r="J34" s="70" t="str">
        <f t="shared" si="4"/>
        <v>23015254,</v>
      </c>
      <c r="K34" s="70" t="str">
        <f t="shared" si="4"/>
        <v>29554013,</v>
      </c>
      <c r="L34" s="70" t="str">
        <f t="shared" si="4"/>
        <v>28143333,</v>
      </c>
      <c r="M34" s="70" t="str">
        <f t="shared" si="4"/>
        <v>27963364,</v>
      </c>
      <c r="N34" s="70" t="str">
        <f t="shared" si="4"/>
        <v>287271,</v>
      </c>
      <c r="O34" s="70" t="str">
        <f t="shared" si="4"/>
        <v>295912,</v>
      </c>
      <c r="P34" s="70" t="str">
        <f t="shared" si="4"/>
        <v>313517,</v>
      </c>
      <c r="Q34" s="70" t="str">
        <f t="shared" si="4"/>
        <v>300998,</v>
      </c>
      <c r="R34" s="70" t="str">
        <f t="shared" si="4"/>
        <v>430152,</v>
      </c>
      <c r="S34" s="70" t="str">
        <f t="shared" si="4"/>
        <v>1240330,</v>
      </c>
      <c r="T34" s="70" t="str">
        <f t="shared" si="4"/>
        <v>1797782,</v>
      </c>
      <c r="U34" s="70" t="str">
        <f t="shared" si="4"/>
        <v>1041960,</v>
      </c>
      <c r="V34" s="70" t="str">
        <f t="shared" si="4"/>
        <v>903156,</v>
      </c>
      <c r="W34" s="70" t="str">
        <f t="shared" si="4"/>
        <v>927638,</v>
      </c>
      <c r="X34" s="70" t="str">
        <f t="shared" si="4"/>
        <v>777067,</v>
      </c>
      <c r="Y34" s="70" t="str">
        <f t="shared" si="3"/>
        <v>630153]</v>
      </c>
    </row>
    <row r="35" spans="1:25" x14ac:dyDescent="0.25">
      <c r="A35" s="7" t="s">
        <v>161</v>
      </c>
      <c r="B35" s="70" t="str">
        <f t="shared" si="1"/>
        <v>[0,</v>
      </c>
      <c r="C35" s="70" t="str">
        <f t="shared" si="4"/>
        <v>0,</v>
      </c>
      <c r="D35" s="70" t="str">
        <f t="shared" si="4"/>
        <v>0,</v>
      </c>
      <c r="E35" s="70" t="str">
        <f t="shared" si="4"/>
        <v>0,</v>
      </c>
      <c r="F35" s="70" t="str">
        <f t="shared" si="4"/>
        <v>0,</v>
      </c>
      <c r="G35" s="70" t="str">
        <f t="shared" si="4"/>
        <v>0,</v>
      </c>
      <c r="H35" s="70" t="str">
        <f t="shared" si="4"/>
        <v>3029896,</v>
      </c>
      <c r="I35" s="70" t="str">
        <f t="shared" si="4"/>
        <v>7758596,</v>
      </c>
      <c r="J35" s="70" t="str">
        <f t="shared" si="4"/>
        <v>1545856,</v>
      </c>
      <c r="K35" s="70" t="str">
        <f t="shared" si="4"/>
        <v>4340800,</v>
      </c>
      <c r="L35" s="70" t="str">
        <f t="shared" si="4"/>
        <v>3509131,</v>
      </c>
      <c r="M35" s="70" t="str">
        <f t="shared" si="4"/>
        <v>5934021,</v>
      </c>
      <c r="N35" s="70" t="str">
        <f t="shared" si="4"/>
        <v>11771289,</v>
      </c>
      <c r="O35" s="70" t="str">
        <f t="shared" si="4"/>
        <v>21235066,</v>
      </c>
      <c r="P35" s="70" t="str">
        <f t="shared" si="4"/>
        <v>35141119,</v>
      </c>
      <c r="Q35" s="70" t="str">
        <f t="shared" si="4"/>
        <v>44497769,</v>
      </c>
      <c r="R35" s="70" t="str">
        <f t="shared" si="4"/>
        <v>55341924,</v>
      </c>
      <c r="S35" s="70" t="str">
        <f t="shared" si="4"/>
        <v>66664537,</v>
      </c>
      <c r="T35" s="70" t="str">
        <f t="shared" si="4"/>
        <v>93092909,</v>
      </c>
      <c r="U35" s="70" t="str">
        <f t="shared" si="4"/>
        <v>126525666,</v>
      </c>
      <c r="V35" s="70" t="str">
        <f t="shared" si="4"/>
        <v>142261312,</v>
      </c>
      <c r="W35" s="70" t="str">
        <f t="shared" si="4"/>
        <v>142479003,</v>
      </c>
      <c r="X35" s="70" t="str">
        <f t="shared" si="4"/>
        <v>166422083,</v>
      </c>
      <c r="Y35" s="70" t="str">
        <f t="shared" si="3"/>
        <v>173751395]</v>
      </c>
    </row>
    <row r="36" spans="1:25" x14ac:dyDescent="0.25">
      <c r="A36" s="7" t="s">
        <v>6</v>
      </c>
      <c r="B36" s="70" t="str">
        <f t="shared" si="1"/>
        <v>[0,</v>
      </c>
      <c r="C36" s="70" t="str">
        <f t="shared" si="4"/>
        <v>0,</v>
      </c>
      <c r="D36" s="70" t="str">
        <f t="shared" si="4"/>
        <v>0,</v>
      </c>
      <c r="E36" s="70" t="str">
        <f t="shared" si="4"/>
        <v>0,</v>
      </c>
      <c r="F36" s="70" t="str">
        <f t="shared" si="4"/>
        <v>0,</v>
      </c>
      <c r="G36" s="70" t="str">
        <f t="shared" si="4"/>
        <v>0,</v>
      </c>
      <c r="H36" s="70" t="str">
        <f t="shared" si="4"/>
        <v>0,</v>
      </c>
      <c r="I36" s="70" t="str">
        <f t="shared" si="4"/>
        <v>6301,</v>
      </c>
      <c r="J36" s="70" t="str">
        <f t="shared" si="4"/>
        <v>1716888,</v>
      </c>
      <c r="K36" s="70" t="str">
        <f t="shared" si="4"/>
        <v>1579536,</v>
      </c>
      <c r="L36" s="70" t="str">
        <f t="shared" si="4"/>
        <v>9327524,</v>
      </c>
      <c r="M36" s="70" t="str">
        <f t="shared" si="4"/>
        <v>23147609,</v>
      </c>
      <c r="N36" s="70" t="str">
        <f t="shared" si="4"/>
        <v>41170015,</v>
      </c>
      <c r="O36" s="70" t="str">
        <f t="shared" si="4"/>
        <v>66222136,</v>
      </c>
      <c r="P36" s="70" t="str">
        <f t="shared" si="4"/>
        <v>89756384,</v>
      </c>
      <c r="Q36" s="70" t="str">
        <f t="shared" si="4"/>
        <v>107603981,</v>
      </c>
      <c r="R36" s="70" t="str">
        <f t="shared" si="4"/>
        <v>127327221,</v>
      </c>
      <c r="S36" s="70" t="str">
        <f t="shared" si="4"/>
        <v>136528866,</v>
      </c>
      <c r="T36" s="70" t="str">
        <f t="shared" si="4"/>
        <v>145562505,</v>
      </c>
      <c r="U36" s="70" t="str">
        <f t="shared" si="4"/>
        <v>141811833,</v>
      </c>
      <c r="V36" s="70" t="str">
        <f t="shared" si="4"/>
        <v>160800233,</v>
      </c>
      <c r="W36" s="70" t="str">
        <f t="shared" si="4"/>
        <v>186996097,</v>
      </c>
      <c r="X36" s="70" t="str">
        <f t="shared" si="4"/>
        <v>209165466,</v>
      </c>
      <c r="Y36" s="70" t="str">
        <f t="shared" si="3"/>
        <v>205938451]</v>
      </c>
    </row>
    <row r="38" spans="1:25" x14ac:dyDescent="0.25">
      <c r="A38" s="7" t="s">
        <v>139</v>
      </c>
      <c r="B38" s="70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0" t="str">
        <f t="shared" ref="B39:B54" si="5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0" t="str">
        <f t="shared" si="5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0" t="str">
        <f t="shared" si="5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0" t="str">
        <f t="shared" si="5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0" t="str">
        <f t="shared" si="5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0" t="str">
        <f t="shared" si="5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0" t="str">
        <f t="shared" si="5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0" t="str">
        <f t="shared" si="5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0" t="str">
        <f t="shared" si="5"/>
        <v>[77148,78898,77949,0,0,0,0,0,0,0,0,0,0,0,0,14725,213958,0,896286,160010,0,0,0,0],</v>
      </c>
    </row>
    <row r="48" spans="1:25" x14ac:dyDescent="0.25">
      <c r="A48" s="7" t="s">
        <v>79</v>
      </c>
      <c r="B48" s="70" t="str">
        <f t="shared" si="5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0" t="str">
        <f t="shared" si="5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0" t="str">
        <f t="shared" si="5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0" t="str">
        <f t="shared" si="5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0" t="str">
        <f t="shared" si="5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0" t="str">
        <f t="shared" si="5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0" t="str">
        <f t="shared" si="5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0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0" t="str">
        <f t="shared" ref="A57:A72" si="6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0" t="str">
        <f t="shared" si="6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0" t="str">
        <f t="shared" si="6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0" t="str">
        <f t="shared" si="6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0" t="str">
        <f t="shared" si="6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0" t="str">
        <f t="shared" si="6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0" t="str">
        <f t="shared" si="6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0" t="str">
        <f t="shared" si="6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0" t="str">
        <f t="shared" si="6"/>
        <v>"Hexa": [77148,78898,77949,0,0,0,0,0,0,0,0,0,0,0,0,14725,213958,0,896286,160010,0,0,0,0],</v>
      </c>
    </row>
    <row r="66" spans="1:1" x14ac:dyDescent="0.25">
      <c r="A66" s="70" t="str">
        <f t="shared" si="6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0" t="str">
        <f t="shared" si="6"/>
        <v>"OPV": [0,0,0,0,0,0,0,0,0,0,0,0,0,0,0,0,320876850,459080986,455559619,463818185,445823504,438402962,470271315,477813507],</v>
      </c>
    </row>
    <row r="68" spans="1:1" x14ac:dyDescent="0.25">
      <c r="A68" s="70" t="str">
        <f t="shared" si="6"/>
        <v>"HPV": [0,0,0,0,0,0,0,0,9437,15033,7008,15318,60837,181341,349925,514654,1545657,2487801,6959717,10275961,12011982,18988210,18779835,27459977],</v>
      </c>
    </row>
    <row r="69" spans="1:1" x14ac:dyDescent="0.25">
      <c r="A69" s="70" t="str">
        <f t="shared" si="6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0" t="str">
        <f t="shared" si="6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0" t="str">
        <f t="shared" si="6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0" t="str">
        <f t="shared" si="6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0" t="str">
        <f t="shared" ref="A74:A90" si="7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0" t="str">
        <f t="shared" si="7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0" t="str">
        <f t="shared" si="7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0" t="str">
        <f t="shared" si="7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0" t="str">
        <f t="shared" si="7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0" t="str">
        <f t="shared" si="7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0" t="str">
        <f t="shared" si="7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0" t="str">
        <f t="shared" si="7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0" t="str">
        <f t="shared" si="7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0" t="str">
        <f t="shared" si="7"/>
        <v xml:space="preserve">"Hexa": [77148,78898,77949,0,0,0,0,0,0,0,0,0,0,0,0,14725,213958,0,896286,160010,0,0,0,0],: </v>
      </c>
    </row>
    <row r="84" spans="1:10" x14ac:dyDescent="0.25">
      <c r="A84" s="70" t="str">
        <f t="shared" si="7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0" t="str">
        <f t="shared" si="7"/>
        <v xml:space="preserve">"OPV": [0,0,0,0,0,0,0,0,0,0,0,0,0,0,0,0,320876850,459080986,455559619,463818185,445823504,438402962,470271315,477813507],: </v>
      </c>
    </row>
    <row r="86" spans="1:10" x14ac:dyDescent="0.25">
      <c r="A86" s="70" t="str">
        <f t="shared" si="7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0" t="str">
        <f t="shared" si="7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0" t="str">
        <f t="shared" si="7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0" t="str">
        <f t="shared" si="7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0" t="str">
        <f t="shared" si="7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0" t="s">
        <v>182</v>
      </c>
      <c r="D92" s="70" t="s">
        <v>183</v>
      </c>
      <c r="F92" s="70" t="s">
        <v>184</v>
      </c>
      <c r="H92" s="70" t="s">
        <v>185</v>
      </c>
    </row>
    <row r="93" spans="1:10" ht="105" x14ac:dyDescent="0.25">
      <c r="A93" s="7" t="s">
        <v>139</v>
      </c>
      <c r="B93" s="72">
        <v>4.4603111896922398E-2</v>
      </c>
      <c r="C93" s="7" t="s">
        <v>139</v>
      </c>
      <c r="D93" s="72">
        <v>4.4603111896922398E-2</v>
      </c>
      <c r="E93" s="7" t="s">
        <v>86</v>
      </c>
      <c r="F93" s="72">
        <v>2.8222915579930501E-2</v>
      </c>
      <c r="G93" s="7" t="s">
        <v>5</v>
      </c>
      <c r="H93" s="73">
        <v>0.566218725991401</v>
      </c>
      <c r="J93" s="75" t="s">
        <v>186</v>
      </c>
    </row>
    <row r="94" spans="1:10" x14ac:dyDescent="0.25">
      <c r="A94" s="7" t="s">
        <v>82</v>
      </c>
      <c r="B94" s="73">
        <v>0.60176670378566299</v>
      </c>
      <c r="C94" s="7" t="s">
        <v>82</v>
      </c>
      <c r="D94" s="73">
        <v>0.60176670378566299</v>
      </c>
      <c r="E94" s="7" t="s">
        <v>84</v>
      </c>
      <c r="F94" s="73">
        <v>0.52495778815762095</v>
      </c>
      <c r="G94" s="7" t="s">
        <v>161</v>
      </c>
      <c r="H94" s="74">
        <v>0.78385614450002705</v>
      </c>
    </row>
    <row r="95" spans="1:10" x14ac:dyDescent="0.25">
      <c r="A95" s="7" t="s">
        <v>7</v>
      </c>
      <c r="B95" s="72">
        <v>3.5671476343220798E-3</v>
      </c>
      <c r="C95" s="7" t="s">
        <v>7</v>
      </c>
      <c r="D95" s="72">
        <v>3.5671476343220798E-3</v>
      </c>
      <c r="E95" s="7" t="s">
        <v>73</v>
      </c>
      <c r="F95" s="73">
        <v>0.658732446387158</v>
      </c>
      <c r="G95" s="7" t="s">
        <v>6</v>
      </c>
      <c r="H95" s="74">
        <v>0.88316128259450699</v>
      </c>
      <c r="J95" s="70" t="s">
        <v>187</v>
      </c>
    </row>
    <row r="96" spans="1:10" x14ac:dyDescent="0.25">
      <c r="A96" s="7" t="s">
        <v>86</v>
      </c>
      <c r="B96" s="72">
        <v>2.8222915579930501E-2</v>
      </c>
      <c r="E96" s="7" t="s">
        <v>74</v>
      </c>
      <c r="F96" s="74">
        <v>0.92235049618967202</v>
      </c>
    </row>
    <row r="97" spans="1:6" x14ac:dyDescent="0.25">
      <c r="A97" s="7" t="s">
        <v>84</v>
      </c>
      <c r="B97" s="73">
        <v>0.52495778815762095</v>
      </c>
      <c r="E97" s="7" t="s">
        <v>77</v>
      </c>
      <c r="F97" s="72">
        <v>3.55220047548402E-2</v>
      </c>
    </row>
    <row r="98" spans="1:6" x14ac:dyDescent="0.25">
      <c r="A98" s="7" t="s">
        <v>73</v>
      </c>
      <c r="B98" s="73">
        <v>0.658732446387158</v>
      </c>
      <c r="E98" s="7" t="s">
        <v>1</v>
      </c>
      <c r="F98" s="74">
        <v>0.94736317707128803</v>
      </c>
    </row>
    <row r="99" spans="1:6" x14ac:dyDescent="0.25">
      <c r="A99" s="7" t="s">
        <v>74</v>
      </c>
      <c r="B99" s="74">
        <v>0.92235049618967202</v>
      </c>
      <c r="E99" s="7" t="s">
        <v>142</v>
      </c>
      <c r="F99" s="72">
        <v>3.40198639357304E-2</v>
      </c>
    </row>
    <row r="100" spans="1:6" x14ac:dyDescent="0.25">
      <c r="A100" s="7" t="s">
        <v>77</v>
      </c>
      <c r="B100" s="72">
        <v>3.55220047548402E-2</v>
      </c>
      <c r="E100" s="7" t="s">
        <v>79</v>
      </c>
      <c r="F100" s="74">
        <v>0.71135552976522598</v>
      </c>
    </row>
    <row r="101" spans="1:6" x14ac:dyDescent="0.25">
      <c r="A101" s="7" t="s">
        <v>1</v>
      </c>
      <c r="B101" s="74">
        <v>0.94736317707128803</v>
      </c>
      <c r="E101" s="7" t="s">
        <v>175</v>
      </c>
      <c r="F101" s="73">
        <v>0.68208483127570896</v>
      </c>
    </row>
    <row r="102" spans="1:6" x14ac:dyDescent="0.25">
      <c r="A102" s="7" t="s">
        <v>142</v>
      </c>
      <c r="B102" s="72">
        <v>3.40198639357304E-2</v>
      </c>
      <c r="E102" s="7" t="s">
        <v>78</v>
      </c>
      <c r="F102" s="72">
        <v>6.62294170170607E-5</v>
      </c>
    </row>
    <row r="103" spans="1:6" x14ac:dyDescent="0.25">
      <c r="A103" s="7" t="s">
        <v>79</v>
      </c>
      <c r="B103" s="74">
        <v>0.71135552976522598</v>
      </c>
      <c r="E103" s="7" t="s">
        <v>105</v>
      </c>
      <c r="F103" s="72">
        <v>2.51408842676289E-2</v>
      </c>
    </row>
    <row r="104" spans="1:6" x14ac:dyDescent="0.25">
      <c r="A104" s="7" t="s">
        <v>175</v>
      </c>
      <c r="B104" s="73">
        <v>0.68208483127570896</v>
      </c>
    </row>
    <row r="105" spans="1:6" x14ac:dyDescent="0.25">
      <c r="A105" s="7" t="s">
        <v>78</v>
      </c>
      <c r="B105" s="72">
        <v>6.62294170170607E-5</v>
      </c>
    </row>
    <row r="106" spans="1:6" x14ac:dyDescent="0.25">
      <c r="A106" s="7" t="s">
        <v>105</v>
      </c>
      <c r="B106" s="72">
        <v>2.51408842676289E-2</v>
      </c>
    </row>
    <row r="107" spans="1:6" x14ac:dyDescent="0.25">
      <c r="A107" s="7" t="s">
        <v>5</v>
      </c>
      <c r="B107" s="73">
        <v>0.566218725991401</v>
      </c>
    </row>
    <row r="108" spans="1:6" x14ac:dyDescent="0.25">
      <c r="A108" s="7" t="s">
        <v>161</v>
      </c>
      <c r="B108" s="74">
        <v>0.78385614450002705</v>
      </c>
    </row>
    <row r="109" spans="1:6" x14ac:dyDescent="0.25">
      <c r="A109" s="7" t="s">
        <v>6</v>
      </c>
      <c r="B109" s="74">
        <v>0.88316128259450699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FA8E-06C2-4975-AAF4-172A7FB3A152}">
  <dimension ref="A1:Y110"/>
  <sheetViews>
    <sheetView topLeftCell="A93" workbookViewId="0">
      <selection activeCell="J102" sqref="J102"/>
    </sheetView>
  </sheetViews>
  <sheetFormatPr defaultRowHeight="15" x14ac:dyDescent="0.25"/>
  <cols>
    <col min="1" max="1" width="9" style="70" bestFit="1" customWidth="1"/>
    <col min="2" max="9" width="14.7109375" style="70" bestFit="1" customWidth="1"/>
    <col min="10" max="10" width="76.42578125" style="70" customWidth="1"/>
    <col min="11" max="25" width="14.7109375" style="70" bestFit="1" customWidth="1"/>
  </cols>
  <sheetData>
    <row r="1" spans="1:25" x14ac:dyDescent="0.25">
      <c r="A1"/>
      <c r="B1" s="70">
        <v>2000</v>
      </c>
      <c r="C1" s="70">
        <v>2001</v>
      </c>
      <c r="D1" s="70">
        <v>2002</v>
      </c>
      <c r="E1" s="70">
        <v>2003</v>
      </c>
      <c r="F1" s="70">
        <v>2004</v>
      </c>
      <c r="G1" s="70">
        <v>2005</v>
      </c>
      <c r="H1" s="70">
        <v>2006</v>
      </c>
      <c r="I1" s="70">
        <v>2007</v>
      </c>
      <c r="J1" s="70">
        <v>2008</v>
      </c>
      <c r="K1" s="70">
        <v>2009</v>
      </c>
      <c r="L1" s="70">
        <v>2010</v>
      </c>
      <c r="M1" s="70">
        <v>2011</v>
      </c>
      <c r="N1" s="70">
        <v>2012</v>
      </c>
      <c r="O1" s="70">
        <v>2013</v>
      </c>
      <c r="P1" s="70">
        <v>2014</v>
      </c>
      <c r="Q1" s="70">
        <v>2015</v>
      </c>
      <c r="R1" s="70">
        <v>2016</v>
      </c>
      <c r="S1" s="70">
        <v>2017</v>
      </c>
      <c r="T1" s="70">
        <v>2018</v>
      </c>
      <c r="U1" s="70">
        <v>2019</v>
      </c>
      <c r="V1" s="70">
        <v>2020</v>
      </c>
      <c r="W1" s="70">
        <v>2021</v>
      </c>
      <c r="X1" s="70">
        <v>2022</v>
      </c>
      <c r="Y1" s="70">
        <v>2023</v>
      </c>
    </row>
    <row r="2" spans="1:25" x14ac:dyDescent="0.25">
      <c r="A2" s="7" t="s">
        <v>139</v>
      </c>
      <c r="B2" s="71">
        <v>78580259.047222212</v>
      </c>
      <c r="C2" s="71">
        <v>11428.56</v>
      </c>
      <c r="D2" s="71">
        <v>10932.726315789474</v>
      </c>
      <c r="E2" s="71">
        <v>10567.572631578949</v>
      </c>
      <c r="F2" s="71">
        <v>10631.53705263158</v>
      </c>
      <c r="G2" s="71">
        <v>10866.430184210529</v>
      </c>
      <c r="H2" s="71">
        <v>11173.116684210527</v>
      </c>
      <c r="I2" s="71">
        <v>11270.145</v>
      </c>
      <c r="J2" s="71">
        <v>11244.154263157896</v>
      </c>
      <c r="K2" s="71">
        <v>0</v>
      </c>
      <c r="L2" s="71">
        <v>17696390.555555556</v>
      </c>
      <c r="M2" s="71">
        <v>17721467.777777776</v>
      </c>
      <c r="N2" s="71">
        <v>8703411.1111111119</v>
      </c>
      <c r="O2" s="71">
        <v>26868697.555555556</v>
      </c>
      <c r="P2" s="71">
        <v>28597586.077777781</v>
      </c>
      <c r="Q2" s="71">
        <v>31745852.630994152</v>
      </c>
      <c r="R2" s="71">
        <v>19409700.474853802</v>
      </c>
      <c r="S2" s="71">
        <v>36511823.612777777</v>
      </c>
      <c r="T2" s="71">
        <v>18347408.858788889</v>
      </c>
      <c r="U2" s="71">
        <v>14873766.081756432</v>
      </c>
      <c r="V2" s="71">
        <v>9862745.0719649121</v>
      </c>
      <c r="W2" s="71">
        <v>14777182.228013158</v>
      </c>
      <c r="X2" s="71">
        <v>37949221.241086259</v>
      </c>
      <c r="Y2" s="71">
        <v>17547795.842103511</v>
      </c>
    </row>
    <row r="3" spans="1:25" x14ac:dyDescent="0.25">
      <c r="A3" s="7" t="s">
        <v>82</v>
      </c>
      <c r="B3" s="71">
        <v>16708549.179678362</v>
      </c>
      <c r="C3" s="71">
        <v>16708884.350394737</v>
      </c>
      <c r="D3" s="71">
        <v>16621239.041359648</v>
      </c>
      <c r="E3" s="71">
        <v>16912298.703333337</v>
      </c>
      <c r="F3" s="71">
        <v>17990792.786473684</v>
      </c>
      <c r="G3" s="71">
        <v>32224595.057609651</v>
      </c>
      <c r="H3" s="71">
        <v>36010295.660687134</v>
      </c>
      <c r="I3" s="71">
        <v>35638478.889780708</v>
      </c>
      <c r="J3" s="71">
        <v>21093263.448026314</v>
      </c>
      <c r="K3" s="71">
        <v>22353124.59600877</v>
      </c>
      <c r="L3" s="71">
        <v>22384691.346491225</v>
      </c>
      <c r="M3" s="71">
        <v>21083590.427631583</v>
      </c>
      <c r="N3" s="71">
        <v>4248060.8244444449</v>
      </c>
      <c r="O3" s="71">
        <v>15084549.272055555</v>
      </c>
      <c r="P3" s="71">
        <v>24102254.030939683</v>
      </c>
      <c r="Q3" s="71">
        <v>101868384.09515873</v>
      </c>
      <c r="R3" s="71">
        <v>89505897.242817461</v>
      </c>
      <c r="S3" s="71">
        <v>166340120.54050559</v>
      </c>
      <c r="T3" s="71">
        <v>410169950.20542622</v>
      </c>
      <c r="U3" s="71">
        <v>332425433.06345028</v>
      </c>
      <c r="V3" s="71">
        <v>194291046.87632623</v>
      </c>
      <c r="W3" s="71">
        <v>331279149.4189564</v>
      </c>
      <c r="X3" s="71">
        <v>227385022.03396031</v>
      </c>
      <c r="Y3" s="71">
        <v>278835990.6812675</v>
      </c>
    </row>
    <row r="4" spans="1:25" x14ac:dyDescent="0.25">
      <c r="A4" s="7" t="s">
        <v>7</v>
      </c>
      <c r="B4" s="71">
        <v>14895546.665213035</v>
      </c>
      <c r="C4" s="71">
        <v>15916936.7598325</v>
      </c>
      <c r="D4" s="71">
        <v>16440302.312529236</v>
      </c>
      <c r="E4" s="71">
        <v>17051794.304503344</v>
      </c>
      <c r="F4" s="71">
        <v>25753121.473489977</v>
      </c>
      <c r="G4" s="71">
        <v>26516485.200317882</v>
      </c>
      <c r="H4" s="71">
        <v>28053836.320973262</v>
      </c>
      <c r="I4" s="71">
        <v>27963867.296271931</v>
      </c>
      <c r="J4" s="71">
        <v>39454388.755779035</v>
      </c>
      <c r="K4" s="71">
        <v>41213108.991875514</v>
      </c>
      <c r="L4" s="71">
        <v>42926745.29106307</v>
      </c>
      <c r="M4" s="71">
        <v>42885186.713556819</v>
      </c>
      <c r="N4" s="71">
        <v>22148782.495467838</v>
      </c>
      <c r="O4" s="71">
        <v>22105642.148086883</v>
      </c>
      <c r="P4" s="71">
        <v>19837776.942030076</v>
      </c>
      <c r="Q4" s="71">
        <v>26434484.64704261</v>
      </c>
      <c r="R4" s="71">
        <v>20737738.80000627</v>
      </c>
      <c r="S4" s="71">
        <v>20303125.537451964</v>
      </c>
      <c r="T4" s="71">
        <v>23934204.520910822</v>
      </c>
      <c r="U4" s="71">
        <v>21792972.342667714</v>
      </c>
      <c r="V4" s="71">
        <v>18694959.626677111</v>
      </c>
      <c r="W4" s="71">
        <v>26052155.976207186</v>
      </c>
      <c r="X4" s="71">
        <v>26626398.679317039</v>
      </c>
      <c r="Y4" s="71">
        <v>25785425.000522137</v>
      </c>
    </row>
    <row r="5" spans="1:25" x14ac:dyDescent="0.25">
      <c r="A5" s="7" t="s">
        <v>86</v>
      </c>
      <c r="B5" s="71">
        <v>78159428.70084165</v>
      </c>
      <c r="C5" s="71">
        <v>79754932.221154869</v>
      </c>
      <c r="D5" s="71">
        <v>82572071.930308357</v>
      </c>
      <c r="E5" s="71">
        <v>85747371.100018784</v>
      </c>
      <c r="F5" s="71">
        <v>88823501.799946755</v>
      </c>
      <c r="G5" s="71">
        <v>90980825.641051829</v>
      </c>
      <c r="H5" s="71">
        <v>93434224.750214219</v>
      </c>
      <c r="I5" s="71">
        <v>98105257.648446709</v>
      </c>
      <c r="J5" s="71">
        <v>101078445.76415768</v>
      </c>
      <c r="K5" s="71">
        <v>104582797.03656946</v>
      </c>
      <c r="L5" s="71">
        <v>105776184.51721099</v>
      </c>
      <c r="M5" s="71">
        <v>135372840.88102099</v>
      </c>
      <c r="N5" s="71">
        <v>148582723.54941028</v>
      </c>
      <c r="O5" s="71">
        <v>164282756.196031</v>
      </c>
      <c r="P5" s="71">
        <v>173551045.36105618</v>
      </c>
      <c r="Q5" s="71">
        <v>177885694.95791954</v>
      </c>
      <c r="R5" s="71">
        <v>149831513.85508409</v>
      </c>
      <c r="S5" s="71">
        <v>186085427.29991889</v>
      </c>
      <c r="T5" s="71">
        <v>164768260.88476095</v>
      </c>
      <c r="U5" s="71">
        <v>42499759.782201052</v>
      </c>
      <c r="V5" s="71">
        <v>10518907.671401918</v>
      </c>
      <c r="W5" s="71">
        <v>7180030.7496517412</v>
      </c>
      <c r="X5" s="71">
        <v>6811039.7848258708</v>
      </c>
      <c r="Y5" s="71">
        <v>6823077.7507462688</v>
      </c>
    </row>
    <row r="6" spans="1:25" x14ac:dyDescent="0.25">
      <c r="A6" s="7" t="s">
        <v>84</v>
      </c>
      <c r="B6" s="71">
        <v>50764265.476614729</v>
      </c>
      <c r="C6" s="71">
        <v>50774337.539247289</v>
      </c>
      <c r="D6" s="71">
        <v>50335231.889878154</v>
      </c>
      <c r="E6" s="71">
        <v>52856121.30412057</v>
      </c>
      <c r="F6" s="71">
        <v>69969918.250373557</v>
      </c>
      <c r="G6" s="71">
        <v>68257614.967450723</v>
      </c>
      <c r="H6" s="71">
        <v>54723842.706776053</v>
      </c>
      <c r="I6" s="71">
        <v>53185019.472065121</v>
      </c>
      <c r="J6" s="71">
        <v>38358186.250233114</v>
      </c>
      <c r="K6" s="71">
        <v>36289140.125531644</v>
      </c>
      <c r="L6" s="71">
        <v>31847542.07414145</v>
      </c>
      <c r="M6" s="71">
        <v>29878049.329418853</v>
      </c>
      <c r="N6" s="71">
        <v>27224650.822669961</v>
      </c>
      <c r="O6" s="71">
        <v>28389437.100745611</v>
      </c>
      <c r="P6" s="71">
        <v>29041953.411824565</v>
      </c>
      <c r="Q6" s="71">
        <v>34928665.468587726</v>
      </c>
      <c r="R6" s="71">
        <v>74784905.956905723</v>
      </c>
      <c r="S6" s="71">
        <v>94070115.624735251</v>
      </c>
      <c r="T6" s="71">
        <v>129988736.12009519</v>
      </c>
      <c r="U6" s="71">
        <v>244473057.03895932</v>
      </c>
      <c r="V6" s="71">
        <v>268834027.91079444</v>
      </c>
      <c r="W6" s="71">
        <v>243482508.59073868</v>
      </c>
      <c r="X6" s="71">
        <v>265683552.45220169</v>
      </c>
      <c r="Y6" s="71">
        <v>267449255.31556958</v>
      </c>
    </row>
    <row r="7" spans="1:25" x14ac:dyDescent="0.25">
      <c r="A7" s="7" t="s">
        <v>73</v>
      </c>
      <c r="B7" s="71">
        <v>20923950.020323381</v>
      </c>
      <c r="C7" s="71">
        <v>20532693.853786986</v>
      </c>
      <c r="D7" s="71">
        <v>20111574.529954832</v>
      </c>
      <c r="E7" s="71">
        <v>19392670.084334902</v>
      </c>
      <c r="F7" s="71">
        <v>19054703.122363184</v>
      </c>
      <c r="G7" s="71">
        <v>18693917.72138387</v>
      </c>
      <c r="H7" s="71">
        <v>20305661.86554661</v>
      </c>
      <c r="I7" s="71">
        <v>19916221.87937418</v>
      </c>
      <c r="J7" s="71">
        <v>19937955.877736975</v>
      </c>
      <c r="K7" s="71">
        <v>19825403.520701751</v>
      </c>
      <c r="L7" s="71">
        <v>19155298.849561401</v>
      </c>
      <c r="M7" s="71">
        <v>19326300.843421053</v>
      </c>
      <c r="N7" s="71">
        <v>1956106.5441666669</v>
      </c>
      <c r="O7" s="71">
        <v>1868860.0933333333</v>
      </c>
      <c r="P7" s="71">
        <v>1900870.4433333334</v>
      </c>
      <c r="Q7" s="71">
        <v>1887280.7208333334</v>
      </c>
      <c r="R7" s="71">
        <v>1784486.5525000002</v>
      </c>
      <c r="S7" s="71">
        <v>2200512.6324999998</v>
      </c>
      <c r="T7" s="71">
        <v>2217689.2383333333</v>
      </c>
      <c r="U7" s="71">
        <v>2177787.5541666667</v>
      </c>
      <c r="V7" s="71">
        <v>5062812.0449999999</v>
      </c>
      <c r="W7" s="71">
        <v>6404901.9598684218</v>
      </c>
      <c r="X7" s="71">
        <v>6442339.4954824559</v>
      </c>
      <c r="Y7" s="71">
        <v>6541567.8275000006</v>
      </c>
    </row>
    <row r="8" spans="1:25" x14ac:dyDescent="0.25">
      <c r="A8" s="7" t="s">
        <v>74</v>
      </c>
      <c r="B8" s="71">
        <v>311598814.06162727</v>
      </c>
      <c r="C8" s="71">
        <v>314913212.59057081</v>
      </c>
      <c r="D8" s="71">
        <v>275098221.46512675</v>
      </c>
      <c r="E8" s="71">
        <v>262871459.77782801</v>
      </c>
      <c r="F8" s="71">
        <v>261128636.20449466</v>
      </c>
      <c r="G8" s="71">
        <v>257038004.93187308</v>
      </c>
      <c r="H8" s="71">
        <v>243336949.27765125</v>
      </c>
      <c r="I8" s="71">
        <v>227800791.45995286</v>
      </c>
      <c r="J8" s="71">
        <v>225945393.95778477</v>
      </c>
      <c r="K8" s="71">
        <v>232813533.26876855</v>
      </c>
      <c r="L8" s="71">
        <v>235328125.65923217</v>
      </c>
      <c r="M8" s="71">
        <v>232957520.37821281</v>
      </c>
      <c r="N8" s="71">
        <v>144417830.43723875</v>
      </c>
      <c r="O8" s="71">
        <v>142191816.79626864</v>
      </c>
      <c r="P8" s="71">
        <v>138986007.87026119</v>
      </c>
      <c r="Q8" s="71">
        <v>91307954.436380625</v>
      </c>
      <c r="R8" s="71">
        <v>64954166.940870769</v>
      </c>
      <c r="S8" s="71">
        <v>66630415.072983138</v>
      </c>
      <c r="T8" s="71">
        <v>66455709.460084438</v>
      </c>
      <c r="U8" s="71">
        <v>65876338.938094288</v>
      </c>
      <c r="V8" s="71">
        <v>61511976.258134328</v>
      </c>
      <c r="W8" s="71">
        <v>62054151.5187333</v>
      </c>
      <c r="X8" s="71">
        <v>65413986.955080487</v>
      </c>
      <c r="Y8" s="71">
        <v>65841841.856021188</v>
      </c>
    </row>
    <row r="9" spans="1:25" x14ac:dyDescent="0.25">
      <c r="A9" s="7" t="s">
        <v>77</v>
      </c>
      <c r="B9" s="71">
        <v>4569986.5263157897</v>
      </c>
      <c r="C9" s="71">
        <v>2613786.0340789473</v>
      </c>
      <c r="D9" s="71">
        <v>2314794.7413157895</v>
      </c>
      <c r="E9" s="71">
        <v>4993056.5542105269</v>
      </c>
      <c r="F9" s="71">
        <v>6731549.5777631579</v>
      </c>
      <c r="G9" s="71">
        <v>5829500.5882894741</v>
      </c>
      <c r="H9" s="71">
        <v>2388879.1685526315</v>
      </c>
      <c r="I9" s="71">
        <v>2682333.9976315787</v>
      </c>
      <c r="J9" s="71">
        <v>5503855.038947368</v>
      </c>
      <c r="K9" s="71">
        <v>6149962.5543421051</v>
      </c>
      <c r="L9" s="71">
        <v>2755123.0750000002</v>
      </c>
      <c r="M9" s="71">
        <v>3016433.5149999997</v>
      </c>
      <c r="N9" s="71">
        <v>2770511.5999999996</v>
      </c>
      <c r="O9" s="71">
        <v>2616817.8899999997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2577182.4</v>
      </c>
      <c r="V9" s="71">
        <v>2545600.65</v>
      </c>
      <c r="W9" s="71">
        <v>5826576.9305263162</v>
      </c>
      <c r="X9" s="71">
        <v>5816636.375</v>
      </c>
      <c r="Y9" s="71">
        <v>5854584.8755263165</v>
      </c>
    </row>
    <row r="10" spans="1:25" x14ac:dyDescent="0.25">
      <c r="A10" s="7" t="s">
        <v>1</v>
      </c>
      <c r="B10" s="71">
        <v>5598384.2381578945</v>
      </c>
      <c r="C10" s="71">
        <v>11321282.009342104</v>
      </c>
      <c r="D10" s="71">
        <v>21742186.647105262</v>
      </c>
      <c r="E10" s="71">
        <v>23354085.385394737</v>
      </c>
      <c r="F10" s="71">
        <v>34313913.773947358</v>
      </c>
      <c r="G10" s="71">
        <v>44391889.895394735</v>
      </c>
      <c r="H10" s="71">
        <v>49168454.713947371</v>
      </c>
      <c r="I10" s="71">
        <v>61360525.330131561</v>
      </c>
      <c r="J10" s="71">
        <v>68262550.020394742</v>
      </c>
      <c r="K10" s="71">
        <v>121877662.13407895</v>
      </c>
      <c r="L10" s="71">
        <v>123733296.76793858</v>
      </c>
      <c r="M10" s="71">
        <v>129845141.81893274</v>
      </c>
      <c r="N10" s="71">
        <v>142806746.3986842</v>
      </c>
      <c r="O10" s="71">
        <v>151228547.34372807</v>
      </c>
      <c r="P10" s="71">
        <v>175493078.55431286</v>
      </c>
      <c r="Q10" s="71">
        <v>234133328.25460526</v>
      </c>
      <c r="R10" s="71">
        <v>261276329.46746492</v>
      </c>
      <c r="S10" s="71">
        <v>266757548.93412569</v>
      </c>
      <c r="T10" s="71">
        <v>275438932.44827187</v>
      </c>
      <c r="U10" s="71">
        <v>280161656.13334793</v>
      </c>
      <c r="V10" s="71">
        <v>269016593.68001461</v>
      </c>
      <c r="W10" s="71">
        <v>252782013.30394739</v>
      </c>
      <c r="X10" s="71">
        <v>276183400.32488823</v>
      </c>
      <c r="Y10" s="71">
        <v>280768150.91119456</v>
      </c>
    </row>
    <row r="11" spans="1:25" x14ac:dyDescent="0.25">
      <c r="A11" s="7" t="s">
        <v>142</v>
      </c>
      <c r="B11" s="71">
        <v>77147.621052631584</v>
      </c>
      <c r="C11" s="71">
        <v>78898.436052631587</v>
      </c>
      <c r="D11" s="71">
        <v>77949.259342105273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14724.549928421055</v>
      </c>
      <c r="R11" s="71">
        <v>213958.16491831583</v>
      </c>
      <c r="S11" s="71">
        <v>0</v>
      </c>
      <c r="T11" s="71">
        <v>896285.52631578944</v>
      </c>
      <c r="U11" s="71">
        <v>160009.85263157895</v>
      </c>
      <c r="V11" s="71">
        <v>0</v>
      </c>
      <c r="W11" s="71">
        <v>0</v>
      </c>
      <c r="X11" s="71">
        <v>0</v>
      </c>
      <c r="Y11" s="71">
        <v>0</v>
      </c>
    </row>
    <row r="12" spans="1:25" x14ac:dyDescent="0.25">
      <c r="A12" s="7" t="s">
        <v>79</v>
      </c>
      <c r="B12" s="71">
        <v>0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538568.79999999993</v>
      </c>
      <c r="I12" s="71">
        <v>572237.67999999993</v>
      </c>
      <c r="J12" s="71">
        <v>1564054.0750000002</v>
      </c>
      <c r="K12" s="71">
        <v>1802422.5724999998</v>
      </c>
      <c r="L12" s="71">
        <v>1596326.35</v>
      </c>
      <c r="M12" s="71">
        <v>1432203.1749999998</v>
      </c>
      <c r="N12" s="71">
        <v>1193206.3599999999</v>
      </c>
      <c r="O12" s="71">
        <v>1051750.0339473682</v>
      </c>
      <c r="P12" s="71">
        <v>838163.73810307006</v>
      </c>
      <c r="Q12" s="71">
        <v>14134727.231597047</v>
      </c>
      <c r="R12" s="71">
        <v>45560280.206873044</v>
      </c>
      <c r="S12" s="71">
        <v>51668555.84326534</v>
      </c>
      <c r="T12" s="71">
        <v>65056520.774600595</v>
      </c>
      <c r="U12" s="71">
        <v>82074178.903402403</v>
      </c>
      <c r="V12" s="71">
        <v>79857578.281177551</v>
      </c>
      <c r="W12" s="71">
        <v>83779046.847486719</v>
      </c>
      <c r="X12" s="71">
        <v>111910967.15089689</v>
      </c>
      <c r="Y12" s="71">
        <v>130818258.14145753</v>
      </c>
    </row>
    <row r="13" spans="1:25" x14ac:dyDescent="0.25">
      <c r="A13" s="7" t="s">
        <v>175</v>
      </c>
      <c r="B13" s="71">
        <v>0</v>
      </c>
      <c r="C13" s="71">
        <v>0</v>
      </c>
      <c r="D13" s="71">
        <v>0</v>
      </c>
      <c r="E13" s="71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320876850.3015002</v>
      </c>
      <c r="S13" s="71">
        <v>459080985.56667638</v>
      </c>
      <c r="T13" s="71">
        <v>455559619.02462643</v>
      </c>
      <c r="U13" s="71">
        <v>463818185.3418051</v>
      </c>
      <c r="V13" s="71">
        <v>445823504.48651975</v>
      </c>
      <c r="W13" s="71">
        <v>438402962.04456699</v>
      </c>
      <c r="X13" s="71">
        <v>470271315.11104214</v>
      </c>
      <c r="Y13" s="71">
        <v>477813506.82563323</v>
      </c>
    </row>
    <row r="14" spans="1:25" x14ac:dyDescent="0.25">
      <c r="A14" s="7" t="s">
        <v>5</v>
      </c>
      <c r="B14" s="71">
        <v>0</v>
      </c>
      <c r="C14" s="71">
        <v>0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9436.6315789473701</v>
      </c>
      <c r="K14" s="71">
        <v>15032.895438596493</v>
      </c>
      <c r="L14" s="71">
        <v>7007.8355259009822</v>
      </c>
      <c r="M14" s="71">
        <v>15317.590603642133</v>
      </c>
      <c r="N14" s="71">
        <v>60837.389938961685</v>
      </c>
      <c r="O14" s="71">
        <v>181340.93608095459</v>
      </c>
      <c r="P14" s="71">
        <v>349924.57230215997</v>
      </c>
      <c r="Q14" s="71">
        <v>514653.5207172652</v>
      </c>
      <c r="R14" s="71">
        <v>1545657.2710516718</v>
      </c>
      <c r="S14" s="71">
        <v>2487800.8389640441</v>
      </c>
      <c r="T14" s="71">
        <v>6959716.6980569791</v>
      </c>
      <c r="U14" s="71">
        <v>10275960.501184968</v>
      </c>
      <c r="V14" s="71">
        <v>12011981.852203855</v>
      </c>
      <c r="W14" s="71">
        <v>18988209.721337222</v>
      </c>
      <c r="X14" s="71">
        <v>18779834.86234023</v>
      </c>
      <c r="Y14" s="71">
        <v>27459976.613193259</v>
      </c>
    </row>
    <row r="15" spans="1:25" x14ac:dyDescent="0.25">
      <c r="A15" s="7" t="s">
        <v>78</v>
      </c>
      <c r="B15" s="71">
        <v>20888757.51754386</v>
      </c>
      <c r="C15" s="71">
        <v>23446088.279385965</v>
      </c>
      <c r="D15" s="71">
        <v>67753162.671099514</v>
      </c>
      <c r="E15" s="71">
        <v>74823326.876657188</v>
      </c>
      <c r="F15" s="71">
        <v>82156425.247354388</v>
      </c>
      <c r="G15" s="71">
        <v>85718419.53491953</v>
      </c>
      <c r="H15" s="71">
        <v>83892402.907327384</v>
      </c>
      <c r="I15" s="71">
        <v>85888544.02203387</v>
      </c>
      <c r="J15" s="71">
        <v>102825622.13488758</v>
      </c>
      <c r="K15" s="71">
        <v>115113933.70078091</v>
      </c>
      <c r="L15" s="71">
        <v>110872800.30737072</v>
      </c>
      <c r="M15" s="71">
        <v>157250570.88601673</v>
      </c>
      <c r="N15" s="71">
        <v>123609468.01898211</v>
      </c>
      <c r="O15" s="71">
        <v>123120221.73499703</v>
      </c>
      <c r="P15" s="71">
        <v>119703177.4361579</v>
      </c>
      <c r="Q15" s="71">
        <v>72453269.549125701</v>
      </c>
      <c r="R15" s="71">
        <v>49638967.158254378</v>
      </c>
      <c r="S15" s="71">
        <v>52064037.488535091</v>
      </c>
      <c r="T15" s="71">
        <v>56898909.745938599</v>
      </c>
      <c r="U15" s="71">
        <v>59897866.107681289</v>
      </c>
      <c r="V15" s="71">
        <v>60273716.65505264</v>
      </c>
      <c r="W15" s="71">
        <v>59502552.144086249</v>
      </c>
      <c r="X15" s="71">
        <v>66824756.298947357</v>
      </c>
      <c r="Y15" s="71">
        <v>70949628.8296462</v>
      </c>
    </row>
    <row r="16" spans="1:25" x14ac:dyDescent="0.25">
      <c r="A16" s="7" t="s">
        <v>105</v>
      </c>
      <c r="B16" s="71">
        <v>804259.78947368416</v>
      </c>
      <c r="C16" s="71">
        <v>814409.56736842101</v>
      </c>
      <c r="D16" s="71">
        <v>791281.72789473692</v>
      </c>
      <c r="E16" s="71">
        <v>745679.86605263175</v>
      </c>
      <c r="F16" s="71">
        <v>797608.27776315797</v>
      </c>
      <c r="G16" s="71">
        <v>793505.3601315791</v>
      </c>
      <c r="H16" s="71">
        <v>807322.46184210526</v>
      </c>
      <c r="I16" s="71">
        <v>15497985.037631581</v>
      </c>
      <c r="J16" s="71">
        <v>23015253.727710523</v>
      </c>
      <c r="K16" s="71">
        <v>29554012.882236842</v>
      </c>
      <c r="L16" s="71">
        <v>28143333.279144734</v>
      </c>
      <c r="M16" s="71">
        <v>27963363.659868423</v>
      </c>
      <c r="N16" s="71">
        <v>287270.77894736844</v>
      </c>
      <c r="O16" s="71">
        <v>295912.22842105263</v>
      </c>
      <c r="P16" s="71">
        <v>313516.50986842107</v>
      </c>
      <c r="Q16" s="71">
        <v>300997.51578947366</v>
      </c>
      <c r="R16" s="71">
        <v>430151.70526315796</v>
      </c>
      <c r="S16" s="71">
        <v>1240330.3978947368</v>
      </c>
      <c r="T16" s="71">
        <v>1797781.6965789474</v>
      </c>
      <c r="U16" s="71">
        <v>1041960.3836842106</v>
      </c>
      <c r="V16" s="71">
        <v>903155.61315789458</v>
      </c>
      <c r="W16" s="71">
        <v>927637.83394736843</v>
      </c>
      <c r="X16" s="71">
        <v>777066.97697368416</v>
      </c>
      <c r="Y16" s="71">
        <v>630153.08855263167</v>
      </c>
    </row>
    <row r="17" spans="1:25" x14ac:dyDescent="0.25">
      <c r="A17" s="7" t="s">
        <v>161</v>
      </c>
      <c r="B17" s="71">
        <v>0</v>
      </c>
      <c r="C17" s="71">
        <v>0</v>
      </c>
      <c r="D17" s="71">
        <v>0</v>
      </c>
      <c r="E17" s="71">
        <v>0</v>
      </c>
      <c r="F17" s="71">
        <v>0</v>
      </c>
      <c r="G17" s="71">
        <v>0</v>
      </c>
      <c r="H17" s="71">
        <v>3029895.8736842112</v>
      </c>
      <c r="I17" s="71">
        <v>7758595.6578421062</v>
      </c>
      <c r="J17" s="71">
        <v>1545856.413622807</v>
      </c>
      <c r="K17" s="71">
        <v>4340799.6761578955</v>
      </c>
      <c r="L17" s="71">
        <v>3509131.2852894738</v>
      </c>
      <c r="M17" s="71">
        <v>5934020.7698421059</v>
      </c>
      <c r="N17" s="71">
        <v>11771289.003596492</v>
      </c>
      <c r="O17" s="71">
        <v>21235065.818330705</v>
      </c>
      <c r="P17" s="71">
        <v>35141118.636778519</v>
      </c>
      <c r="Q17" s="71">
        <v>44497769.475822374</v>
      </c>
      <c r="R17" s="71">
        <v>55341923.767780691</v>
      </c>
      <c r="S17" s="71">
        <v>66664536.867978521</v>
      </c>
      <c r="T17" s="71">
        <v>93092909.247318864</v>
      </c>
      <c r="U17" s="71">
        <v>126525666.33989815</v>
      </c>
      <c r="V17" s="71">
        <v>142261312.48049879</v>
      </c>
      <c r="W17" s="71">
        <v>142479003.36778629</v>
      </c>
      <c r="X17" s="71">
        <v>166422082.736177</v>
      </c>
      <c r="Y17" s="71">
        <v>173751395.40052408</v>
      </c>
    </row>
    <row r="18" spans="1:25" x14ac:dyDescent="0.25">
      <c r="A18" s="7" t="s">
        <v>6</v>
      </c>
      <c r="B18" s="71">
        <v>0</v>
      </c>
      <c r="C18" s="71">
        <v>0</v>
      </c>
      <c r="D18" s="71">
        <v>0</v>
      </c>
      <c r="E18" s="71">
        <v>0</v>
      </c>
      <c r="F18" s="71">
        <v>0</v>
      </c>
      <c r="G18" s="71">
        <v>0</v>
      </c>
      <c r="H18" s="71">
        <v>0</v>
      </c>
      <c r="I18" s="71">
        <v>6300.6315789473692</v>
      </c>
      <c r="J18" s="71">
        <v>1716887.879922929</v>
      </c>
      <c r="K18" s="71">
        <v>1579536.4100666936</v>
      </c>
      <c r="L18" s="71">
        <v>9327523.8119436298</v>
      </c>
      <c r="M18" s="71">
        <v>23147609.055447347</v>
      </c>
      <c r="N18" s="71">
        <v>41170015.45411174</v>
      </c>
      <c r="O18" s="71">
        <v>66222136.368070766</v>
      </c>
      <c r="P18" s="71">
        <v>89756383.940039173</v>
      </c>
      <c r="Q18" s="71">
        <v>107603981.35436857</v>
      </c>
      <c r="R18" s="71">
        <v>127327220.75884214</v>
      </c>
      <c r="S18" s="71">
        <v>136528866.40202385</v>
      </c>
      <c r="T18" s="71">
        <v>145562504.84282181</v>
      </c>
      <c r="U18" s="71">
        <v>141811832.69188434</v>
      </c>
      <c r="V18" s="71">
        <v>160800233.02991807</v>
      </c>
      <c r="W18" s="71">
        <v>186996096.55044705</v>
      </c>
      <c r="X18" s="71">
        <v>209165465.89669368</v>
      </c>
      <c r="Y18" s="71">
        <v>205938451.27025551</v>
      </c>
    </row>
    <row r="20" spans="1:25" x14ac:dyDescent="0.25">
      <c r="A20" s="7" t="s">
        <v>139</v>
      </c>
      <c r="B20" s="70" t="str">
        <f>+"["&amp;ROUND(B2,0)&amp;","</f>
        <v>[78580259,</v>
      </c>
      <c r="C20" s="70" t="str">
        <f t="shared" ref="C20:X31" si="0">+ROUND(C2,0)&amp;","</f>
        <v>11429,</v>
      </c>
      <c r="D20" s="70" t="str">
        <f t="shared" si="0"/>
        <v>10933,</v>
      </c>
      <c r="E20" s="70" t="str">
        <f t="shared" si="0"/>
        <v>10568,</v>
      </c>
      <c r="F20" s="70" t="str">
        <f t="shared" si="0"/>
        <v>10632,</v>
      </c>
      <c r="G20" s="70" t="str">
        <f t="shared" si="0"/>
        <v>10866,</v>
      </c>
      <c r="H20" s="70" t="str">
        <f t="shared" si="0"/>
        <v>11173,</v>
      </c>
      <c r="I20" s="70" t="str">
        <f t="shared" si="0"/>
        <v>11270,</v>
      </c>
      <c r="J20" s="70" t="str">
        <f t="shared" si="0"/>
        <v>11244,</v>
      </c>
      <c r="K20" s="70" t="str">
        <f t="shared" si="0"/>
        <v>0,</v>
      </c>
      <c r="L20" s="70" t="str">
        <f t="shared" si="0"/>
        <v>17696391,</v>
      </c>
      <c r="M20" s="70" t="str">
        <f t="shared" si="0"/>
        <v>17721468,</v>
      </c>
      <c r="N20" s="70" t="str">
        <f t="shared" si="0"/>
        <v>8703411,</v>
      </c>
      <c r="O20" s="70" t="str">
        <f t="shared" si="0"/>
        <v>26868698,</v>
      </c>
      <c r="P20" s="70" t="str">
        <f t="shared" si="0"/>
        <v>28597586,</v>
      </c>
      <c r="Q20" s="70" t="str">
        <f t="shared" si="0"/>
        <v>31745853,</v>
      </c>
      <c r="R20" s="70" t="str">
        <f t="shared" si="0"/>
        <v>19409700,</v>
      </c>
      <c r="S20" s="70" t="str">
        <f t="shared" si="0"/>
        <v>36511824,</v>
      </c>
      <c r="T20" s="70" t="str">
        <f t="shared" si="0"/>
        <v>18347409,</v>
      </c>
      <c r="U20" s="70" t="str">
        <f t="shared" si="0"/>
        <v>14873766,</v>
      </c>
      <c r="V20" s="70" t="str">
        <f t="shared" si="0"/>
        <v>9862745,</v>
      </c>
      <c r="W20" s="70" t="str">
        <f t="shared" si="0"/>
        <v>14777182,</v>
      </c>
      <c r="X20" s="70" t="str">
        <f t="shared" si="0"/>
        <v>37949221,</v>
      </c>
      <c r="Y20" s="70" t="str">
        <f>+ROUND(Y2,0)&amp;"]"</f>
        <v>17547796]</v>
      </c>
    </row>
    <row r="21" spans="1:25" x14ac:dyDescent="0.25">
      <c r="A21" s="7" t="s">
        <v>82</v>
      </c>
      <c r="B21" s="70" t="str">
        <f t="shared" ref="B21:B36" si="1">+"["&amp;ROUND(B3,0)&amp;","</f>
        <v>[16708549,</v>
      </c>
      <c r="C21" s="70" t="str">
        <f t="shared" si="0"/>
        <v>16708884,</v>
      </c>
      <c r="D21" s="70" t="str">
        <f t="shared" si="0"/>
        <v>16621239,</v>
      </c>
      <c r="E21" s="70" t="str">
        <f t="shared" si="0"/>
        <v>16912299,</v>
      </c>
      <c r="F21" s="70" t="str">
        <f t="shared" si="0"/>
        <v>17990793,</v>
      </c>
      <c r="G21" s="70" t="str">
        <f t="shared" si="0"/>
        <v>32224595,</v>
      </c>
      <c r="H21" s="70" t="str">
        <f t="shared" si="0"/>
        <v>36010296,</v>
      </c>
      <c r="I21" s="70" t="str">
        <f t="shared" si="0"/>
        <v>35638479,</v>
      </c>
      <c r="J21" s="70" t="str">
        <f t="shared" si="0"/>
        <v>21093263,</v>
      </c>
      <c r="K21" s="70" t="str">
        <f t="shared" si="0"/>
        <v>22353125,</v>
      </c>
      <c r="L21" s="70" t="str">
        <f t="shared" si="0"/>
        <v>22384691,</v>
      </c>
      <c r="M21" s="70" t="str">
        <f t="shared" si="0"/>
        <v>21083590,</v>
      </c>
      <c r="N21" s="70" t="str">
        <f t="shared" si="0"/>
        <v>4248061,</v>
      </c>
      <c r="O21" s="70" t="str">
        <f t="shared" si="0"/>
        <v>15084549,</v>
      </c>
      <c r="P21" s="70" t="str">
        <f t="shared" si="0"/>
        <v>24102254,</v>
      </c>
      <c r="Q21" s="70" t="str">
        <f t="shared" si="0"/>
        <v>101868384,</v>
      </c>
      <c r="R21" s="70" t="str">
        <f t="shared" si="0"/>
        <v>89505897,</v>
      </c>
      <c r="S21" s="70" t="str">
        <f t="shared" si="0"/>
        <v>166340121,</v>
      </c>
      <c r="T21" s="70" t="str">
        <f t="shared" si="0"/>
        <v>410169950,</v>
      </c>
      <c r="U21" s="70" t="str">
        <f t="shared" si="0"/>
        <v>332425433,</v>
      </c>
      <c r="V21" s="70" t="str">
        <f t="shared" si="0"/>
        <v>194291047,</v>
      </c>
      <c r="W21" s="70" t="str">
        <f t="shared" si="0"/>
        <v>331279149,</v>
      </c>
      <c r="X21" s="70" t="str">
        <f t="shared" si="0"/>
        <v>227385022,</v>
      </c>
      <c r="Y21" s="70" t="str">
        <f t="shared" ref="Y21:Y36" si="2">+ROUND(Y3,0)&amp;"]"</f>
        <v>278835991]</v>
      </c>
    </row>
    <row r="22" spans="1:25" x14ac:dyDescent="0.25">
      <c r="A22" s="7" t="s">
        <v>7</v>
      </c>
      <c r="B22" s="70" t="str">
        <f t="shared" si="1"/>
        <v>[14895547,</v>
      </c>
      <c r="C22" s="70" t="str">
        <f t="shared" si="0"/>
        <v>15916937,</v>
      </c>
      <c r="D22" s="70" t="str">
        <f t="shared" si="0"/>
        <v>16440302,</v>
      </c>
      <c r="E22" s="70" t="str">
        <f t="shared" si="0"/>
        <v>17051794,</v>
      </c>
      <c r="F22" s="70" t="str">
        <f t="shared" si="0"/>
        <v>25753121,</v>
      </c>
      <c r="G22" s="70" t="str">
        <f t="shared" si="0"/>
        <v>26516485,</v>
      </c>
      <c r="H22" s="70" t="str">
        <f t="shared" si="0"/>
        <v>28053836,</v>
      </c>
      <c r="I22" s="70" t="str">
        <f t="shared" si="0"/>
        <v>27963867,</v>
      </c>
      <c r="J22" s="70" t="str">
        <f t="shared" si="0"/>
        <v>39454389,</v>
      </c>
      <c r="K22" s="70" t="str">
        <f t="shared" si="0"/>
        <v>41213109,</v>
      </c>
      <c r="L22" s="70" t="str">
        <f t="shared" si="0"/>
        <v>42926745,</v>
      </c>
      <c r="M22" s="70" t="str">
        <f t="shared" si="0"/>
        <v>42885187,</v>
      </c>
      <c r="N22" s="70" t="str">
        <f t="shared" si="0"/>
        <v>22148782,</v>
      </c>
      <c r="O22" s="70" t="str">
        <f t="shared" si="0"/>
        <v>22105642,</v>
      </c>
      <c r="P22" s="70" t="str">
        <f t="shared" si="0"/>
        <v>19837777,</v>
      </c>
      <c r="Q22" s="70" t="str">
        <f t="shared" si="0"/>
        <v>26434485,</v>
      </c>
      <c r="R22" s="70" t="str">
        <f t="shared" si="0"/>
        <v>20737739,</v>
      </c>
      <c r="S22" s="70" t="str">
        <f t="shared" si="0"/>
        <v>20303126,</v>
      </c>
      <c r="T22" s="70" t="str">
        <f t="shared" si="0"/>
        <v>23934205,</v>
      </c>
      <c r="U22" s="70" t="str">
        <f t="shared" si="0"/>
        <v>21792972,</v>
      </c>
      <c r="V22" s="70" t="str">
        <f t="shared" si="0"/>
        <v>18694960,</v>
      </c>
      <c r="W22" s="70" t="str">
        <f t="shared" si="0"/>
        <v>26052156,</v>
      </c>
      <c r="X22" s="70" t="str">
        <f t="shared" si="0"/>
        <v>26626399,</v>
      </c>
      <c r="Y22" s="70" t="str">
        <f t="shared" si="2"/>
        <v>25785425]</v>
      </c>
    </row>
    <row r="23" spans="1:25" x14ac:dyDescent="0.25">
      <c r="A23" s="7" t="s">
        <v>86</v>
      </c>
      <c r="B23" s="70" t="str">
        <f t="shared" si="1"/>
        <v>[78159429,</v>
      </c>
      <c r="C23" s="70" t="str">
        <f t="shared" si="0"/>
        <v>79754932,</v>
      </c>
      <c r="D23" s="70" t="str">
        <f t="shared" si="0"/>
        <v>82572072,</v>
      </c>
      <c r="E23" s="70" t="str">
        <f t="shared" si="0"/>
        <v>85747371,</v>
      </c>
      <c r="F23" s="70" t="str">
        <f t="shared" si="0"/>
        <v>88823502,</v>
      </c>
      <c r="G23" s="70" t="str">
        <f t="shared" si="0"/>
        <v>90980826,</v>
      </c>
      <c r="H23" s="70" t="str">
        <f t="shared" si="0"/>
        <v>93434225,</v>
      </c>
      <c r="I23" s="70" t="str">
        <f t="shared" si="0"/>
        <v>98105258,</v>
      </c>
      <c r="J23" s="70" t="str">
        <f t="shared" si="0"/>
        <v>101078446,</v>
      </c>
      <c r="K23" s="70" t="str">
        <f t="shared" si="0"/>
        <v>104582797,</v>
      </c>
      <c r="L23" s="70" t="str">
        <f t="shared" si="0"/>
        <v>105776185,</v>
      </c>
      <c r="M23" s="70" t="str">
        <f t="shared" si="0"/>
        <v>135372841,</v>
      </c>
      <c r="N23" s="70" t="str">
        <f t="shared" si="0"/>
        <v>148582724,</v>
      </c>
      <c r="O23" s="70" t="str">
        <f t="shared" si="0"/>
        <v>164282756,</v>
      </c>
      <c r="P23" s="70" t="str">
        <f t="shared" si="0"/>
        <v>173551045,</v>
      </c>
      <c r="Q23" s="70" t="str">
        <f t="shared" si="0"/>
        <v>177885695,</v>
      </c>
      <c r="R23" s="70" t="str">
        <f t="shared" si="0"/>
        <v>149831514,</v>
      </c>
      <c r="S23" s="70" t="str">
        <f t="shared" si="0"/>
        <v>186085427,</v>
      </c>
      <c r="T23" s="70" t="str">
        <f t="shared" si="0"/>
        <v>164768261,</v>
      </c>
      <c r="U23" s="70" t="str">
        <f t="shared" si="0"/>
        <v>42499760,</v>
      </c>
      <c r="V23" s="70" t="str">
        <f t="shared" si="0"/>
        <v>10518908,</v>
      </c>
      <c r="W23" s="70" t="str">
        <f t="shared" si="0"/>
        <v>7180031,</v>
      </c>
      <c r="X23" s="70" t="str">
        <f t="shared" si="0"/>
        <v>6811040,</v>
      </c>
      <c r="Y23" s="70" t="str">
        <f t="shared" si="2"/>
        <v>6823078]</v>
      </c>
    </row>
    <row r="24" spans="1:25" x14ac:dyDescent="0.25">
      <c r="A24" s="7" t="s">
        <v>84</v>
      </c>
      <c r="B24" s="70" t="str">
        <f t="shared" si="1"/>
        <v>[50764265,</v>
      </c>
      <c r="C24" s="70" t="str">
        <f t="shared" si="0"/>
        <v>50774338,</v>
      </c>
      <c r="D24" s="70" t="str">
        <f t="shared" si="0"/>
        <v>50335232,</v>
      </c>
      <c r="E24" s="70" t="str">
        <f t="shared" si="0"/>
        <v>52856121,</v>
      </c>
      <c r="F24" s="70" t="str">
        <f t="shared" si="0"/>
        <v>69969918,</v>
      </c>
      <c r="G24" s="70" t="str">
        <f t="shared" si="0"/>
        <v>68257615,</v>
      </c>
      <c r="H24" s="70" t="str">
        <f t="shared" si="0"/>
        <v>54723843,</v>
      </c>
      <c r="I24" s="70" t="str">
        <f t="shared" si="0"/>
        <v>53185019,</v>
      </c>
      <c r="J24" s="70" t="str">
        <f t="shared" si="0"/>
        <v>38358186,</v>
      </c>
      <c r="K24" s="70" t="str">
        <f t="shared" si="0"/>
        <v>36289140,</v>
      </c>
      <c r="L24" s="70" t="str">
        <f t="shared" si="0"/>
        <v>31847542,</v>
      </c>
      <c r="M24" s="70" t="str">
        <f t="shared" si="0"/>
        <v>29878049,</v>
      </c>
      <c r="N24" s="70" t="str">
        <f t="shared" si="0"/>
        <v>27224651,</v>
      </c>
      <c r="O24" s="70" t="str">
        <f t="shared" si="0"/>
        <v>28389437,</v>
      </c>
      <c r="P24" s="70" t="str">
        <f t="shared" si="0"/>
        <v>29041953,</v>
      </c>
      <c r="Q24" s="70" t="str">
        <f t="shared" si="0"/>
        <v>34928665,</v>
      </c>
      <c r="R24" s="70" t="str">
        <f t="shared" si="0"/>
        <v>74784906,</v>
      </c>
      <c r="S24" s="70" t="str">
        <f t="shared" si="0"/>
        <v>94070116,</v>
      </c>
      <c r="T24" s="70" t="str">
        <f t="shared" si="0"/>
        <v>129988736,</v>
      </c>
      <c r="U24" s="70" t="str">
        <f t="shared" si="0"/>
        <v>244473057,</v>
      </c>
      <c r="V24" s="70" t="str">
        <f t="shared" si="0"/>
        <v>268834028,</v>
      </c>
      <c r="W24" s="70" t="str">
        <f t="shared" si="0"/>
        <v>243482509,</v>
      </c>
      <c r="X24" s="70" t="str">
        <f t="shared" si="0"/>
        <v>265683552,</v>
      </c>
      <c r="Y24" s="70" t="str">
        <f t="shared" si="2"/>
        <v>267449255]</v>
      </c>
    </row>
    <row r="25" spans="1:25" x14ac:dyDescent="0.25">
      <c r="A25" s="7" t="s">
        <v>73</v>
      </c>
      <c r="B25" s="70" t="str">
        <f t="shared" si="1"/>
        <v>[20923950,</v>
      </c>
      <c r="C25" s="70" t="str">
        <f t="shared" si="0"/>
        <v>20532694,</v>
      </c>
      <c r="D25" s="70" t="str">
        <f t="shared" si="0"/>
        <v>20111575,</v>
      </c>
      <c r="E25" s="70" t="str">
        <f t="shared" si="0"/>
        <v>19392670,</v>
      </c>
      <c r="F25" s="70" t="str">
        <f t="shared" si="0"/>
        <v>19054703,</v>
      </c>
      <c r="G25" s="70" t="str">
        <f t="shared" si="0"/>
        <v>18693918,</v>
      </c>
      <c r="H25" s="70" t="str">
        <f t="shared" si="0"/>
        <v>20305662,</v>
      </c>
      <c r="I25" s="70" t="str">
        <f t="shared" si="0"/>
        <v>19916222,</v>
      </c>
      <c r="J25" s="70" t="str">
        <f t="shared" si="0"/>
        <v>19937956,</v>
      </c>
      <c r="K25" s="70" t="str">
        <f t="shared" si="0"/>
        <v>19825404,</v>
      </c>
      <c r="L25" s="70" t="str">
        <f t="shared" si="0"/>
        <v>19155299,</v>
      </c>
      <c r="M25" s="70" t="str">
        <f t="shared" si="0"/>
        <v>19326301,</v>
      </c>
      <c r="N25" s="70" t="str">
        <f t="shared" si="0"/>
        <v>1956107,</v>
      </c>
      <c r="O25" s="70" t="str">
        <f t="shared" si="0"/>
        <v>1868860,</v>
      </c>
      <c r="P25" s="70" t="str">
        <f t="shared" si="0"/>
        <v>1900870,</v>
      </c>
      <c r="Q25" s="70" t="str">
        <f t="shared" si="0"/>
        <v>1887281,</v>
      </c>
      <c r="R25" s="70" t="str">
        <f t="shared" si="0"/>
        <v>1784487,</v>
      </c>
      <c r="S25" s="70" t="str">
        <f t="shared" si="0"/>
        <v>2200513,</v>
      </c>
      <c r="T25" s="70" t="str">
        <f t="shared" si="0"/>
        <v>2217689,</v>
      </c>
      <c r="U25" s="70" t="str">
        <f t="shared" si="0"/>
        <v>2177788,</v>
      </c>
      <c r="V25" s="70" t="str">
        <f t="shared" si="0"/>
        <v>5062812,</v>
      </c>
      <c r="W25" s="70" t="str">
        <f t="shared" si="0"/>
        <v>6404902,</v>
      </c>
      <c r="X25" s="70" t="str">
        <f t="shared" si="0"/>
        <v>6442339,</v>
      </c>
      <c r="Y25" s="70" t="str">
        <f t="shared" si="2"/>
        <v>6541568]</v>
      </c>
    </row>
    <row r="26" spans="1:25" x14ac:dyDescent="0.25">
      <c r="A26" s="7" t="s">
        <v>74</v>
      </c>
      <c r="B26" s="70" t="str">
        <f t="shared" si="1"/>
        <v>[311598814,</v>
      </c>
      <c r="C26" s="70" t="str">
        <f t="shared" si="0"/>
        <v>314913213,</v>
      </c>
      <c r="D26" s="70" t="str">
        <f t="shared" si="0"/>
        <v>275098221,</v>
      </c>
      <c r="E26" s="70" t="str">
        <f t="shared" si="0"/>
        <v>262871460,</v>
      </c>
      <c r="F26" s="70" t="str">
        <f t="shared" si="0"/>
        <v>261128636,</v>
      </c>
      <c r="G26" s="70" t="str">
        <f t="shared" si="0"/>
        <v>257038005,</v>
      </c>
      <c r="H26" s="70" t="str">
        <f t="shared" si="0"/>
        <v>243336949,</v>
      </c>
      <c r="I26" s="70" t="str">
        <f t="shared" si="0"/>
        <v>227800791,</v>
      </c>
      <c r="J26" s="70" t="str">
        <f t="shared" si="0"/>
        <v>225945394,</v>
      </c>
      <c r="K26" s="70" t="str">
        <f t="shared" si="0"/>
        <v>232813533,</v>
      </c>
      <c r="L26" s="70" t="str">
        <f t="shared" si="0"/>
        <v>235328126,</v>
      </c>
      <c r="M26" s="70" t="str">
        <f t="shared" si="0"/>
        <v>232957520,</v>
      </c>
      <c r="N26" s="70" t="str">
        <f t="shared" si="0"/>
        <v>144417830,</v>
      </c>
      <c r="O26" s="70" t="str">
        <f t="shared" si="0"/>
        <v>142191817,</v>
      </c>
      <c r="P26" s="70" t="str">
        <f t="shared" si="0"/>
        <v>138986008,</v>
      </c>
      <c r="Q26" s="70" t="str">
        <f t="shared" si="0"/>
        <v>91307954,</v>
      </c>
      <c r="R26" s="70" t="str">
        <f t="shared" si="0"/>
        <v>64954167,</v>
      </c>
      <c r="S26" s="70" t="str">
        <f t="shared" si="0"/>
        <v>66630415,</v>
      </c>
      <c r="T26" s="70" t="str">
        <f t="shared" si="0"/>
        <v>66455709,</v>
      </c>
      <c r="U26" s="70" t="str">
        <f t="shared" si="0"/>
        <v>65876339,</v>
      </c>
      <c r="V26" s="70" t="str">
        <f t="shared" si="0"/>
        <v>61511976,</v>
      </c>
      <c r="W26" s="70" t="str">
        <f t="shared" si="0"/>
        <v>62054152,</v>
      </c>
      <c r="X26" s="70" t="str">
        <f t="shared" si="0"/>
        <v>65413987,</v>
      </c>
      <c r="Y26" s="70" t="str">
        <f t="shared" si="2"/>
        <v>65841842]</v>
      </c>
    </row>
    <row r="27" spans="1:25" x14ac:dyDescent="0.25">
      <c r="A27" s="7" t="s">
        <v>77</v>
      </c>
      <c r="B27" s="70" t="str">
        <f t="shared" si="1"/>
        <v>[4569987,</v>
      </c>
      <c r="C27" s="70" t="str">
        <f t="shared" si="0"/>
        <v>2613786,</v>
      </c>
      <c r="D27" s="70" t="str">
        <f t="shared" si="0"/>
        <v>2314795,</v>
      </c>
      <c r="E27" s="70" t="str">
        <f t="shared" si="0"/>
        <v>4993057,</v>
      </c>
      <c r="F27" s="70" t="str">
        <f t="shared" si="0"/>
        <v>6731550,</v>
      </c>
      <c r="G27" s="70" t="str">
        <f t="shared" si="0"/>
        <v>5829501,</v>
      </c>
      <c r="H27" s="70" t="str">
        <f t="shared" si="0"/>
        <v>2388879,</v>
      </c>
      <c r="I27" s="70" t="str">
        <f t="shared" si="0"/>
        <v>2682334,</v>
      </c>
      <c r="J27" s="70" t="str">
        <f t="shared" si="0"/>
        <v>5503855,</v>
      </c>
      <c r="K27" s="70" t="str">
        <f t="shared" si="0"/>
        <v>6149963,</v>
      </c>
      <c r="L27" s="70" t="str">
        <f t="shared" si="0"/>
        <v>2755123,</v>
      </c>
      <c r="M27" s="70" t="str">
        <f t="shared" si="0"/>
        <v>3016434,</v>
      </c>
      <c r="N27" s="70" t="str">
        <f t="shared" si="0"/>
        <v>2770512,</v>
      </c>
      <c r="O27" s="70" t="str">
        <f t="shared" si="0"/>
        <v>2616818,</v>
      </c>
      <c r="P27" s="70" t="str">
        <f t="shared" si="0"/>
        <v>0,</v>
      </c>
      <c r="Q27" s="70" t="str">
        <f t="shared" si="0"/>
        <v>0,</v>
      </c>
      <c r="R27" s="70" t="str">
        <f t="shared" si="0"/>
        <v>0,</v>
      </c>
      <c r="S27" s="70" t="str">
        <f t="shared" si="0"/>
        <v>0,</v>
      </c>
      <c r="T27" s="70" t="str">
        <f t="shared" si="0"/>
        <v>0,</v>
      </c>
      <c r="U27" s="70" t="str">
        <f t="shared" si="0"/>
        <v>2577182,</v>
      </c>
      <c r="V27" s="70" t="str">
        <f t="shared" si="0"/>
        <v>2545601,</v>
      </c>
      <c r="W27" s="70" t="str">
        <f t="shared" si="0"/>
        <v>5826577,</v>
      </c>
      <c r="X27" s="70" t="str">
        <f t="shared" si="0"/>
        <v>5816636,</v>
      </c>
      <c r="Y27" s="70" t="str">
        <f t="shared" si="2"/>
        <v>5854585]</v>
      </c>
    </row>
    <row r="28" spans="1:25" x14ac:dyDescent="0.25">
      <c r="A28" s="7" t="s">
        <v>1</v>
      </c>
      <c r="B28" s="70" t="str">
        <f t="shared" si="1"/>
        <v>[5598384,</v>
      </c>
      <c r="C28" s="70" t="str">
        <f t="shared" si="0"/>
        <v>11321282,</v>
      </c>
      <c r="D28" s="70" t="str">
        <f t="shared" si="0"/>
        <v>21742187,</v>
      </c>
      <c r="E28" s="70" t="str">
        <f t="shared" si="0"/>
        <v>23354085,</v>
      </c>
      <c r="F28" s="70" t="str">
        <f t="shared" si="0"/>
        <v>34313914,</v>
      </c>
      <c r="G28" s="70" t="str">
        <f t="shared" si="0"/>
        <v>44391890,</v>
      </c>
      <c r="H28" s="70" t="str">
        <f t="shared" si="0"/>
        <v>49168455,</v>
      </c>
      <c r="I28" s="70" t="str">
        <f t="shared" si="0"/>
        <v>61360525,</v>
      </c>
      <c r="J28" s="70" t="str">
        <f t="shared" si="0"/>
        <v>68262550,</v>
      </c>
      <c r="K28" s="70" t="str">
        <f t="shared" si="0"/>
        <v>121877662,</v>
      </c>
      <c r="L28" s="70" t="str">
        <f t="shared" si="0"/>
        <v>123733297,</v>
      </c>
      <c r="M28" s="70" t="str">
        <f t="shared" si="0"/>
        <v>129845142,</v>
      </c>
      <c r="N28" s="70" t="str">
        <f t="shared" si="0"/>
        <v>142806746,</v>
      </c>
      <c r="O28" s="70" t="str">
        <f t="shared" si="0"/>
        <v>151228547,</v>
      </c>
      <c r="P28" s="70" t="str">
        <f t="shared" si="0"/>
        <v>175493079,</v>
      </c>
      <c r="Q28" s="70" t="str">
        <f t="shared" si="0"/>
        <v>234133328,</v>
      </c>
      <c r="R28" s="70" t="str">
        <f t="shared" si="0"/>
        <v>261276329,</v>
      </c>
      <c r="S28" s="70" t="str">
        <f t="shared" si="0"/>
        <v>266757549,</v>
      </c>
      <c r="T28" s="70" t="str">
        <f t="shared" si="0"/>
        <v>275438932,</v>
      </c>
      <c r="U28" s="70" t="str">
        <f t="shared" si="0"/>
        <v>280161656,</v>
      </c>
      <c r="V28" s="70" t="str">
        <f t="shared" si="0"/>
        <v>269016594,</v>
      </c>
      <c r="W28" s="70" t="str">
        <f t="shared" si="0"/>
        <v>252782013,</v>
      </c>
      <c r="X28" s="70" t="str">
        <f t="shared" si="0"/>
        <v>276183400,</v>
      </c>
      <c r="Y28" s="70" t="str">
        <f t="shared" si="2"/>
        <v>280768151]</v>
      </c>
    </row>
    <row r="29" spans="1:25" x14ac:dyDescent="0.25">
      <c r="A29" s="7" t="s">
        <v>142</v>
      </c>
      <c r="B29" s="70" t="str">
        <f t="shared" si="1"/>
        <v>[77148,</v>
      </c>
      <c r="C29" s="70" t="str">
        <f t="shared" si="0"/>
        <v>78898,</v>
      </c>
      <c r="D29" s="70" t="str">
        <f t="shared" si="0"/>
        <v>77949,</v>
      </c>
      <c r="E29" s="70" t="str">
        <f t="shared" si="0"/>
        <v>0,</v>
      </c>
      <c r="F29" s="70" t="str">
        <f t="shared" si="0"/>
        <v>0,</v>
      </c>
      <c r="G29" s="70" t="str">
        <f t="shared" si="0"/>
        <v>0,</v>
      </c>
      <c r="H29" s="70" t="str">
        <f t="shared" si="0"/>
        <v>0,</v>
      </c>
      <c r="I29" s="70" t="str">
        <f t="shared" si="0"/>
        <v>0,</v>
      </c>
      <c r="J29" s="70" t="str">
        <f t="shared" si="0"/>
        <v>0,</v>
      </c>
      <c r="K29" s="70" t="str">
        <f t="shared" si="0"/>
        <v>0,</v>
      </c>
      <c r="L29" s="70" t="str">
        <f t="shared" si="0"/>
        <v>0,</v>
      </c>
      <c r="M29" s="70" t="str">
        <f t="shared" si="0"/>
        <v>0,</v>
      </c>
      <c r="N29" s="70" t="str">
        <f t="shared" si="0"/>
        <v>0,</v>
      </c>
      <c r="O29" s="70" t="str">
        <f t="shared" si="0"/>
        <v>0,</v>
      </c>
      <c r="P29" s="70" t="str">
        <f t="shared" si="0"/>
        <v>0,</v>
      </c>
      <c r="Q29" s="70" t="str">
        <f t="shared" si="0"/>
        <v>14725,</v>
      </c>
      <c r="R29" s="70" t="str">
        <f t="shared" si="0"/>
        <v>213958,</v>
      </c>
      <c r="S29" s="70" t="str">
        <f t="shared" si="0"/>
        <v>0,</v>
      </c>
      <c r="T29" s="70" t="str">
        <f t="shared" si="0"/>
        <v>896286,</v>
      </c>
      <c r="U29" s="70" t="str">
        <f t="shared" si="0"/>
        <v>160010,</v>
      </c>
      <c r="V29" s="70" t="str">
        <f t="shared" si="0"/>
        <v>0,</v>
      </c>
      <c r="W29" s="70" t="str">
        <f t="shared" si="0"/>
        <v>0,</v>
      </c>
      <c r="X29" s="70" t="str">
        <f t="shared" si="0"/>
        <v>0,</v>
      </c>
      <c r="Y29" s="70" t="str">
        <f t="shared" si="2"/>
        <v>0]</v>
      </c>
    </row>
    <row r="30" spans="1:25" x14ac:dyDescent="0.25">
      <c r="A30" s="7" t="s">
        <v>79</v>
      </c>
      <c r="B30" s="70" t="str">
        <f t="shared" si="1"/>
        <v>[0,</v>
      </c>
      <c r="C30" s="70" t="str">
        <f t="shared" si="0"/>
        <v>0,</v>
      </c>
      <c r="D30" s="70" t="str">
        <f t="shared" si="0"/>
        <v>0,</v>
      </c>
      <c r="E30" s="70" t="str">
        <f t="shared" si="0"/>
        <v>0,</v>
      </c>
      <c r="F30" s="70" t="str">
        <f t="shared" si="0"/>
        <v>0,</v>
      </c>
      <c r="G30" s="70" t="str">
        <f t="shared" si="0"/>
        <v>0,</v>
      </c>
      <c r="H30" s="70" t="str">
        <f t="shared" si="0"/>
        <v>538569,</v>
      </c>
      <c r="I30" s="70" t="str">
        <f t="shared" si="0"/>
        <v>572238,</v>
      </c>
      <c r="J30" s="70" t="str">
        <f t="shared" si="0"/>
        <v>1564054,</v>
      </c>
      <c r="K30" s="70" t="str">
        <f t="shared" si="0"/>
        <v>1802423,</v>
      </c>
      <c r="L30" s="70" t="str">
        <f t="shared" si="0"/>
        <v>1596326,</v>
      </c>
      <c r="M30" s="70" t="str">
        <f t="shared" si="0"/>
        <v>1432203,</v>
      </c>
      <c r="N30" s="70" t="str">
        <f t="shared" si="0"/>
        <v>1193206,</v>
      </c>
      <c r="O30" s="70" t="str">
        <f t="shared" si="0"/>
        <v>1051750,</v>
      </c>
      <c r="P30" s="70" t="str">
        <f t="shared" si="0"/>
        <v>838164,</v>
      </c>
      <c r="Q30" s="70" t="str">
        <f t="shared" si="0"/>
        <v>14134727,</v>
      </c>
      <c r="R30" s="70" t="str">
        <f t="shared" si="0"/>
        <v>45560280,</v>
      </c>
      <c r="S30" s="70" t="str">
        <f t="shared" si="0"/>
        <v>51668556,</v>
      </c>
      <c r="T30" s="70" t="str">
        <f t="shared" si="0"/>
        <v>65056521,</v>
      </c>
      <c r="U30" s="70" t="str">
        <f t="shared" si="0"/>
        <v>82074179,</v>
      </c>
      <c r="V30" s="70" t="str">
        <f t="shared" si="0"/>
        <v>79857578,</v>
      </c>
      <c r="W30" s="70" t="str">
        <f t="shared" si="0"/>
        <v>83779047,</v>
      </c>
      <c r="X30" s="70" t="str">
        <f t="shared" si="0"/>
        <v>111910967,</v>
      </c>
      <c r="Y30" s="70" t="str">
        <f t="shared" si="2"/>
        <v>130818258]</v>
      </c>
    </row>
    <row r="31" spans="1:25" x14ac:dyDescent="0.25">
      <c r="A31" s="7" t="s">
        <v>175</v>
      </c>
      <c r="B31" s="70" t="str">
        <f t="shared" si="1"/>
        <v>[0,</v>
      </c>
      <c r="C31" s="70" t="str">
        <f t="shared" si="0"/>
        <v>0,</v>
      </c>
      <c r="D31" s="70" t="str">
        <f t="shared" si="0"/>
        <v>0,</v>
      </c>
      <c r="E31" s="70" t="str">
        <f t="shared" si="0"/>
        <v>0,</v>
      </c>
      <c r="F31" s="70" t="str">
        <f t="shared" si="0"/>
        <v>0,</v>
      </c>
      <c r="G31" s="70" t="str">
        <f t="shared" si="0"/>
        <v>0,</v>
      </c>
      <c r="H31" s="70" t="str">
        <f t="shared" si="0"/>
        <v>0,</v>
      </c>
      <c r="I31" s="70" t="str">
        <f t="shared" si="0"/>
        <v>0,</v>
      </c>
      <c r="J31" s="70" t="str">
        <f t="shared" si="0"/>
        <v>0,</v>
      </c>
      <c r="K31" s="70" t="str">
        <f t="shared" si="0"/>
        <v>0,</v>
      </c>
      <c r="L31" s="70" t="str">
        <f t="shared" si="0"/>
        <v>0,</v>
      </c>
      <c r="M31" s="70" t="str">
        <f t="shared" si="0"/>
        <v>0,</v>
      </c>
      <c r="N31" s="70" t="str">
        <f t="shared" si="0"/>
        <v>0,</v>
      </c>
      <c r="O31" s="70" t="str">
        <f t="shared" si="0"/>
        <v>0,</v>
      </c>
      <c r="P31" s="70" t="str">
        <f t="shared" ref="C31:X36" si="3">+ROUND(P13,0)&amp;","</f>
        <v>0,</v>
      </c>
      <c r="Q31" s="70" t="str">
        <f t="shared" si="3"/>
        <v>0,</v>
      </c>
      <c r="R31" s="70" t="str">
        <f t="shared" si="3"/>
        <v>320876850,</v>
      </c>
      <c r="S31" s="70" t="str">
        <f t="shared" si="3"/>
        <v>459080986,</v>
      </c>
      <c r="T31" s="70" t="str">
        <f t="shared" si="3"/>
        <v>455559619,</v>
      </c>
      <c r="U31" s="70" t="str">
        <f t="shared" si="3"/>
        <v>463818185,</v>
      </c>
      <c r="V31" s="70" t="str">
        <f t="shared" si="3"/>
        <v>445823504,</v>
      </c>
      <c r="W31" s="70" t="str">
        <f t="shared" si="3"/>
        <v>438402962,</v>
      </c>
      <c r="X31" s="70" t="str">
        <f t="shared" si="3"/>
        <v>470271315,</v>
      </c>
      <c r="Y31" s="70" t="str">
        <f t="shared" si="2"/>
        <v>477813507]</v>
      </c>
    </row>
    <row r="32" spans="1:25" x14ac:dyDescent="0.25">
      <c r="A32" s="7" t="s">
        <v>5</v>
      </c>
      <c r="B32" s="70" t="str">
        <f t="shared" si="1"/>
        <v>[0,</v>
      </c>
      <c r="C32" s="70" t="str">
        <f t="shared" si="3"/>
        <v>0,</v>
      </c>
      <c r="D32" s="70" t="str">
        <f t="shared" si="3"/>
        <v>0,</v>
      </c>
      <c r="E32" s="70" t="str">
        <f t="shared" si="3"/>
        <v>0,</v>
      </c>
      <c r="F32" s="70" t="str">
        <f t="shared" si="3"/>
        <v>0,</v>
      </c>
      <c r="G32" s="70" t="str">
        <f t="shared" si="3"/>
        <v>0,</v>
      </c>
      <c r="H32" s="70" t="str">
        <f t="shared" si="3"/>
        <v>0,</v>
      </c>
      <c r="I32" s="70" t="str">
        <f t="shared" si="3"/>
        <v>0,</v>
      </c>
      <c r="J32" s="70" t="str">
        <f t="shared" si="3"/>
        <v>9437,</v>
      </c>
      <c r="K32" s="70" t="str">
        <f t="shared" si="3"/>
        <v>15033,</v>
      </c>
      <c r="L32" s="70" t="str">
        <f t="shared" si="3"/>
        <v>7008,</v>
      </c>
      <c r="M32" s="70" t="str">
        <f t="shared" si="3"/>
        <v>15318,</v>
      </c>
      <c r="N32" s="70" t="str">
        <f t="shared" si="3"/>
        <v>60837,</v>
      </c>
      <c r="O32" s="70" t="str">
        <f t="shared" si="3"/>
        <v>181341,</v>
      </c>
      <c r="P32" s="70" t="str">
        <f t="shared" si="3"/>
        <v>349925,</v>
      </c>
      <c r="Q32" s="70" t="str">
        <f t="shared" si="3"/>
        <v>514654,</v>
      </c>
      <c r="R32" s="70" t="str">
        <f t="shared" si="3"/>
        <v>1545657,</v>
      </c>
      <c r="S32" s="70" t="str">
        <f t="shared" si="3"/>
        <v>2487801,</v>
      </c>
      <c r="T32" s="70" t="str">
        <f t="shared" si="3"/>
        <v>6959717,</v>
      </c>
      <c r="U32" s="70" t="str">
        <f t="shared" si="3"/>
        <v>10275961,</v>
      </c>
      <c r="V32" s="70" t="str">
        <f t="shared" si="3"/>
        <v>12011982,</v>
      </c>
      <c r="W32" s="70" t="str">
        <f t="shared" si="3"/>
        <v>18988210,</v>
      </c>
      <c r="X32" s="70" t="str">
        <f t="shared" si="3"/>
        <v>18779835,</v>
      </c>
      <c r="Y32" s="70" t="str">
        <f t="shared" si="2"/>
        <v>27459977]</v>
      </c>
    </row>
    <row r="33" spans="1:25" x14ac:dyDescent="0.25">
      <c r="A33" s="7" t="s">
        <v>78</v>
      </c>
      <c r="B33" s="70" t="str">
        <f t="shared" si="1"/>
        <v>[20888758,</v>
      </c>
      <c r="C33" s="70" t="str">
        <f t="shared" si="3"/>
        <v>23446088,</v>
      </c>
      <c r="D33" s="70" t="str">
        <f t="shared" si="3"/>
        <v>67753163,</v>
      </c>
      <c r="E33" s="70" t="str">
        <f t="shared" si="3"/>
        <v>74823327,</v>
      </c>
      <c r="F33" s="70" t="str">
        <f t="shared" si="3"/>
        <v>82156425,</v>
      </c>
      <c r="G33" s="70" t="str">
        <f t="shared" si="3"/>
        <v>85718420,</v>
      </c>
      <c r="H33" s="70" t="str">
        <f t="shared" si="3"/>
        <v>83892403,</v>
      </c>
      <c r="I33" s="70" t="str">
        <f t="shared" si="3"/>
        <v>85888544,</v>
      </c>
      <c r="J33" s="70" t="str">
        <f t="shared" si="3"/>
        <v>102825622,</v>
      </c>
      <c r="K33" s="70" t="str">
        <f t="shared" si="3"/>
        <v>115113934,</v>
      </c>
      <c r="L33" s="70" t="str">
        <f t="shared" si="3"/>
        <v>110872800,</v>
      </c>
      <c r="M33" s="70" t="str">
        <f t="shared" si="3"/>
        <v>157250571,</v>
      </c>
      <c r="N33" s="70" t="str">
        <f t="shared" si="3"/>
        <v>123609468,</v>
      </c>
      <c r="O33" s="70" t="str">
        <f t="shared" si="3"/>
        <v>123120222,</v>
      </c>
      <c r="P33" s="70" t="str">
        <f t="shared" si="3"/>
        <v>119703177,</v>
      </c>
      <c r="Q33" s="70" t="str">
        <f t="shared" si="3"/>
        <v>72453270,</v>
      </c>
      <c r="R33" s="70" t="str">
        <f t="shared" si="3"/>
        <v>49638967,</v>
      </c>
      <c r="S33" s="70" t="str">
        <f t="shared" si="3"/>
        <v>52064037,</v>
      </c>
      <c r="T33" s="70" t="str">
        <f t="shared" si="3"/>
        <v>56898910,</v>
      </c>
      <c r="U33" s="70" t="str">
        <f t="shared" si="3"/>
        <v>59897866,</v>
      </c>
      <c r="V33" s="70" t="str">
        <f t="shared" si="3"/>
        <v>60273717,</v>
      </c>
      <c r="W33" s="70" t="str">
        <f t="shared" si="3"/>
        <v>59502552,</v>
      </c>
      <c r="X33" s="70" t="str">
        <f t="shared" si="3"/>
        <v>66824756,</v>
      </c>
      <c r="Y33" s="70" t="str">
        <f t="shared" si="2"/>
        <v>70949629]</v>
      </c>
    </row>
    <row r="34" spans="1:25" x14ac:dyDescent="0.25">
      <c r="A34" s="7" t="s">
        <v>105</v>
      </c>
      <c r="B34" s="70" t="str">
        <f t="shared" si="1"/>
        <v>[804260,</v>
      </c>
      <c r="C34" s="70" t="str">
        <f t="shared" si="3"/>
        <v>814410,</v>
      </c>
      <c r="D34" s="70" t="str">
        <f t="shared" si="3"/>
        <v>791282,</v>
      </c>
      <c r="E34" s="70" t="str">
        <f t="shared" si="3"/>
        <v>745680,</v>
      </c>
      <c r="F34" s="70" t="str">
        <f t="shared" si="3"/>
        <v>797608,</v>
      </c>
      <c r="G34" s="70" t="str">
        <f t="shared" si="3"/>
        <v>793505,</v>
      </c>
      <c r="H34" s="70" t="str">
        <f t="shared" si="3"/>
        <v>807322,</v>
      </c>
      <c r="I34" s="70" t="str">
        <f t="shared" si="3"/>
        <v>15497985,</v>
      </c>
      <c r="J34" s="70" t="str">
        <f t="shared" si="3"/>
        <v>23015254,</v>
      </c>
      <c r="K34" s="70" t="str">
        <f t="shared" si="3"/>
        <v>29554013,</v>
      </c>
      <c r="L34" s="70" t="str">
        <f t="shared" si="3"/>
        <v>28143333,</v>
      </c>
      <c r="M34" s="70" t="str">
        <f t="shared" si="3"/>
        <v>27963364,</v>
      </c>
      <c r="N34" s="70" t="str">
        <f t="shared" si="3"/>
        <v>287271,</v>
      </c>
      <c r="O34" s="70" t="str">
        <f t="shared" si="3"/>
        <v>295912,</v>
      </c>
      <c r="P34" s="70" t="str">
        <f t="shared" si="3"/>
        <v>313517,</v>
      </c>
      <c r="Q34" s="70" t="str">
        <f t="shared" si="3"/>
        <v>300998,</v>
      </c>
      <c r="R34" s="70" t="str">
        <f t="shared" si="3"/>
        <v>430152,</v>
      </c>
      <c r="S34" s="70" t="str">
        <f t="shared" si="3"/>
        <v>1240330,</v>
      </c>
      <c r="T34" s="70" t="str">
        <f t="shared" si="3"/>
        <v>1797782,</v>
      </c>
      <c r="U34" s="70" t="str">
        <f t="shared" si="3"/>
        <v>1041960,</v>
      </c>
      <c r="V34" s="70" t="str">
        <f t="shared" si="3"/>
        <v>903156,</v>
      </c>
      <c r="W34" s="70" t="str">
        <f t="shared" si="3"/>
        <v>927638,</v>
      </c>
      <c r="X34" s="70" t="str">
        <f t="shared" si="3"/>
        <v>777067,</v>
      </c>
      <c r="Y34" s="70" t="str">
        <f t="shared" si="2"/>
        <v>630153]</v>
      </c>
    </row>
    <row r="35" spans="1:25" x14ac:dyDescent="0.25">
      <c r="A35" s="7" t="s">
        <v>161</v>
      </c>
      <c r="B35" s="70" t="str">
        <f t="shared" si="1"/>
        <v>[0,</v>
      </c>
      <c r="C35" s="70" t="str">
        <f t="shared" si="3"/>
        <v>0,</v>
      </c>
      <c r="D35" s="70" t="str">
        <f t="shared" si="3"/>
        <v>0,</v>
      </c>
      <c r="E35" s="70" t="str">
        <f t="shared" si="3"/>
        <v>0,</v>
      </c>
      <c r="F35" s="70" t="str">
        <f t="shared" si="3"/>
        <v>0,</v>
      </c>
      <c r="G35" s="70" t="str">
        <f t="shared" si="3"/>
        <v>0,</v>
      </c>
      <c r="H35" s="70" t="str">
        <f t="shared" si="3"/>
        <v>3029896,</v>
      </c>
      <c r="I35" s="70" t="str">
        <f t="shared" si="3"/>
        <v>7758596,</v>
      </c>
      <c r="J35" s="70" t="str">
        <f t="shared" si="3"/>
        <v>1545856,</v>
      </c>
      <c r="K35" s="70" t="str">
        <f t="shared" si="3"/>
        <v>4340800,</v>
      </c>
      <c r="L35" s="70" t="str">
        <f t="shared" si="3"/>
        <v>3509131,</v>
      </c>
      <c r="M35" s="70" t="str">
        <f t="shared" si="3"/>
        <v>5934021,</v>
      </c>
      <c r="N35" s="70" t="str">
        <f t="shared" si="3"/>
        <v>11771289,</v>
      </c>
      <c r="O35" s="70" t="str">
        <f t="shared" si="3"/>
        <v>21235066,</v>
      </c>
      <c r="P35" s="70" t="str">
        <f t="shared" si="3"/>
        <v>35141119,</v>
      </c>
      <c r="Q35" s="70" t="str">
        <f t="shared" si="3"/>
        <v>44497769,</v>
      </c>
      <c r="R35" s="70" t="str">
        <f t="shared" si="3"/>
        <v>55341924,</v>
      </c>
      <c r="S35" s="70" t="str">
        <f t="shared" si="3"/>
        <v>66664537,</v>
      </c>
      <c r="T35" s="70" t="str">
        <f t="shared" si="3"/>
        <v>93092909,</v>
      </c>
      <c r="U35" s="70" t="str">
        <f t="shared" si="3"/>
        <v>126525666,</v>
      </c>
      <c r="V35" s="70" t="str">
        <f t="shared" si="3"/>
        <v>142261312,</v>
      </c>
      <c r="W35" s="70" t="str">
        <f t="shared" si="3"/>
        <v>142479003,</v>
      </c>
      <c r="X35" s="70" t="str">
        <f t="shared" si="3"/>
        <v>166422083,</v>
      </c>
      <c r="Y35" s="70" t="str">
        <f t="shared" si="2"/>
        <v>173751395]</v>
      </c>
    </row>
    <row r="36" spans="1:25" x14ac:dyDescent="0.25">
      <c r="A36" s="7" t="s">
        <v>6</v>
      </c>
      <c r="B36" s="70" t="str">
        <f t="shared" si="1"/>
        <v>[0,</v>
      </c>
      <c r="C36" s="70" t="str">
        <f t="shared" si="3"/>
        <v>0,</v>
      </c>
      <c r="D36" s="70" t="str">
        <f t="shared" si="3"/>
        <v>0,</v>
      </c>
      <c r="E36" s="70" t="str">
        <f t="shared" si="3"/>
        <v>0,</v>
      </c>
      <c r="F36" s="70" t="str">
        <f t="shared" si="3"/>
        <v>0,</v>
      </c>
      <c r="G36" s="70" t="str">
        <f t="shared" si="3"/>
        <v>0,</v>
      </c>
      <c r="H36" s="70" t="str">
        <f t="shared" si="3"/>
        <v>0,</v>
      </c>
      <c r="I36" s="70" t="str">
        <f t="shared" si="3"/>
        <v>6301,</v>
      </c>
      <c r="J36" s="70" t="str">
        <f t="shared" si="3"/>
        <v>1716888,</v>
      </c>
      <c r="K36" s="70" t="str">
        <f t="shared" si="3"/>
        <v>1579536,</v>
      </c>
      <c r="L36" s="70" t="str">
        <f t="shared" si="3"/>
        <v>9327524,</v>
      </c>
      <c r="M36" s="70" t="str">
        <f t="shared" si="3"/>
        <v>23147609,</v>
      </c>
      <c r="N36" s="70" t="str">
        <f t="shared" si="3"/>
        <v>41170015,</v>
      </c>
      <c r="O36" s="70" t="str">
        <f t="shared" si="3"/>
        <v>66222136,</v>
      </c>
      <c r="P36" s="70" t="str">
        <f t="shared" si="3"/>
        <v>89756384,</v>
      </c>
      <c r="Q36" s="70" t="str">
        <f t="shared" si="3"/>
        <v>107603981,</v>
      </c>
      <c r="R36" s="70" t="str">
        <f t="shared" si="3"/>
        <v>127327221,</v>
      </c>
      <c r="S36" s="70" t="str">
        <f t="shared" si="3"/>
        <v>136528866,</v>
      </c>
      <c r="T36" s="70" t="str">
        <f t="shared" si="3"/>
        <v>145562505,</v>
      </c>
      <c r="U36" s="70" t="str">
        <f t="shared" si="3"/>
        <v>141811833,</v>
      </c>
      <c r="V36" s="70" t="str">
        <f t="shared" si="3"/>
        <v>160800233,</v>
      </c>
      <c r="W36" s="70" t="str">
        <f t="shared" si="3"/>
        <v>186996097,</v>
      </c>
      <c r="X36" s="70" t="str">
        <f t="shared" si="3"/>
        <v>209165466,</v>
      </c>
      <c r="Y36" s="70" t="str">
        <f t="shared" si="2"/>
        <v>205938451]</v>
      </c>
    </row>
    <row r="38" spans="1:25" x14ac:dyDescent="0.25">
      <c r="A38" s="7" t="s">
        <v>139</v>
      </c>
      <c r="B38" s="70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0" t="str">
        <f t="shared" ref="B39:B54" si="4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0" t="str">
        <f t="shared" si="4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0" t="str">
        <f t="shared" si="4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0" t="str">
        <f t="shared" si="4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0" t="str">
        <f t="shared" si="4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0" t="str">
        <f t="shared" si="4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0" t="str">
        <f t="shared" si="4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0" t="str">
        <f t="shared" si="4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0" t="str">
        <f t="shared" si="4"/>
        <v>[77148,78898,77949,0,0,0,0,0,0,0,0,0,0,0,0,14725,213958,0,896286,160010,0,0,0,0],</v>
      </c>
    </row>
    <row r="48" spans="1:25" x14ac:dyDescent="0.25">
      <c r="A48" s="7" t="s">
        <v>79</v>
      </c>
      <c r="B48" s="70" t="str">
        <f t="shared" si="4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0" t="str">
        <f t="shared" si="4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0" t="str">
        <f t="shared" si="4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0" t="str">
        <f t="shared" si="4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0" t="str">
        <f t="shared" si="4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0" t="str">
        <f t="shared" si="4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0" t="str">
        <f t="shared" si="4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0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0" t="str">
        <f t="shared" ref="A57:A72" si="5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0" t="str">
        <f t="shared" si="5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0" t="str">
        <f t="shared" si="5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0" t="str">
        <f t="shared" si="5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0" t="str">
        <f t="shared" si="5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0" t="str">
        <f t="shared" si="5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0" t="str">
        <f t="shared" si="5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0" t="str">
        <f t="shared" si="5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0" t="str">
        <f t="shared" si="5"/>
        <v>"Hexa": [77148,78898,77949,0,0,0,0,0,0,0,0,0,0,0,0,14725,213958,0,896286,160010,0,0,0,0],</v>
      </c>
    </row>
    <row r="66" spans="1:1" x14ac:dyDescent="0.25">
      <c r="A66" s="70" t="str">
        <f t="shared" si="5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0" t="str">
        <f t="shared" si="5"/>
        <v>"OPV": [0,0,0,0,0,0,0,0,0,0,0,0,0,0,0,0,320876850,459080986,455559619,463818185,445823504,438402962,470271315,477813507],</v>
      </c>
    </row>
    <row r="68" spans="1:1" x14ac:dyDescent="0.25">
      <c r="A68" s="70" t="str">
        <f t="shared" si="5"/>
        <v>"HPV": [0,0,0,0,0,0,0,0,9437,15033,7008,15318,60837,181341,349925,514654,1545657,2487801,6959717,10275961,12011982,18988210,18779835,27459977],</v>
      </c>
    </row>
    <row r="69" spans="1:1" x14ac:dyDescent="0.25">
      <c r="A69" s="70" t="str">
        <f t="shared" si="5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0" t="str">
        <f t="shared" si="5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0" t="str">
        <f t="shared" si="5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0" t="str">
        <f t="shared" si="5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0" t="str">
        <f t="shared" ref="A74:A90" si="6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0" t="str">
        <f t="shared" si="6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0" t="str">
        <f t="shared" si="6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0" t="str">
        <f t="shared" si="6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0" t="str">
        <f t="shared" si="6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0" t="str">
        <f t="shared" si="6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0" t="str">
        <f t="shared" si="6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0" t="str">
        <f t="shared" si="6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0" t="str">
        <f t="shared" si="6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0" t="str">
        <f t="shared" si="6"/>
        <v xml:space="preserve">"Hexa": [77148,78898,77949,0,0,0,0,0,0,0,0,0,0,0,0,14725,213958,0,896286,160010,0,0,0,0],: </v>
      </c>
    </row>
    <row r="84" spans="1:10" x14ac:dyDescent="0.25">
      <c r="A84" s="70" t="str">
        <f t="shared" si="6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0" t="str">
        <f t="shared" si="6"/>
        <v xml:space="preserve">"OPV": [0,0,0,0,0,0,0,0,0,0,0,0,0,0,0,0,320876850,459080986,455559619,463818185,445823504,438402962,470271315,477813507],: </v>
      </c>
    </row>
    <row r="86" spans="1:10" x14ac:dyDescent="0.25">
      <c r="A86" s="70" t="str">
        <f t="shared" si="6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0" t="str">
        <f t="shared" si="6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0" t="str">
        <f t="shared" si="6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0" t="str">
        <f t="shared" si="6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0" t="str">
        <f t="shared" si="6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0" t="s">
        <v>182</v>
      </c>
      <c r="D92" s="70" t="s">
        <v>183</v>
      </c>
      <c r="F92" s="70" t="s">
        <v>184</v>
      </c>
      <c r="H92" s="70" t="s">
        <v>185</v>
      </c>
    </row>
    <row r="93" spans="1:10" ht="105" x14ac:dyDescent="0.25">
      <c r="A93" s="7" t="s">
        <v>139</v>
      </c>
      <c r="B93" s="72">
        <v>4.4603111896922398E-2</v>
      </c>
      <c r="C93" s="7" t="s">
        <v>139</v>
      </c>
      <c r="D93" s="72">
        <v>4.4603111896922398E-2</v>
      </c>
      <c r="E93" s="7" t="s">
        <v>86</v>
      </c>
      <c r="F93" s="72">
        <v>2.8222915579930501E-2</v>
      </c>
      <c r="G93" s="7" t="s">
        <v>188</v>
      </c>
      <c r="H93" s="74">
        <v>0.7</v>
      </c>
      <c r="J93" s="75" t="s">
        <v>186</v>
      </c>
    </row>
    <row r="94" spans="1:10" x14ac:dyDescent="0.25">
      <c r="A94" s="7" t="s">
        <v>82</v>
      </c>
      <c r="B94" s="73">
        <v>0.60176670378566299</v>
      </c>
      <c r="C94" s="7" t="s">
        <v>192</v>
      </c>
      <c r="D94" s="72">
        <v>0.01</v>
      </c>
      <c r="E94" s="7" t="s">
        <v>84</v>
      </c>
      <c r="F94" s="73">
        <v>0.52495778815762095</v>
      </c>
      <c r="G94" s="7" t="s">
        <v>189</v>
      </c>
      <c r="H94" s="74">
        <v>0.95</v>
      </c>
    </row>
    <row r="95" spans="1:10" x14ac:dyDescent="0.25">
      <c r="A95" s="7" t="s">
        <v>7</v>
      </c>
      <c r="B95" s="72">
        <v>3.5671476343220798E-3</v>
      </c>
      <c r="C95" s="7" t="s">
        <v>193</v>
      </c>
      <c r="D95" s="76">
        <v>0.42</v>
      </c>
      <c r="E95" s="7" t="s">
        <v>73</v>
      </c>
      <c r="F95" s="73">
        <v>0.658732446387158</v>
      </c>
      <c r="G95" s="7" t="s">
        <v>161</v>
      </c>
      <c r="H95" s="74">
        <v>0.89</v>
      </c>
      <c r="J95" s="70" t="s">
        <v>187</v>
      </c>
    </row>
    <row r="96" spans="1:10" x14ac:dyDescent="0.25">
      <c r="A96" s="7" t="s">
        <v>86</v>
      </c>
      <c r="B96" s="72">
        <v>2.8222915579930501E-2</v>
      </c>
      <c r="C96" s="7" t="s">
        <v>7</v>
      </c>
      <c r="D96" s="72">
        <v>3.5671476343220798E-3</v>
      </c>
      <c r="E96" s="7" t="s">
        <v>74</v>
      </c>
      <c r="F96" s="74">
        <v>0.92235049618967202</v>
      </c>
      <c r="G96" s="7" t="s">
        <v>6</v>
      </c>
      <c r="H96" s="74">
        <v>0.98</v>
      </c>
    </row>
    <row r="97" spans="1:6" x14ac:dyDescent="0.25">
      <c r="A97" s="7" t="s">
        <v>84</v>
      </c>
      <c r="B97" s="73">
        <v>0.52495778815762095</v>
      </c>
      <c r="E97" s="7" t="s">
        <v>77</v>
      </c>
      <c r="F97" s="72">
        <v>3.55220047548402E-2</v>
      </c>
    </row>
    <row r="98" spans="1:6" x14ac:dyDescent="0.25">
      <c r="A98" s="7" t="s">
        <v>73</v>
      </c>
      <c r="B98" s="73">
        <v>0.658732446387158</v>
      </c>
      <c r="E98" s="7" t="s">
        <v>1</v>
      </c>
      <c r="F98" s="74">
        <v>0.94736317707128803</v>
      </c>
    </row>
    <row r="99" spans="1:6" x14ac:dyDescent="0.25">
      <c r="A99" s="7" t="s">
        <v>74</v>
      </c>
      <c r="B99" s="74">
        <v>0.92235049618967202</v>
      </c>
      <c r="E99" s="7" t="s">
        <v>142</v>
      </c>
      <c r="F99" s="72">
        <v>3.40198639357304E-2</v>
      </c>
    </row>
    <row r="100" spans="1:6" x14ac:dyDescent="0.25">
      <c r="A100" s="7" t="s">
        <v>77</v>
      </c>
      <c r="B100" s="72">
        <v>3.55220047548402E-2</v>
      </c>
      <c r="E100" s="7" t="s">
        <v>190</v>
      </c>
      <c r="F100" s="72">
        <v>0.14000000000000001</v>
      </c>
    </row>
    <row r="101" spans="1:6" x14ac:dyDescent="0.25">
      <c r="A101" s="7" t="s">
        <v>1</v>
      </c>
      <c r="B101" s="74">
        <v>0.94736317707128803</v>
      </c>
      <c r="E101" s="7" t="s">
        <v>191</v>
      </c>
      <c r="F101" s="74">
        <v>0.95</v>
      </c>
    </row>
    <row r="102" spans="1:6" x14ac:dyDescent="0.25">
      <c r="A102" s="7" t="s">
        <v>142</v>
      </c>
      <c r="B102" s="72">
        <v>3.40198639357304E-2</v>
      </c>
      <c r="E102" s="7" t="s">
        <v>175</v>
      </c>
      <c r="F102" s="76">
        <v>0.4</v>
      </c>
    </row>
    <row r="103" spans="1:6" x14ac:dyDescent="0.25">
      <c r="A103" s="7" t="s">
        <v>79</v>
      </c>
      <c r="B103" s="74">
        <v>0.71135552976522598</v>
      </c>
      <c r="E103" s="7" t="s">
        <v>78</v>
      </c>
      <c r="F103" s="72">
        <v>6.62294170170607E-5</v>
      </c>
    </row>
    <row r="104" spans="1:6" x14ac:dyDescent="0.25">
      <c r="A104" s="7" t="s">
        <v>175</v>
      </c>
      <c r="B104" s="73">
        <v>0.68208483127570896</v>
      </c>
      <c r="E104" s="7" t="s">
        <v>105</v>
      </c>
      <c r="F104" s="72">
        <v>2.51408842676289E-2</v>
      </c>
    </row>
    <row r="105" spans="1:6" x14ac:dyDescent="0.25">
      <c r="A105" s="7" t="s">
        <v>78</v>
      </c>
      <c r="B105" s="72">
        <v>6.62294170170607E-5</v>
      </c>
    </row>
    <row r="106" spans="1:6" x14ac:dyDescent="0.25">
      <c r="A106" s="7" t="s">
        <v>105</v>
      </c>
      <c r="B106" s="72">
        <v>2.51408842676289E-2</v>
      </c>
      <c r="D106" s="82" t="s">
        <v>198</v>
      </c>
      <c r="E106" s="82"/>
    </row>
    <row r="107" spans="1:6" x14ac:dyDescent="0.25">
      <c r="A107" s="7" t="s">
        <v>5</v>
      </c>
      <c r="B107" s="73">
        <v>0.566218725991401</v>
      </c>
      <c r="D107" s="72" t="s">
        <v>194</v>
      </c>
      <c r="E107" s="77">
        <v>9</v>
      </c>
    </row>
    <row r="108" spans="1:6" x14ac:dyDescent="0.25">
      <c r="A108" s="7" t="s">
        <v>161</v>
      </c>
      <c r="B108" s="74">
        <v>0.78385614450002705</v>
      </c>
      <c r="D108" s="76" t="s">
        <v>195</v>
      </c>
      <c r="E108" s="77">
        <v>2</v>
      </c>
    </row>
    <row r="109" spans="1:6" x14ac:dyDescent="0.25">
      <c r="A109" s="7" t="s">
        <v>6</v>
      </c>
      <c r="B109" s="74">
        <v>0.88316128259450699</v>
      </c>
      <c r="D109" s="73" t="s">
        <v>196</v>
      </c>
      <c r="E109" s="77">
        <v>2</v>
      </c>
    </row>
    <row r="110" spans="1:6" x14ac:dyDescent="0.25">
      <c r="D110" s="74" t="s">
        <v>197</v>
      </c>
      <c r="E110" s="77">
        <v>7</v>
      </c>
    </row>
  </sheetData>
  <mergeCells count="1">
    <mergeCell ref="D106:E10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298B-9C5F-4C14-9368-8CF2CEDAFF01}">
  <dimension ref="A1:Y110"/>
  <sheetViews>
    <sheetView topLeftCell="A90" workbookViewId="0">
      <selection activeCell="I101" sqref="I101"/>
    </sheetView>
  </sheetViews>
  <sheetFormatPr defaultRowHeight="15" x14ac:dyDescent="0.25"/>
  <cols>
    <col min="1" max="1" width="9" style="70" bestFit="1" customWidth="1"/>
    <col min="2" max="9" width="14.7109375" style="70" bestFit="1" customWidth="1"/>
    <col min="10" max="10" width="76.42578125" style="70" customWidth="1"/>
    <col min="11" max="25" width="14.7109375" style="70" bestFit="1" customWidth="1"/>
  </cols>
  <sheetData>
    <row r="1" spans="1:25" x14ac:dyDescent="0.25">
      <c r="A1"/>
      <c r="B1" s="70">
        <v>2000</v>
      </c>
      <c r="C1" s="70">
        <v>2001</v>
      </c>
      <c r="D1" s="70">
        <v>2002</v>
      </c>
      <c r="E1" s="70">
        <v>2003</v>
      </c>
      <c r="F1" s="70">
        <v>2004</v>
      </c>
      <c r="G1" s="70">
        <v>2005</v>
      </c>
      <c r="H1" s="70">
        <v>2006</v>
      </c>
      <c r="I1" s="70">
        <v>2007</v>
      </c>
      <c r="J1" s="70">
        <v>2008</v>
      </c>
      <c r="K1" s="70">
        <v>2009</v>
      </c>
      <c r="L1" s="70">
        <v>2010</v>
      </c>
      <c r="M1" s="70">
        <v>2011</v>
      </c>
      <c r="N1" s="70">
        <v>2012</v>
      </c>
      <c r="O1" s="70">
        <v>2013</v>
      </c>
      <c r="P1" s="70">
        <v>2014</v>
      </c>
      <c r="Q1" s="70">
        <v>2015</v>
      </c>
      <c r="R1" s="70">
        <v>2016</v>
      </c>
      <c r="S1" s="70">
        <v>2017</v>
      </c>
      <c r="T1" s="70">
        <v>2018</v>
      </c>
      <c r="U1" s="70">
        <v>2019</v>
      </c>
      <c r="V1" s="70">
        <v>2020</v>
      </c>
      <c r="W1" s="70">
        <v>2021</v>
      </c>
      <c r="X1" s="70">
        <v>2022</v>
      </c>
      <c r="Y1" s="70">
        <v>2023</v>
      </c>
    </row>
    <row r="2" spans="1:25" x14ac:dyDescent="0.25">
      <c r="A2" s="7" t="s">
        <v>139</v>
      </c>
      <c r="B2" s="71">
        <v>78580259.047222212</v>
      </c>
      <c r="C2" s="71">
        <v>11428.56</v>
      </c>
      <c r="D2" s="71">
        <v>10932.726315789474</v>
      </c>
      <c r="E2" s="71">
        <v>10567.572631578949</v>
      </c>
      <c r="F2" s="71">
        <v>10631.53705263158</v>
      </c>
      <c r="G2" s="71">
        <v>10866.430184210529</v>
      </c>
      <c r="H2" s="71">
        <v>11173.116684210527</v>
      </c>
      <c r="I2" s="71">
        <v>11270.145</v>
      </c>
      <c r="J2" s="71">
        <v>11244.154263157896</v>
      </c>
      <c r="K2" s="71">
        <v>0</v>
      </c>
      <c r="L2" s="71">
        <v>17696390.555555556</v>
      </c>
      <c r="M2" s="71">
        <v>17721467.777777776</v>
      </c>
      <c r="N2" s="71">
        <v>8703411.1111111119</v>
      </c>
      <c r="O2" s="71">
        <v>26868697.555555556</v>
      </c>
      <c r="P2" s="71">
        <v>28597586.077777781</v>
      </c>
      <c r="Q2" s="71">
        <v>31745852.630994152</v>
      </c>
      <c r="R2" s="71">
        <v>19409700.474853802</v>
      </c>
      <c r="S2" s="71">
        <v>36511823.612777777</v>
      </c>
      <c r="T2" s="71">
        <v>18347408.858788889</v>
      </c>
      <c r="U2" s="71">
        <v>14873766.081756432</v>
      </c>
      <c r="V2" s="71">
        <v>9862745.0719649121</v>
      </c>
      <c r="W2" s="71">
        <v>14777182.228013158</v>
      </c>
      <c r="X2" s="71">
        <v>37949221.241086259</v>
      </c>
      <c r="Y2" s="71">
        <v>17547795.842103511</v>
      </c>
    </row>
    <row r="3" spans="1:25" x14ac:dyDescent="0.25">
      <c r="A3" s="7" t="s">
        <v>82</v>
      </c>
      <c r="B3" s="71">
        <v>16708549.179678362</v>
      </c>
      <c r="C3" s="71">
        <v>16708884.350394737</v>
      </c>
      <c r="D3" s="71">
        <v>16621239.041359648</v>
      </c>
      <c r="E3" s="71">
        <v>16912298.703333337</v>
      </c>
      <c r="F3" s="71">
        <v>17990792.786473684</v>
      </c>
      <c r="G3" s="71">
        <v>32224595.057609651</v>
      </c>
      <c r="H3" s="71">
        <v>36010295.660687134</v>
      </c>
      <c r="I3" s="71">
        <v>35638478.889780708</v>
      </c>
      <c r="J3" s="71">
        <v>21093263.448026314</v>
      </c>
      <c r="K3" s="71">
        <v>22353124.59600877</v>
      </c>
      <c r="L3" s="71">
        <v>22384691.346491225</v>
      </c>
      <c r="M3" s="71">
        <v>21083590.427631583</v>
      </c>
      <c r="N3" s="71">
        <v>4248060.8244444449</v>
      </c>
      <c r="O3" s="71">
        <v>15084549.272055555</v>
      </c>
      <c r="P3" s="71">
        <v>24102254.030939683</v>
      </c>
      <c r="Q3" s="71">
        <v>101868384.09515873</v>
      </c>
      <c r="R3" s="71">
        <v>89505897.242817461</v>
      </c>
      <c r="S3" s="71">
        <v>166340120.54050559</v>
      </c>
      <c r="T3" s="71">
        <v>410169950.20542622</v>
      </c>
      <c r="U3" s="71">
        <v>332425433.06345028</v>
      </c>
      <c r="V3" s="71">
        <v>194291046.87632623</v>
      </c>
      <c r="W3" s="71">
        <v>331279149.4189564</v>
      </c>
      <c r="X3" s="71">
        <v>227385022.03396031</v>
      </c>
      <c r="Y3" s="71">
        <v>278835990.6812675</v>
      </c>
    </row>
    <row r="4" spans="1:25" x14ac:dyDescent="0.25">
      <c r="A4" s="7" t="s">
        <v>7</v>
      </c>
      <c r="B4" s="71">
        <v>14895546.665213035</v>
      </c>
      <c r="C4" s="71">
        <v>15916936.7598325</v>
      </c>
      <c r="D4" s="71">
        <v>16440302.312529236</v>
      </c>
      <c r="E4" s="71">
        <v>17051794.304503344</v>
      </c>
      <c r="F4" s="71">
        <v>25753121.473489977</v>
      </c>
      <c r="G4" s="71">
        <v>26516485.200317882</v>
      </c>
      <c r="H4" s="71">
        <v>28053836.320973262</v>
      </c>
      <c r="I4" s="71">
        <v>27963867.296271931</v>
      </c>
      <c r="J4" s="71">
        <v>39454388.755779035</v>
      </c>
      <c r="K4" s="71">
        <v>41213108.991875514</v>
      </c>
      <c r="L4" s="71">
        <v>42926745.29106307</v>
      </c>
      <c r="M4" s="71">
        <v>42885186.713556819</v>
      </c>
      <c r="N4" s="71">
        <v>22148782.495467838</v>
      </c>
      <c r="O4" s="71">
        <v>22105642.148086883</v>
      </c>
      <c r="P4" s="71">
        <v>19837776.942030076</v>
      </c>
      <c r="Q4" s="71">
        <v>26434484.64704261</v>
      </c>
      <c r="R4" s="71">
        <v>20737738.80000627</v>
      </c>
      <c r="S4" s="71">
        <v>20303125.537451964</v>
      </c>
      <c r="T4" s="71">
        <v>23934204.520910822</v>
      </c>
      <c r="U4" s="71">
        <v>21792972.342667714</v>
      </c>
      <c r="V4" s="71">
        <v>18694959.626677111</v>
      </c>
      <c r="W4" s="71">
        <v>26052155.976207186</v>
      </c>
      <c r="X4" s="71">
        <v>26626398.679317039</v>
      </c>
      <c r="Y4" s="71">
        <v>25785425.000522137</v>
      </c>
    </row>
    <row r="5" spans="1:25" x14ac:dyDescent="0.25">
      <c r="A5" s="7" t="s">
        <v>86</v>
      </c>
      <c r="B5" s="71">
        <v>78159428.70084165</v>
      </c>
      <c r="C5" s="71">
        <v>79754932.221154869</v>
      </c>
      <c r="D5" s="71">
        <v>82572071.930308357</v>
      </c>
      <c r="E5" s="71">
        <v>85747371.100018784</v>
      </c>
      <c r="F5" s="71">
        <v>88823501.799946755</v>
      </c>
      <c r="G5" s="71">
        <v>90980825.641051829</v>
      </c>
      <c r="H5" s="71">
        <v>93434224.750214219</v>
      </c>
      <c r="I5" s="71">
        <v>98105257.648446709</v>
      </c>
      <c r="J5" s="71">
        <v>101078445.76415768</v>
      </c>
      <c r="K5" s="71">
        <v>104582797.03656946</v>
      </c>
      <c r="L5" s="71">
        <v>105776184.51721099</v>
      </c>
      <c r="M5" s="71">
        <v>135372840.88102099</v>
      </c>
      <c r="N5" s="71">
        <v>148582723.54941028</v>
      </c>
      <c r="O5" s="71">
        <v>164282756.196031</v>
      </c>
      <c r="P5" s="71">
        <v>173551045.36105618</v>
      </c>
      <c r="Q5" s="71">
        <v>177885694.95791954</v>
      </c>
      <c r="R5" s="71">
        <v>149831513.85508409</v>
      </c>
      <c r="S5" s="71">
        <v>186085427.29991889</v>
      </c>
      <c r="T5" s="71">
        <v>164768260.88476095</v>
      </c>
      <c r="U5" s="71">
        <v>42499759.782201052</v>
      </c>
      <c r="V5" s="71">
        <v>10518907.671401918</v>
      </c>
      <c r="W5" s="71">
        <v>7180030.7496517412</v>
      </c>
      <c r="X5" s="71">
        <v>6811039.7848258708</v>
      </c>
      <c r="Y5" s="71">
        <v>6823077.7507462688</v>
      </c>
    </row>
    <row r="6" spans="1:25" x14ac:dyDescent="0.25">
      <c r="A6" s="7" t="s">
        <v>84</v>
      </c>
      <c r="B6" s="71">
        <v>50764265.476614729</v>
      </c>
      <c r="C6" s="71">
        <v>50774337.539247289</v>
      </c>
      <c r="D6" s="71">
        <v>50335231.889878154</v>
      </c>
      <c r="E6" s="71">
        <v>52856121.30412057</v>
      </c>
      <c r="F6" s="71">
        <v>69969918.250373557</v>
      </c>
      <c r="G6" s="71">
        <v>68257614.967450723</v>
      </c>
      <c r="H6" s="71">
        <v>54723842.706776053</v>
      </c>
      <c r="I6" s="71">
        <v>53185019.472065121</v>
      </c>
      <c r="J6" s="71">
        <v>38358186.250233114</v>
      </c>
      <c r="K6" s="71">
        <v>36289140.125531644</v>
      </c>
      <c r="L6" s="71">
        <v>31847542.07414145</v>
      </c>
      <c r="M6" s="71">
        <v>29878049.329418853</v>
      </c>
      <c r="N6" s="71">
        <v>27224650.822669961</v>
      </c>
      <c r="O6" s="71">
        <v>28389437.100745611</v>
      </c>
      <c r="P6" s="71">
        <v>29041953.411824565</v>
      </c>
      <c r="Q6" s="71">
        <v>34928665.468587726</v>
      </c>
      <c r="R6" s="71">
        <v>74784905.956905723</v>
      </c>
      <c r="S6" s="71">
        <v>94070115.624735251</v>
      </c>
      <c r="T6" s="71">
        <v>129988736.12009519</v>
      </c>
      <c r="U6" s="71">
        <v>244473057.03895932</v>
      </c>
      <c r="V6" s="71">
        <v>268834027.91079444</v>
      </c>
      <c r="W6" s="71">
        <v>243482508.59073868</v>
      </c>
      <c r="X6" s="71">
        <v>265683552.45220169</v>
      </c>
      <c r="Y6" s="71">
        <v>267449255.31556958</v>
      </c>
    </row>
    <row r="7" spans="1:25" x14ac:dyDescent="0.25">
      <c r="A7" s="7" t="s">
        <v>73</v>
      </c>
      <c r="B7" s="71">
        <v>20923950.020323381</v>
      </c>
      <c r="C7" s="71">
        <v>20532693.853786986</v>
      </c>
      <c r="D7" s="71">
        <v>20111574.529954832</v>
      </c>
      <c r="E7" s="71">
        <v>19392670.084334902</v>
      </c>
      <c r="F7" s="71">
        <v>19054703.122363184</v>
      </c>
      <c r="G7" s="71">
        <v>18693917.72138387</v>
      </c>
      <c r="H7" s="71">
        <v>20305661.86554661</v>
      </c>
      <c r="I7" s="71">
        <v>19916221.87937418</v>
      </c>
      <c r="J7" s="71">
        <v>19937955.877736975</v>
      </c>
      <c r="K7" s="71">
        <v>19825403.520701751</v>
      </c>
      <c r="L7" s="71">
        <v>19155298.849561401</v>
      </c>
      <c r="M7" s="71">
        <v>19326300.843421053</v>
      </c>
      <c r="N7" s="71">
        <v>1956106.5441666669</v>
      </c>
      <c r="O7" s="71">
        <v>1868860.0933333333</v>
      </c>
      <c r="P7" s="71">
        <v>1900870.4433333334</v>
      </c>
      <c r="Q7" s="71">
        <v>1887280.7208333334</v>
      </c>
      <c r="R7" s="71">
        <v>1784486.5525000002</v>
      </c>
      <c r="S7" s="71">
        <v>2200512.6324999998</v>
      </c>
      <c r="T7" s="71">
        <v>2217689.2383333333</v>
      </c>
      <c r="U7" s="71">
        <v>2177787.5541666667</v>
      </c>
      <c r="V7" s="71">
        <v>5062812.0449999999</v>
      </c>
      <c r="W7" s="71">
        <v>6404901.9598684218</v>
      </c>
      <c r="X7" s="71">
        <v>6442339.4954824559</v>
      </c>
      <c r="Y7" s="71">
        <v>6541567.8275000006</v>
      </c>
    </row>
    <row r="8" spans="1:25" x14ac:dyDescent="0.25">
      <c r="A8" s="7" t="s">
        <v>74</v>
      </c>
      <c r="B8" s="71">
        <v>311598814.06162727</v>
      </c>
      <c r="C8" s="71">
        <v>314913212.59057081</v>
      </c>
      <c r="D8" s="71">
        <v>275098221.46512675</v>
      </c>
      <c r="E8" s="71">
        <v>262871459.77782801</v>
      </c>
      <c r="F8" s="71">
        <v>261128636.20449466</v>
      </c>
      <c r="G8" s="71">
        <v>257038004.93187308</v>
      </c>
      <c r="H8" s="71">
        <v>243336949.27765125</v>
      </c>
      <c r="I8" s="71">
        <v>227800791.45995286</v>
      </c>
      <c r="J8" s="71">
        <v>225945393.95778477</v>
      </c>
      <c r="K8" s="71">
        <v>232813533.26876855</v>
      </c>
      <c r="L8" s="71">
        <v>235328125.65923217</v>
      </c>
      <c r="M8" s="71">
        <v>232957520.37821281</v>
      </c>
      <c r="N8" s="71">
        <v>144417830.43723875</v>
      </c>
      <c r="O8" s="71">
        <v>142191816.79626864</v>
      </c>
      <c r="P8" s="71">
        <v>138986007.87026119</v>
      </c>
      <c r="Q8" s="71">
        <v>91307954.436380625</v>
      </c>
      <c r="R8" s="71">
        <v>64954166.940870769</v>
      </c>
      <c r="S8" s="71">
        <v>66630415.072983138</v>
      </c>
      <c r="T8" s="71">
        <v>66455709.460084438</v>
      </c>
      <c r="U8" s="71">
        <v>65876338.938094288</v>
      </c>
      <c r="V8" s="71">
        <v>61511976.258134328</v>
      </c>
      <c r="W8" s="71">
        <v>62054151.5187333</v>
      </c>
      <c r="X8" s="71">
        <v>65413986.955080487</v>
      </c>
      <c r="Y8" s="71">
        <v>65841841.856021188</v>
      </c>
    </row>
    <row r="9" spans="1:25" x14ac:dyDescent="0.25">
      <c r="A9" s="7" t="s">
        <v>77</v>
      </c>
      <c r="B9" s="71">
        <v>4569986.5263157897</v>
      </c>
      <c r="C9" s="71">
        <v>2613786.0340789473</v>
      </c>
      <c r="D9" s="71">
        <v>2314794.7413157895</v>
      </c>
      <c r="E9" s="71">
        <v>4993056.5542105269</v>
      </c>
      <c r="F9" s="71">
        <v>6731549.5777631579</v>
      </c>
      <c r="G9" s="71">
        <v>5829500.5882894741</v>
      </c>
      <c r="H9" s="71">
        <v>2388879.1685526315</v>
      </c>
      <c r="I9" s="71">
        <v>2682333.9976315787</v>
      </c>
      <c r="J9" s="71">
        <v>5503855.038947368</v>
      </c>
      <c r="K9" s="71">
        <v>6149962.5543421051</v>
      </c>
      <c r="L9" s="71">
        <v>2755123.0750000002</v>
      </c>
      <c r="M9" s="71">
        <v>3016433.5149999997</v>
      </c>
      <c r="N9" s="71">
        <v>2770511.5999999996</v>
      </c>
      <c r="O9" s="71">
        <v>2616817.8899999997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2577182.4</v>
      </c>
      <c r="V9" s="71">
        <v>2545600.65</v>
      </c>
      <c r="W9" s="71">
        <v>5826576.9305263162</v>
      </c>
      <c r="X9" s="71">
        <v>5816636.375</v>
      </c>
      <c r="Y9" s="71">
        <v>5854584.8755263165</v>
      </c>
    </row>
    <row r="10" spans="1:25" x14ac:dyDescent="0.25">
      <c r="A10" s="7" t="s">
        <v>1</v>
      </c>
      <c r="B10" s="71">
        <v>5598384.2381578945</v>
      </c>
      <c r="C10" s="71">
        <v>11321282.009342104</v>
      </c>
      <c r="D10" s="71">
        <v>21742186.647105262</v>
      </c>
      <c r="E10" s="71">
        <v>23354085.385394737</v>
      </c>
      <c r="F10" s="71">
        <v>34313913.773947358</v>
      </c>
      <c r="G10" s="71">
        <v>44391889.895394735</v>
      </c>
      <c r="H10" s="71">
        <v>49168454.713947371</v>
      </c>
      <c r="I10" s="71">
        <v>61360525.330131561</v>
      </c>
      <c r="J10" s="71">
        <v>68262550.020394742</v>
      </c>
      <c r="K10" s="71">
        <v>121877662.13407895</v>
      </c>
      <c r="L10" s="71">
        <v>123733296.76793858</v>
      </c>
      <c r="M10" s="71">
        <v>129845141.81893274</v>
      </c>
      <c r="N10" s="71">
        <v>142806746.3986842</v>
      </c>
      <c r="O10" s="71">
        <v>151228547.34372807</v>
      </c>
      <c r="P10" s="71">
        <v>175493078.55431286</v>
      </c>
      <c r="Q10" s="71">
        <v>234133328.25460526</v>
      </c>
      <c r="R10" s="71">
        <v>261276329.46746492</v>
      </c>
      <c r="S10" s="71">
        <v>266757548.93412569</v>
      </c>
      <c r="T10" s="71">
        <v>275438932.44827187</v>
      </c>
      <c r="U10" s="71">
        <v>280161656.13334793</v>
      </c>
      <c r="V10" s="71">
        <v>269016593.68001461</v>
      </c>
      <c r="W10" s="71">
        <v>252782013.30394739</v>
      </c>
      <c r="X10" s="71">
        <v>276183400.32488823</v>
      </c>
      <c r="Y10" s="71">
        <v>280768150.91119456</v>
      </c>
    </row>
    <row r="11" spans="1:25" x14ac:dyDescent="0.25">
      <c r="A11" s="7" t="s">
        <v>142</v>
      </c>
      <c r="B11" s="71">
        <v>77147.621052631584</v>
      </c>
      <c r="C11" s="71">
        <v>78898.436052631587</v>
      </c>
      <c r="D11" s="71">
        <v>77949.259342105273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Q11" s="71">
        <v>14724.549928421055</v>
      </c>
      <c r="R11" s="71">
        <v>213958.16491831583</v>
      </c>
      <c r="S11" s="71">
        <v>0</v>
      </c>
      <c r="T11" s="71">
        <v>896285.52631578944</v>
      </c>
      <c r="U11" s="71">
        <v>160009.85263157895</v>
      </c>
      <c r="V11" s="71">
        <v>0</v>
      </c>
      <c r="W11" s="71">
        <v>0</v>
      </c>
      <c r="X11" s="71">
        <v>0</v>
      </c>
      <c r="Y11" s="71">
        <v>0</v>
      </c>
    </row>
    <row r="12" spans="1:25" x14ac:dyDescent="0.25">
      <c r="A12" s="7" t="s">
        <v>79</v>
      </c>
      <c r="B12" s="71">
        <v>0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538568.79999999993</v>
      </c>
      <c r="I12" s="71">
        <v>572237.67999999993</v>
      </c>
      <c r="J12" s="71">
        <v>1564054.0750000002</v>
      </c>
      <c r="K12" s="71">
        <v>1802422.5724999998</v>
      </c>
      <c r="L12" s="71">
        <v>1596326.35</v>
      </c>
      <c r="M12" s="71">
        <v>1432203.1749999998</v>
      </c>
      <c r="N12" s="71">
        <v>1193206.3599999999</v>
      </c>
      <c r="O12" s="71">
        <v>1051750.0339473682</v>
      </c>
      <c r="P12" s="71">
        <v>838163.73810307006</v>
      </c>
      <c r="Q12" s="71">
        <v>14134727.231597047</v>
      </c>
      <c r="R12" s="71">
        <v>45560280.206873044</v>
      </c>
      <c r="S12" s="71">
        <v>51668555.84326534</v>
      </c>
      <c r="T12" s="71">
        <v>65056520.774600595</v>
      </c>
      <c r="U12" s="71">
        <v>82074178.903402403</v>
      </c>
      <c r="V12" s="71">
        <v>79857578.281177551</v>
      </c>
      <c r="W12" s="71">
        <v>83779046.847486719</v>
      </c>
      <c r="X12" s="71">
        <v>111910967.15089689</v>
      </c>
      <c r="Y12" s="71">
        <v>130818258.14145753</v>
      </c>
    </row>
    <row r="13" spans="1:25" x14ac:dyDescent="0.25">
      <c r="A13" s="7" t="s">
        <v>175</v>
      </c>
      <c r="B13" s="71">
        <v>0</v>
      </c>
      <c r="C13" s="71">
        <v>0</v>
      </c>
      <c r="D13" s="71">
        <v>0</v>
      </c>
      <c r="E13" s="71">
        <v>0</v>
      </c>
      <c r="F13" s="71">
        <v>0</v>
      </c>
      <c r="G13" s="71">
        <v>0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320876850.3015002</v>
      </c>
      <c r="S13" s="71">
        <v>459080985.56667638</v>
      </c>
      <c r="T13" s="71">
        <v>455559619.02462643</v>
      </c>
      <c r="U13" s="71">
        <v>463818185.3418051</v>
      </c>
      <c r="V13" s="71">
        <v>445823504.48651975</v>
      </c>
      <c r="W13" s="71">
        <v>438402962.04456699</v>
      </c>
      <c r="X13" s="71">
        <v>470271315.11104214</v>
      </c>
      <c r="Y13" s="71">
        <v>477813506.82563323</v>
      </c>
    </row>
    <row r="14" spans="1:25" x14ac:dyDescent="0.25">
      <c r="A14" s="7" t="s">
        <v>5</v>
      </c>
      <c r="B14" s="71">
        <v>0</v>
      </c>
      <c r="C14" s="71">
        <v>0</v>
      </c>
      <c r="D14" s="71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9436.6315789473701</v>
      </c>
      <c r="K14" s="71">
        <v>15032.895438596493</v>
      </c>
      <c r="L14" s="71">
        <v>7007.8355259009822</v>
      </c>
      <c r="M14" s="71">
        <v>15317.590603642133</v>
      </c>
      <c r="N14" s="71">
        <v>60837.389938961685</v>
      </c>
      <c r="O14" s="71">
        <v>181340.93608095459</v>
      </c>
      <c r="P14" s="71">
        <v>349924.57230215997</v>
      </c>
      <c r="Q14" s="71">
        <v>514653.5207172652</v>
      </c>
      <c r="R14" s="71">
        <v>1545657.2710516718</v>
      </c>
      <c r="S14" s="71">
        <v>2487800.8389640441</v>
      </c>
      <c r="T14" s="71">
        <v>6959716.6980569791</v>
      </c>
      <c r="U14" s="71">
        <v>10275960.501184968</v>
      </c>
      <c r="V14" s="71">
        <v>12011981.852203855</v>
      </c>
      <c r="W14" s="71">
        <v>18988209.721337222</v>
      </c>
      <c r="X14" s="71">
        <v>18779834.86234023</v>
      </c>
      <c r="Y14" s="71">
        <v>27459976.613193259</v>
      </c>
    </row>
    <row r="15" spans="1:25" x14ac:dyDescent="0.25">
      <c r="A15" s="7" t="s">
        <v>78</v>
      </c>
      <c r="B15" s="71">
        <v>20888757.51754386</v>
      </c>
      <c r="C15" s="71">
        <v>23446088.279385965</v>
      </c>
      <c r="D15" s="71">
        <v>67753162.671099514</v>
      </c>
      <c r="E15" s="71">
        <v>74823326.876657188</v>
      </c>
      <c r="F15" s="71">
        <v>82156425.247354388</v>
      </c>
      <c r="G15" s="71">
        <v>85718419.53491953</v>
      </c>
      <c r="H15" s="71">
        <v>83892402.907327384</v>
      </c>
      <c r="I15" s="71">
        <v>85888544.02203387</v>
      </c>
      <c r="J15" s="71">
        <v>102825622.13488758</v>
      </c>
      <c r="K15" s="71">
        <v>115113933.70078091</v>
      </c>
      <c r="L15" s="71">
        <v>110872800.30737072</v>
      </c>
      <c r="M15" s="71">
        <v>157250570.88601673</v>
      </c>
      <c r="N15" s="71">
        <v>123609468.01898211</v>
      </c>
      <c r="O15" s="71">
        <v>123120221.73499703</v>
      </c>
      <c r="P15" s="71">
        <v>119703177.4361579</v>
      </c>
      <c r="Q15" s="71">
        <v>72453269.549125701</v>
      </c>
      <c r="R15" s="71">
        <v>49638967.158254378</v>
      </c>
      <c r="S15" s="71">
        <v>52064037.488535091</v>
      </c>
      <c r="T15" s="71">
        <v>56898909.745938599</v>
      </c>
      <c r="U15" s="71">
        <v>59897866.107681289</v>
      </c>
      <c r="V15" s="71">
        <v>60273716.65505264</v>
      </c>
      <c r="W15" s="71">
        <v>59502552.144086249</v>
      </c>
      <c r="X15" s="71">
        <v>66824756.298947357</v>
      </c>
      <c r="Y15" s="71">
        <v>70949628.8296462</v>
      </c>
    </row>
    <row r="16" spans="1:25" x14ac:dyDescent="0.25">
      <c r="A16" s="7" t="s">
        <v>105</v>
      </c>
      <c r="B16" s="71">
        <v>804259.78947368416</v>
      </c>
      <c r="C16" s="71">
        <v>814409.56736842101</v>
      </c>
      <c r="D16" s="71">
        <v>791281.72789473692</v>
      </c>
      <c r="E16" s="71">
        <v>745679.86605263175</v>
      </c>
      <c r="F16" s="71">
        <v>797608.27776315797</v>
      </c>
      <c r="G16" s="71">
        <v>793505.3601315791</v>
      </c>
      <c r="H16" s="71">
        <v>807322.46184210526</v>
      </c>
      <c r="I16" s="71">
        <v>15497985.037631581</v>
      </c>
      <c r="J16" s="71">
        <v>23015253.727710523</v>
      </c>
      <c r="K16" s="71">
        <v>29554012.882236842</v>
      </c>
      <c r="L16" s="71">
        <v>28143333.279144734</v>
      </c>
      <c r="M16" s="71">
        <v>27963363.659868423</v>
      </c>
      <c r="N16" s="71">
        <v>287270.77894736844</v>
      </c>
      <c r="O16" s="71">
        <v>295912.22842105263</v>
      </c>
      <c r="P16" s="71">
        <v>313516.50986842107</v>
      </c>
      <c r="Q16" s="71">
        <v>300997.51578947366</v>
      </c>
      <c r="R16" s="71">
        <v>430151.70526315796</v>
      </c>
      <c r="S16" s="71">
        <v>1240330.3978947368</v>
      </c>
      <c r="T16" s="71">
        <v>1797781.6965789474</v>
      </c>
      <c r="U16" s="71">
        <v>1041960.3836842106</v>
      </c>
      <c r="V16" s="71">
        <v>903155.61315789458</v>
      </c>
      <c r="W16" s="71">
        <v>927637.83394736843</v>
      </c>
      <c r="X16" s="71">
        <v>777066.97697368416</v>
      </c>
      <c r="Y16" s="71">
        <v>630153.08855263167</v>
      </c>
    </row>
    <row r="17" spans="1:25" x14ac:dyDescent="0.25">
      <c r="A17" s="7" t="s">
        <v>161</v>
      </c>
      <c r="B17" s="71">
        <v>0</v>
      </c>
      <c r="C17" s="71">
        <v>0</v>
      </c>
      <c r="D17" s="71">
        <v>0</v>
      </c>
      <c r="E17" s="71">
        <v>0</v>
      </c>
      <c r="F17" s="71">
        <v>0</v>
      </c>
      <c r="G17" s="71">
        <v>0</v>
      </c>
      <c r="H17" s="71">
        <v>3029895.8736842112</v>
      </c>
      <c r="I17" s="71">
        <v>7758595.6578421062</v>
      </c>
      <c r="J17" s="71">
        <v>1545856.413622807</v>
      </c>
      <c r="K17" s="71">
        <v>4340799.6761578955</v>
      </c>
      <c r="L17" s="71">
        <v>3509131.2852894738</v>
      </c>
      <c r="M17" s="71">
        <v>5934020.7698421059</v>
      </c>
      <c r="N17" s="71">
        <v>11771289.003596492</v>
      </c>
      <c r="O17" s="71">
        <v>21235065.818330705</v>
      </c>
      <c r="P17" s="71">
        <v>35141118.636778519</v>
      </c>
      <c r="Q17" s="71">
        <v>44497769.475822374</v>
      </c>
      <c r="R17" s="71">
        <v>55341923.767780691</v>
      </c>
      <c r="S17" s="71">
        <v>66664536.867978521</v>
      </c>
      <c r="T17" s="71">
        <v>93092909.247318864</v>
      </c>
      <c r="U17" s="71">
        <v>126525666.33989815</v>
      </c>
      <c r="V17" s="71">
        <v>142261312.48049879</v>
      </c>
      <c r="W17" s="71">
        <v>142479003.36778629</v>
      </c>
      <c r="X17" s="71">
        <v>166422082.736177</v>
      </c>
      <c r="Y17" s="71">
        <v>173751395.40052408</v>
      </c>
    </row>
    <row r="18" spans="1:25" x14ac:dyDescent="0.25">
      <c r="A18" s="7" t="s">
        <v>6</v>
      </c>
      <c r="B18" s="71">
        <v>0</v>
      </c>
      <c r="C18" s="71">
        <v>0</v>
      </c>
      <c r="D18" s="71">
        <v>0</v>
      </c>
      <c r="E18" s="71">
        <v>0</v>
      </c>
      <c r="F18" s="71">
        <v>0</v>
      </c>
      <c r="G18" s="71">
        <v>0</v>
      </c>
      <c r="H18" s="71">
        <v>0</v>
      </c>
      <c r="I18" s="71">
        <v>6300.6315789473692</v>
      </c>
      <c r="J18" s="71">
        <v>1716887.879922929</v>
      </c>
      <c r="K18" s="71">
        <v>1579536.4100666936</v>
      </c>
      <c r="L18" s="71">
        <v>9327523.8119436298</v>
      </c>
      <c r="M18" s="71">
        <v>23147609.055447347</v>
      </c>
      <c r="N18" s="71">
        <v>41170015.45411174</v>
      </c>
      <c r="O18" s="71">
        <v>66222136.368070766</v>
      </c>
      <c r="P18" s="71">
        <v>89756383.940039173</v>
      </c>
      <c r="Q18" s="71">
        <v>107603981.35436857</v>
      </c>
      <c r="R18" s="71">
        <v>127327220.75884214</v>
      </c>
      <c r="S18" s="71">
        <v>136528866.40202385</v>
      </c>
      <c r="T18" s="71">
        <v>145562504.84282181</v>
      </c>
      <c r="U18" s="71">
        <v>141811832.69188434</v>
      </c>
      <c r="V18" s="71">
        <v>160800233.02991807</v>
      </c>
      <c r="W18" s="71">
        <v>186996096.55044705</v>
      </c>
      <c r="X18" s="71">
        <v>209165465.89669368</v>
      </c>
      <c r="Y18" s="71">
        <v>205938451.27025551</v>
      </c>
    </row>
    <row r="20" spans="1:25" x14ac:dyDescent="0.25">
      <c r="A20" s="7" t="s">
        <v>139</v>
      </c>
      <c r="B20" s="70" t="str">
        <f>+"["&amp;ROUND(B2,0)&amp;","</f>
        <v>[78580259,</v>
      </c>
      <c r="C20" s="70" t="str">
        <f t="shared" ref="C20:X31" si="0">+ROUND(C2,0)&amp;","</f>
        <v>11429,</v>
      </c>
      <c r="D20" s="70" t="str">
        <f t="shared" si="0"/>
        <v>10933,</v>
      </c>
      <c r="E20" s="70" t="str">
        <f t="shared" si="0"/>
        <v>10568,</v>
      </c>
      <c r="F20" s="70" t="str">
        <f t="shared" si="0"/>
        <v>10632,</v>
      </c>
      <c r="G20" s="70" t="str">
        <f t="shared" si="0"/>
        <v>10866,</v>
      </c>
      <c r="H20" s="70" t="str">
        <f t="shared" si="0"/>
        <v>11173,</v>
      </c>
      <c r="I20" s="70" t="str">
        <f t="shared" si="0"/>
        <v>11270,</v>
      </c>
      <c r="J20" s="70" t="str">
        <f t="shared" si="0"/>
        <v>11244,</v>
      </c>
      <c r="K20" s="70" t="str">
        <f t="shared" si="0"/>
        <v>0,</v>
      </c>
      <c r="L20" s="70" t="str">
        <f t="shared" si="0"/>
        <v>17696391,</v>
      </c>
      <c r="M20" s="70" t="str">
        <f t="shared" si="0"/>
        <v>17721468,</v>
      </c>
      <c r="N20" s="70" t="str">
        <f t="shared" si="0"/>
        <v>8703411,</v>
      </c>
      <c r="O20" s="70" t="str">
        <f t="shared" si="0"/>
        <v>26868698,</v>
      </c>
      <c r="P20" s="70" t="str">
        <f t="shared" si="0"/>
        <v>28597586,</v>
      </c>
      <c r="Q20" s="70" t="str">
        <f t="shared" si="0"/>
        <v>31745853,</v>
      </c>
      <c r="R20" s="70" t="str">
        <f t="shared" si="0"/>
        <v>19409700,</v>
      </c>
      <c r="S20" s="70" t="str">
        <f t="shared" si="0"/>
        <v>36511824,</v>
      </c>
      <c r="T20" s="70" t="str">
        <f t="shared" si="0"/>
        <v>18347409,</v>
      </c>
      <c r="U20" s="70" t="str">
        <f t="shared" si="0"/>
        <v>14873766,</v>
      </c>
      <c r="V20" s="70" t="str">
        <f t="shared" si="0"/>
        <v>9862745,</v>
      </c>
      <c r="W20" s="70" t="str">
        <f t="shared" si="0"/>
        <v>14777182,</v>
      </c>
      <c r="X20" s="70" t="str">
        <f t="shared" si="0"/>
        <v>37949221,</v>
      </c>
      <c r="Y20" s="70" t="str">
        <f>+ROUND(Y2,0)&amp;"]"</f>
        <v>17547796]</v>
      </c>
    </row>
    <row r="21" spans="1:25" x14ac:dyDescent="0.25">
      <c r="A21" s="7" t="s">
        <v>82</v>
      </c>
      <c r="B21" s="70" t="str">
        <f t="shared" ref="B21:B36" si="1">+"["&amp;ROUND(B3,0)&amp;","</f>
        <v>[16708549,</v>
      </c>
      <c r="C21" s="70" t="str">
        <f t="shared" si="0"/>
        <v>16708884,</v>
      </c>
      <c r="D21" s="70" t="str">
        <f t="shared" si="0"/>
        <v>16621239,</v>
      </c>
      <c r="E21" s="70" t="str">
        <f t="shared" si="0"/>
        <v>16912299,</v>
      </c>
      <c r="F21" s="70" t="str">
        <f t="shared" si="0"/>
        <v>17990793,</v>
      </c>
      <c r="G21" s="70" t="str">
        <f t="shared" si="0"/>
        <v>32224595,</v>
      </c>
      <c r="H21" s="70" t="str">
        <f t="shared" si="0"/>
        <v>36010296,</v>
      </c>
      <c r="I21" s="70" t="str">
        <f t="shared" si="0"/>
        <v>35638479,</v>
      </c>
      <c r="J21" s="70" t="str">
        <f t="shared" si="0"/>
        <v>21093263,</v>
      </c>
      <c r="K21" s="70" t="str">
        <f t="shared" si="0"/>
        <v>22353125,</v>
      </c>
      <c r="L21" s="70" t="str">
        <f t="shared" si="0"/>
        <v>22384691,</v>
      </c>
      <c r="M21" s="70" t="str">
        <f t="shared" si="0"/>
        <v>21083590,</v>
      </c>
      <c r="N21" s="70" t="str">
        <f t="shared" si="0"/>
        <v>4248061,</v>
      </c>
      <c r="O21" s="70" t="str">
        <f t="shared" si="0"/>
        <v>15084549,</v>
      </c>
      <c r="P21" s="70" t="str">
        <f t="shared" si="0"/>
        <v>24102254,</v>
      </c>
      <c r="Q21" s="70" t="str">
        <f t="shared" si="0"/>
        <v>101868384,</v>
      </c>
      <c r="R21" s="70" t="str">
        <f t="shared" si="0"/>
        <v>89505897,</v>
      </c>
      <c r="S21" s="70" t="str">
        <f t="shared" si="0"/>
        <v>166340121,</v>
      </c>
      <c r="T21" s="70" t="str">
        <f t="shared" si="0"/>
        <v>410169950,</v>
      </c>
      <c r="U21" s="70" t="str">
        <f t="shared" si="0"/>
        <v>332425433,</v>
      </c>
      <c r="V21" s="70" t="str">
        <f t="shared" si="0"/>
        <v>194291047,</v>
      </c>
      <c r="W21" s="70" t="str">
        <f t="shared" si="0"/>
        <v>331279149,</v>
      </c>
      <c r="X21" s="70" t="str">
        <f t="shared" si="0"/>
        <v>227385022,</v>
      </c>
      <c r="Y21" s="70" t="str">
        <f t="shared" ref="Y21:Y36" si="2">+ROUND(Y3,0)&amp;"]"</f>
        <v>278835991]</v>
      </c>
    </row>
    <row r="22" spans="1:25" x14ac:dyDescent="0.25">
      <c r="A22" s="7" t="s">
        <v>7</v>
      </c>
      <c r="B22" s="70" t="str">
        <f t="shared" si="1"/>
        <v>[14895547,</v>
      </c>
      <c r="C22" s="70" t="str">
        <f t="shared" si="0"/>
        <v>15916937,</v>
      </c>
      <c r="D22" s="70" t="str">
        <f t="shared" si="0"/>
        <v>16440302,</v>
      </c>
      <c r="E22" s="70" t="str">
        <f t="shared" si="0"/>
        <v>17051794,</v>
      </c>
      <c r="F22" s="70" t="str">
        <f t="shared" si="0"/>
        <v>25753121,</v>
      </c>
      <c r="G22" s="70" t="str">
        <f t="shared" si="0"/>
        <v>26516485,</v>
      </c>
      <c r="H22" s="70" t="str">
        <f t="shared" si="0"/>
        <v>28053836,</v>
      </c>
      <c r="I22" s="70" t="str">
        <f t="shared" si="0"/>
        <v>27963867,</v>
      </c>
      <c r="J22" s="70" t="str">
        <f t="shared" si="0"/>
        <v>39454389,</v>
      </c>
      <c r="K22" s="70" t="str">
        <f t="shared" si="0"/>
        <v>41213109,</v>
      </c>
      <c r="L22" s="70" t="str">
        <f t="shared" si="0"/>
        <v>42926745,</v>
      </c>
      <c r="M22" s="70" t="str">
        <f t="shared" si="0"/>
        <v>42885187,</v>
      </c>
      <c r="N22" s="70" t="str">
        <f t="shared" si="0"/>
        <v>22148782,</v>
      </c>
      <c r="O22" s="70" t="str">
        <f t="shared" si="0"/>
        <v>22105642,</v>
      </c>
      <c r="P22" s="70" t="str">
        <f t="shared" si="0"/>
        <v>19837777,</v>
      </c>
      <c r="Q22" s="70" t="str">
        <f t="shared" si="0"/>
        <v>26434485,</v>
      </c>
      <c r="R22" s="70" t="str">
        <f t="shared" si="0"/>
        <v>20737739,</v>
      </c>
      <c r="S22" s="70" t="str">
        <f t="shared" si="0"/>
        <v>20303126,</v>
      </c>
      <c r="T22" s="70" t="str">
        <f t="shared" si="0"/>
        <v>23934205,</v>
      </c>
      <c r="U22" s="70" t="str">
        <f t="shared" si="0"/>
        <v>21792972,</v>
      </c>
      <c r="V22" s="70" t="str">
        <f t="shared" si="0"/>
        <v>18694960,</v>
      </c>
      <c r="W22" s="70" t="str">
        <f t="shared" si="0"/>
        <v>26052156,</v>
      </c>
      <c r="X22" s="70" t="str">
        <f t="shared" si="0"/>
        <v>26626399,</v>
      </c>
      <c r="Y22" s="70" t="str">
        <f t="shared" si="2"/>
        <v>25785425]</v>
      </c>
    </row>
    <row r="23" spans="1:25" x14ac:dyDescent="0.25">
      <c r="A23" s="7" t="s">
        <v>86</v>
      </c>
      <c r="B23" s="70" t="str">
        <f t="shared" si="1"/>
        <v>[78159429,</v>
      </c>
      <c r="C23" s="70" t="str">
        <f t="shared" si="0"/>
        <v>79754932,</v>
      </c>
      <c r="D23" s="70" t="str">
        <f t="shared" si="0"/>
        <v>82572072,</v>
      </c>
      <c r="E23" s="70" t="str">
        <f t="shared" si="0"/>
        <v>85747371,</v>
      </c>
      <c r="F23" s="70" t="str">
        <f t="shared" si="0"/>
        <v>88823502,</v>
      </c>
      <c r="G23" s="70" t="str">
        <f t="shared" si="0"/>
        <v>90980826,</v>
      </c>
      <c r="H23" s="70" t="str">
        <f t="shared" si="0"/>
        <v>93434225,</v>
      </c>
      <c r="I23" s="70" t="str">
        <f t="shared" si="0"/>
        <v>98105258,</v>
      </c>
      <c r="J23" s="70" t="str">
        <f t="shared" si="0"/>
        <v>101078446,</v>
      </c>
      <c r="K23" s="70" t="str">
        <f t="shared" si="0"/>
        <v>104582797,</v>
      </c>
      <c r="L23" s="70" t="str">
        <f t="shared" si="0"/>
        <v>105776185,</v>
      </c>
      <c r="M23" s="70" t="str">
        <f t="shared" si="0"/>
        <v>135372841,</v>
      </c>
      <c r="N23" s="70" t="str">
        <f t="shared" si="0"/>
        <v>148582724,</v>
      </c>
      <c r="O23" s="70" t="str">
        <f t="shared" si="0"/>
        <v>164282756,</v>
      </c>
      <c r="P23" s="70" t="str">
        <f t="shared" si="0"/>
        <v>173551045,</v>
      </c>
      <c r="Q23" s="70" t="str">
        <f t="shared" si="0"/>
        <v>177885695,</v>
      </c>
      <c r="R23" s="70" t="str">
        <f t="shared" si="0"/>
        <v>149831514,</v>
      </c>
      <c r="S23" s="70" t="str">
        <f t="shared" si="0"/>
        <v>186085427,</v>
      </c>
      <c r="T23" s="70" t="str">
        <f t="shared" si="0"/>
        <v>164768261,</v>
      </c>
      <c r="U23" s="70" t="str">
        <f t="shared" si="0"/>
        <v>42499760,</v>
      </c>
      <c r="V23" s="70" t="str">
        <f t="shared" si="0"/>
        <v>10518908,</v>
      </c>
      <c r="W23" s="70" t="str">
        <f t="shared" si="0"/>
        <v>7180031,</v>
      </c>
      <c r="X23" s="70" t="str">
        <f t="shared" si="0"/>
        <v>6811040,</v>
      </c>
      <c r="Y23" s="70" t="str">
        <f t="shared" si="2"/>
        <v>6823078]</v>
      </c>
    </row>
    <row r="24" spans="1:25" x14ac:dyDescent="0.25">
      <c r="A24" s="7" t="s">
        <v>84</v>
      </c>
      <c r="B24" s="70" t="str">
        <f t="shared" si="1"/>
        <v>[50764265,</v>
      </c>
      <c r="C24" s="70" t="str">
        <f t="shared" si="0"/>
        <v>50774338,</v>
      </c>
      <c r="D24" s="70" t="str">
        <f t="shared" si="0"/>
        <v>50335232,</v>
      </c>
      <c r="E24" s="70" t="str">
        <f t="shared" si="0"/>
        <v>52856121,</v>
      </c>
      <c r="F24" s="70" t="str">
        <f t="shared" si="0"/>
        <v>69969918,</v>
      </c>
      <c r="G24" s="70" t="str">
        <f t="shared" si="0"/>
        <v>68257615,</v>
      </c>
      <c r="H24" s="70" t="str">
        <f t="shared" si="0"/>
        <v>54723843,</v>
      </c>
      <c r="I24" s="70" t="str">
        <f t="shared" si="0"/>
        <v>53185019,</v>
      </c>
      <c r="J24" s="70" t="str">
        <f t="shared" si="0"/>
        <v>38358186,</v>
      </c>
      <c r="K24" s="70" t="str">
        <f t="shared" si="0"/>
        <v>36289140,</v>
      </c>
      <c r="L24" s="70" t="str">
        <f t="shared" si="0"/>
        <v>31847542,</v>
      </c>
      <c r="M24" s="70" t="str">
        <f t="shared" si="0"/>
        <v>29878049,</v>
      </c>
      <c r="N24" s="70" t="str">
        <f t="shared" si="0"/>
        <v>27224651,</v>
      </c>
      <c r="O24" s="70" t="str">
        <f t="shared" si="0"/>
        <v>28389437,</v>
      </c>
      <c r="P24" s="70" t="str">
        <f t="shared" si="0"/>
        <v>29041953,</v>
      </c>
      <c r="Q24" s="70" t="str">
        <f t="shared" si="0"/>
        <v>34928665,</v>
      </c>
      <c r="R24" s="70" t="str">
        <f t="shared" si="0"/>
        <v>74784906,</v>
      </c>
      <c r="S24" s="70" t="str">
        <f t="shared" si="0"/>
        <v>94070116,</v>
      </c>
      <c r="T24" s="70" t="str">
        <f t="shared" si="0"/>
        <v>129988736,</v>
      </c>
      <c r="U24" s="70" t="str">
        <f t="shared" si="0"/>
        <v>244473057,</v>
      </c>
      <c r="V24" s="70" t="str">
        <f t="shared" si="0"/>
        <v>268834028,</v>
      </c>
      <c r="W24" s="70" t="str">
        <f t="shared" si="0"/>
        <v>243482509,</v>
      </c>
      <c r="X24" s="70" t="str">
        <f t="shared" si="0"/>
        <v>265683552,</v>
      </c>
      <c r="Y24" s="70" t="str">
        <f t="shared" si="2"/>
        <v>267449255]</v>
      </c>
    </row>
    <row r="25" spans="1:25" x14ac:dyDescent="0.25">
      <c r="A25" s="7" t="s">
        <v>73</v>
      </c>
      <c r="B25" s="70" t="str">
        <f t="shared" si="1"/>
        <v>[20923950,</v>
      </c>
      <c r="C25" s="70" t="str">
        <f t="shared" si="0"/>
        <v>20532694,</v>
      </c>
      <c r="D25" s="70" t="str">
        <f t="shared" si="0"/>
        <v>20111575,</v>
      </c>
      <c r="E25" s="70" t="str">
        <f t="shared" si="0"/>
        <v>19392670,</v>
      </c>
      <c r="F25" s="70" t="str">
        <f t="shared" si="0"/>
        <v>19054703,</v>
      </c>
      <c r="G25" s="70" t="str">
        <f t="shared" si="0"/>
        <v>18693918,</v>
      </c>
      <c r="H25" s="70" t="str">
        <f t="shared" si="0"/>
        <v>20305662,</v>
      </c>
      <c r="I25" s="70" t="str">
        <f t="shared" si="0"/>
        <v>19916222,</v>
      </c>
      <c r="J25" s="70" t="str">
        <f t="shared" si="0"/>
        <v>19937956,</v>
      </c>
      <c r="K25" s="70" t="str">
        <f t="shared" si="0"/>
        <v>19825404,</v>
      </c>
      <c r="L25" s="70" t="str">
        <f t="shared" si="0"/>
        <v>19155299,</v>
      </c>
      <c r="M25" s="70" t="str">
        <f t="shared" si="0"/>
        <v>19326301,</v>
      </c>
      <c r="N25" s="70" t="str">
        <f t="shared" si="0"/>
        <v>1956107,</v>
      </c>
      <c r="O25" s="70" t="str">
        <f t="shared" si="0"/>
        <v>1868860,</v>
      </c>
      <c r="P25" s="70" t="str">
        <f t="shared" si="0"/>
        <v>1900870,</v>
      </c>
      <c r="Q25" s="70" t="str">
        <f t="shared" si="0"/>
        <v>1887281,</v>
      </c>
      <c r="R25" s="70" t="str">
        <f t="shared" si="0"/>
        <v>1784487,</v>
      </c>
      <c r="S25" s="70" t="str">
        <f t="shared" si="0"/>
        <v>2200513,</v>
      </c>
      <c r="T25" s="70" t="str">
        <f t="shared" si="0"/>
        <v>2217689,</v>
      </c>
      <c r="U25" s="70" t="str">
        <f t="shared" si="0"/>
        <v>2177788,</v>
      </c>
      <c r="V25" s="70" t="str">
        <f t="shared" si="0"/>
        <v>5062812,</v>
      </c>
      <c r="W25" s="70" t="str">
        <f t="shared" si="0"/>
        <v>6404902,</v>
      </c>
      <c r="X25" s="70" t="str">
        <f t="shared" si="0"/>
        <v>6442339,</v>
      </c>
      <c r="Y25" s="70" t="str">
        <f t="shared" si="2"/>
        <v>6541568]</v>
      </c>
    </row>
    <row r="26" spans="1:25" x14ac:dyDescent="0.25">
      <c r="A26" s="7" t="s">
        <v>74</v>
      </c>
      <c r="B26" s="70" t="str">
        <f t="shared" si="1"/>
        <v>[311598814,</v>
      </c>
      <c r="C26" s="70" t="str">
        <f t="shared" si="0"/>
        <v>314913213,</v>
      </c>
      <c r="D26" s="70" t="str">
        <f t="shared" si="0"/>
        <v>275098221,</v>
      </c>
      <c r="E26" s="70" t="str">
        <f t="shared" si="0"/>
        <v>262871460,</v>
      </c>
      <c r="F26" s="70" t="str">
        <f t="shared" si="0"/>
        <v>261128636,</v>
      </c>
      <c r="G26" s="70" t="str">
        <f t="shared" si="0"/>
        <v>257038005,</v>
      </c>
      <c r="H26" s="70" t="str">
        <f t="shared" si="0"/>
        <v>243336949,</v>
      </c>
      <c r="I26" s="70" t="str">
        <f t="shared" si="0"/>
        <v>227800791,</v>
      </c>
      <c r="J26" s="70" t="str">
        <f t="shared" si="0"/>
        <v>225945394,</v>
      </c>
      <c r="K26" s="70" t="str">
        <f t="shared" si="0"/>
        <v>232813533,</v>
      </c>
      <c r="L26" s="70" t="str">
        <f t="shared" si="0"/>
        <v>235328126,</v>
      </c>
      <c r="M26" s="70" t="str">
        <f t="shared" si="0"/>
        <v>232957520,</v>
      </c>
      <c r="N26" s="70" t="str">
        <f t="shared" si="0"/>
        <v>144417830,</v>
      </c>
      <c r="O26" s="70" t="str">
        <f t="shared" si="0"/>
        <v>142191817,</v>
      </c>
      <c r="P26" s="70" t="str">
        <f t="shared" si="0"/>
        <v>138986008,</v>
      </c>
      <c r="Q26" s="70" t="str">
        <f t="shared" si="0"/>
        <v>91307954,</v>
      </c>
      <c r="R26" s="70" t="str">
        <f t="shared" si="0"/>
        <v>64954167,</v>
      </c>
      <c r="S26" s="70" t="str">
        <f t="shared" si="0"/>
        <v>66630415,</v>
      </c>
      <c r="T26" s="70" t="str">
        <f t="shared" si="0"/>
        <v>66455709,</v>
      </c>
      <c r="U26" s="70" t="str">
        <f t="shared" si="0"/>
        <v>65876339,</v>
      </c>
      <c r="V26" s="70" t="str">
        <f t="shared" si="0"/>
        <v>61511976,</v>
      </c>
      <c r="W26" s="70" t="str">
        <f t="shared" si="0"/>
        <v>62054152,</v>
      </c>
      <c r="X26" s="70" t="str">
        <f t="shared" si="0"/>
        <v>65413987,</v>
      </c>
      <c r="Y26" s="70" t="str">
        <f t="shared" si="2"/>
        <v>65841842]</v>
      </c>
    </row>
    <row r="27" spans="1:25" x14ac:dyDescent="0.25">
      <c r="A27" s="7" t="s">
        <v>77</v>
      </c>
      <c r="B27" s="70" t="str">
        <f t="shared" si="1"/>
        <v>[4569987,</v>
      </c>
      <c r="C27" s="70" t="str">
        <f t="shared" si="0"/>
        <v>2613786,</v>
      </c>
      <c r="D27" s="70" t="str">
        <f t="shared" si="0"/>
        <v>2314795,</v>
      </c>
      <c r="E27" s="70" t="str">
        <f t="shared" si="0"/>
        <v>4993057,</v>
      </c>
      <c r="F27" s="70" t="str">
        <f t="shared" si="0"/>
        <v>6731550,</v>
      </c>
      <c r="G27" s="70" t="str">
        <f t="shared" si="0"/>
        <v>5829501,</v>
      </c>
      <c r="H27" s="70" t="str">
        <f t="shared" si="0"/>
        <v>2388879,</v>
      </c>
      <c r="I27" s="70" t="str">
        <f t="shared" si="0"/>
        <v>2682334,</v>
      </c>
      <c r="J27" s="70" t="str">
        <f t="shared" si="0"/>
        <v>5503855,</v>
      </c>
      <c r="K27" s="70" t="str">
        <f t="shared" si="0"/>
        <v>6149963,</v>
      </c>
      <c r="L27" s="70" t="str">
        <f t="shared" si="0"/>
        <v>2755123,</v>
      </c>
      <c r="M27" s="70" t="str">
        <f t="shared" si="0"/>
        <v>3016434,</v>
      </c>
      <c r="N27" s="70" t="str">
        <f t="shared" si="0"/>
        <v>2770512,</v>
      </c>
      <c r="O27" s="70" t="str">
        <f t="shared" si="0"/>
        <v>2616818,</v>
      </c>
      <c r="P27" s="70" t="str">
        <f t="shared" si="0"/>
        <v>0,</v>
      </c>
      <c r="Q27" s="70" t="str">
        <f t="shared" si="0"/>
        <v>0,</v>
      </c>
      <c r="R27" s="70" t="str">
        <f t="shared" si="0"/>
        <v>0,</v>
      </c>
      <c r="S27" s="70" t="str">
        <f t="shared" si="0"/>
        <v>0,</v>
      </c>
      <c r="T27" s="70" t="str">
        <f t="shared" si="0"/>
        <v>0,</v>
      </c>
      <c r="U27" s="70" t="str">
        <f t="shared" si="0"/>
        <v>2577182,</v>
      </c>
      <c r="V27" s="70" t="str">
        <f t="shared" si="0"/>
        <v>2545601,</v>
      </c>
      <c r="W27" s="70" t="str">
        <f t="shared" si="0"/>
        <v>5826577,</v>
      </c>
      <c r="X27" s="70" t="str">
        <f t="shared" si="0"/>
        <v>5816636,</v>
      </c>
      <c r="Y27" s="70" t="str">
        <f t="shared" si="2"/>
        <v>5854585]</v>
      </c>
    </row>
    <row r="28" spans="1:25" x14ac:dyDescent="0.25">
      <c r="A28" s="7" t="s">
        <v>1</v>
      </c>
      <c r="B28" s="70" t="str">
        <f t="shared" si="1"/>
        <v>[5598384,</v>
      </c>
      <c r="C28" s="70" t="str">
        <f t="shared" si="0"/>
        <v>11321282,</v>
      </c>
      <c r="D28" s="70" t="str">
        <f t="shared" si="0"/>
        <v>21742187,</v>
      </c>
      <c r="E28" s="70" t="str">
        <f t="shared" si="0"/>
        <v>23354085,</v>
      </c>
      <c r="F28" s="70" t="str">
        <f t="shared" si="0"/>
        <v>34313914,</v>
      </c>
      <c r="G28" s="70" t="str">
        <f t="shared" si="0"/>
        <v>44391890,</v>
      </c>
      <c r="H28" s="70" t="str">
        <f t="shared" si="0"/>
        <v>49168455,</v>
      </c>
      <c r="I28" s="70" t="str">
        <f t="shared" si="0"/>
        <v>61360525,</v>
      </c>
      <c r="J28" s="70" t="str">
        <f t="shared" si="0"/>
        <v>68262550,</v>
      </c>
      <c r="K28" s="70" t="str">
        <f t="shared" si="0"/>
        <v>121877662,</v>
      </c>
      <c r="L28" s="70" t="str">
        <f t="shared" si="0"/>
        <v>123733297,</v>
      </c>
      <c r="M28" s="70" t="str">
        <f t="shared" si="0"/>
        <v>129845142,</v>
      </c>
      <c r="N28" s="70" t="str">
        <f t="shared" si="0"/>
        <v>142806746,</v>
      </c>
      <c r="O28" s="70" t="str">
        <f t="shared" si="0"/>
        <v>151228547,</v>
      </c>
      <c r="P28" s="70" t="str">
        <f t="shared" si="0"/>
        <v>175493079,</v>
      </c>
      <c r="Q28" s="70" t="str">
        <f t="shared" si="0"/>
        <v>234133328,</v>
      </c>
      <c r="R28" s="70" t="str">
        <f t="shared" si="0"/>
        <v>261276329,</v>
      </c>
      <c r="S28" s="70" t="str">
        <f t="shared" si="0"/>
        <v>266757549,</v>
      </c>
      <c r="T28" s="70" t="str">
        <f t="shared" si="0"/>
        <v>275438932,</v>
      </c>
      <c r="U28" s="70" t="str">
        <f t="shared" si="0"/>
        <v>280161656,</v>
      </c>
      <c r="V28" s="70" t="str">
        <f t="shared" si="0"/>
        <v>269016594,</v>
      </c>
      <c r="W28" s="70" t="str">
        <f t="shared" si="0"/>
        <v>252782013,</v>
      </c>
      <c r="X28" s="70" t="str">
        <f t="shared" si="0"/>
        <v>276183400,</v>
      </c>
      <c r="Y28" s="70" t="str">
        <f t="shared" si="2"/>
        <v>280768151]</v>
      </c>
    </row>
    <row r="29" spans="1:25" x14ac:dyDescent="0.25">
      <c r="A29" s="7" t="s">
        <v>142</v>
      </c>
      <c r="B29" s="70" t="str">
        <f t="shared" si="1"/>
        <v>[77148,</v>
      </c>
      <c r="C29" s="70" t="str">
        <f t="shared" si="0"/>
        <v>78898,</v>
      </c>
      <c r="D29" s="70" t="str">
        <f t="shared" si="0"/>
        <v>77949,</v>
      </c>
      <c r="E29" s="70" t="str">
        <f t="shared" si="0"/>
        <v>0,</v>
      </c>
      <c r="F29" s="70" t="str">
        <f t="shared" si="0"/>
        <v>0,</v>
      </c>
      <c r="G29" s="70" t="str">
        <f t="shared" si="0"/>
        <v>0,</v>
      </c>
      <c r="H29" s="70" t="str">
        <f t="shared" si="0"/>
        <v>0,</v>
      </c>
      <c r="I29" s="70" t="str">
        <f t="shared" si="0"/>
        <v>0,</v>
      </c>
      <c r="J29" s="70" t="str">
        <f t="shared" si="0"/>
        <v>0,</v>
      </c>
      <c r="K29" s="70" t="str">
        <f t="shared" si="0"/>
        <v>0,</v>
      </c>
      <c r="L29" s="70" t="str">
        <f t="shared" si="0"/>
        <v>0,</v>
      </c>
      <c r="M29" s="70" t="str">
        <f t="shared" si="0"/>
        <v>0,</v>
      </c>
      <c r="N29" s="70" t="str">
        <f t="shared" si="0"/>
        <v>0,</v>
      </c>
      <c r="O29" s="70" t="str">
        <f t="shared" si="0"/>
        <v>0,</v>
      </c>
      <c r="P29" s="70" t="str">
        <f t="shared" si="0"/>
        <v>0,</v>
      </c>
      <c r="Q29" s="70" t="str">
        <f t="shared" si="0"/>
        <v>14725,</v>
      </c>
      <c r="R29" s="70" t="str">
        <f t="shared" si="0"/>
        <v>213958,</v>
      </c>
      <c r="S29" s="70" t="str">
        <f t="shared" si="0"/>
        <v>0,</v>
      </c>
      <c r="T29" s="70" t="str">
        <f t="shared" si="0"/>
        <v>896286,</v>
      </c>
      <c r="U29" s="70" t="str">
        <f t="shared" si="0"/>
        <v>160010,</v>
      </c>
      <c r="V29" s="70" t="str">
        <f t="shared" si="0"/>
        <v>0,</v>
      </c>
      <c r="W29" s="70" t="str">
        <f t="shared" si="0"/>
        <v>0,</v>
      </c>
      <c r="X29" s="70" t="str">
        <f t="shared" si="0"/>
        <v>0,</v>
      </c>
      <c r="Y29" s="70" t="str">
        <f t="shared" si="2"/>
        <v>0]</v>
      </c>
    </row>
    <row r="30" spans="1:25" x14ac:dyDescent="0.25">
      <c r="A30" s="7" t="s">
        <v>79</v>
      </c>
      <c r="B30" s="70" t="str">
        <f t="shared" si="1"/>
        <v>[0,</v>
      </c>
      <c r="C30" s="70" t="str">
        <f t="shared" si="0"/>
        <v>0,</v>
      </c>
      <c r="D30" s="70" t="str">
        <f t="shared" si="0"/>
        <v>0,</v>
      </c>
      <c r="E30" s="70" t="str">
        <f t="shared" si="0"/>
        <v>0,</v>
      </c>
      <c r="F30" s="70" t="str">
        <f t="shared" si="0"/>
        <v>0,</v>
      </c>
      <c r="G30" s="70" t="str">
        <f t="shared" si="0"/>
        <v>0,</v>
      </c>
      <c r="H30" s="70" t="str">
        <f t="shared" si="0"/>
        <v>538569,</v>
      </c>
      <c r="I30" s="70" t="str">
        <f t="shared" si="0"/>
        <v>572238,</v>
      </c>
      <c r="J30" s="70" t="str">
        <f t="shared" si="0"/>
        <v>1564054,</v>
      </c>
      <c r="K30" s="70" t="str">
        <f t="shared" si="0"/>
        <v>1802423,</v>
      </c>
      <c r="L30" s="70" t="str">
        <f t="shared" si="0"/>
        <v>1596326,</v>
      </c>
      <c r="M30" s="70" t="str">
        <f t="shared" si="0"/>
        <v>1432203,</v>
      </c>
      <c r="N30" s="70" t="str">
        <f t="shared" si="0"/>
        <v>1193206,</v>
      </c>
      <c r="O30" s="70" t="str">
        <f t="shared" si="0"/>
        <v>1051750,</v>
      </c>
      <c r="P30" s="70" t="str">
        <f t="shared" si="0"/>
        <v>838164,</v>
      </c>
      <c r="Q30" s="70" t="str">
        <f t="shared" si="0"/>
        <v>14134727,</v>
      </c>
      <c r="R30" s="70" t="str">
        <f t="shared" si="0"/>
        <v>45560280,</v>
      </c>
      <c r="S30" s="70" t="str">
        <f t="shared" si="0"/>
        <v>51668556,</v>
      </c>
      <c r="T30" s="70" t="str">
        <f t="shared" si="0"/>
        <v>65056521,</v>
      </c>
      <c r="U30" s="70" t="str">
        <f t="shared" si="0"/>
        <v>82074179,</v>
      </c>
      <c r="V30" s="70" t="str">
        <f t="shared" si="0"/>
        <v>79857578,</v>
      </c>
      <c r="W30" s="70" t="str">
        <f t="shared" si="0"/>
        <v>83779047,</v>
      </c>
      <c r="X30" s="70" t="str">
        <f t="shared" si="0"/>
        <v>111910967,</v>
      </c>
      <c r="Y30" s="70" t="str">
        <f t="shared" si="2"/>
        <v>130818258]</v>
      </c>
    </row>
    <row r="31" spans="1:25" x14ac:dyDescent="0.25">
      <c r="A31" s="7" t="s">
        <v>175</v>
      </c>
      <c r="B31" s="70" t="str">
        <f t="shared" si="1"/>
        <v>[0,</v>
      </c>
      <c r="C31" s="70" t="str">
        <f t="shared" si="0"/>
        <v>0,</v>
      </c>
      <c r="D31" s="70" t="str">
        <f t="shared" si="0"/>
        <v>0,</v>
      </c>
      <c r="E31" s="70" t="str">
        <f t="shared" si="0"/>
        <v>0,</v>
      </c>
      <c r="F31" s="70" t="str">
        <f t="shared" si="0"/>
        <v>0,</v>
      </c>
      <c r="G31" s="70" t="str">
        <f t="shared" si="0"/>
        <v>0,</v>
      </c>
      <c r="H31" s="70" t="str">
        <f t="shared" si="0"/>
        <v>0,</v>
      </c>
      <c r="I31" s="70" t="str">
        <f t="shared" si="0"/>
        <v>0,</v>
      </c>
      <c r="J31" s="70" t="str">
        <f t="shared" si="0"/>
        <v>0,</v>
      </c>
      <c r="K31" s="70" t="str">
        <f t="shared" si="0"/>
        <v>0,</v>
      </c>
      <c r="L31" s="70" t="str">
        <f t="shared" si="0"/>
        <v>0,</v>
      </c>
      <c r="M31" s="70" t="str">
        <f t="shared" si="0"/>
        <v>0,</v>
      </c>
      <c r="N31" s="70" t="str">
        <f t="shared" si="0"/>
        <v>0,</v>
      </c>
      <c r="O31" s="70" t="str">
        <f t="shared" si="0"/>
        <v>0,</v>
      </c>
      <c r="P31" s="70" t="str">
        <f t="shared" ref="C31:X36" si="3">+ROUND(P13,0)&amp;","</f>
        <v>0,</v>
      </c>
      <c r="Q31" s="70" t="str">
        <f t="shared" si="3"/>
        <v>0,</v>
      </c>
      <c r="R31" s="70" t="str">
        <f t="shared" si="3"/>
        <v>320876850,</v>
      </c>
      <c r="S31" s="70" t="str">
        <f t="shared" si="3"/>
        <v>459080986,</v>
      </c>
      <c r="T31" s="70" t="str">
        <f t="shared" si="3"/>
        <v>455559619,</v>
      </c>
      <c r="U31" s="70" t="str">
        <f t="shared" si="3"/>
        <v>463818185,</v>
      </c>
      <c r="V31" s="70" t="str">
        <f t="shared" si="3"/>
        <v>445823504,</v>
      </c>
      <c r="W31" s="70" t="str">
        <f t="shared" si="3"/>
        <v>438402962,</v>
      </c>
      <c r="X31" s="70" t="str">
        <f t="shared" si="3"/>
        <v>470271315,</v>
      </c>
      <c r="Y31" s="70" t="str">
        <f t="shared" si="2"/>
        <v>477813507]</v>
      </c>
    </row>
    <row r="32" spans="1:25" x14ac:dyDescent="0.25">
      <c r="A32" s="7" t="s">
        <v>5</v>
      </c>
      <c r="B32" s="70" t="str">
        <f t="shared" si="1"/>
        <v>[0,</v>
      </c>
      <c r="C32" s="70" t="str">
        <f t="shared" si="3"/>
        <v>0,</v>
      </c>
      <c r="D32" s="70" t="str">
        <f t="shared" si="3"/>
        <v>0,</v>
      </c>
      <c r="E32" s="70" t="str">
        <f t="shared" si="3"/>
        <v>0,</v>
      </c>
      <c r="F32" s="70" t="str">
        <f t="shared" si="3"/>
        <v>0,</v>
      </c>
      <c r="G32" s="70" t="str">
        <f t="shared" si="3"/>
        <v>0,</v>
      </c>
      <c r="H32" s="70" t="str">
        <f t="shared" si="3"/>
        <v>0,</v>
      </c>
      <c r="I32" s="70" t="str">
        <f t="shared" si="3"/>
        <v>0,</v>
      </c>
      <c r="J32" s="70" t="str">
        <f t="shared" si="3"/>
        <v>9437,</v>
      </c>
      <c r="K32" s="70" t="str">
        <f t="shared" si="3"/>
        <v>15033,</v>
      </c>
      <c r="L32" s="70" t="str">
        <f t="shared" si="3"/>
        <v>7008,</v>
      </c>
      <c r="M32" s="70" t="str">
        <f t="shared" si="3"/>
        <v>15318,</v>
      </c>
      <c r="N32" s="70" t="str">
        <f t="shared" si="3"/>
        <v>60837,</v>
      </c>
      <c r="O32" s="70" t="str">
        <f t="shared" si="3"/>
        <v>181341,</v>
      </c>
      <c r="P32" s="70" t="str">
        <f t="shared" si="3"/>
        <v>349925,</v>
      </c>
      <c r="Q32" s="70" t="str">
        <f t="shared" si="3"/>
        <v>514654,</v>
      </c>
      <c r="R32" s="70" t="str">
        <f t="shared" si="3"/>
        <v>1545657,</v>
      </c>
      <c r="S32" s="70" t="str">
        <f t="shared" si="3"/>
        <v>2487801,</v>
      </c>
      <c r="T32" s="70" t="str">
        <f t="shared" si="3"/>
        <v>6959717,</v>
      </c>
      <c r="U32" s="70" t="str">
        <f t="shared" si="3"/>
        <v>10275961,</v>
      </c>
      <c r="V32" s="70" t="str">
        <f t="shared" si="3"/>
        <v>12011982,</v>
      </c>
      <c r="W32" s="70" t="str">
        <f t="shared" si="3"/>
        <v>18988210,</v>
      </c>
      <c r="X32" s="70" t="str">
        <f t="shared" si="3"/>
        <v>18779835,</v>
      </c>
      <c r="Y32" s="70" t="str">
        <f t="shared" si="2"/>
        <v>27459977]</v>
      </c>
    </row>
    <row r="33" spans="1:25" x14ac:dyDescent="0.25">
      <c r="A33" s="7" t="s">
        <v>78</v>
      </c>
      <c r="B33" s="70" t="str">
        <f t="shared" si="1"/>
        <v>[20888758,</v>
      </c>
      <c r="C33" s="70" t="str">
        <f t="shared" si="3"/>
        <v>23446088,</v>
      </c>
      <c r="D33" s="70" t="str">
        <f t="shared" si="3"/>
        <v>67753163,</v>
      </c>
      <c r="E33" s="70" t="str">
        <f t="shared" si="3"/>
        <v>74823327,</v>
      </c>
      <c r="F33" s="70" t="str">
        <f t="shared" si="3"/>
        <v>82156425,</v>
      </c>
      <c r="G33" s="70" t="str">
        <f t="shared" si="3"/>
        <v>85718420,</v>
      </c>
      <c r="H33" s="70" t="str">
        <f t="shared" si="3"/>
        <v>83892403,</v>
      </c>
      <c r="I33" s="70" t="str">
        <f t="shared" si="3"/>
        <v>85888544,</v>
      </c>
      <c r="J33" s="70" t="str">
        <f t="shared" si="3"/>
        <v>102825622,</v>
      </c>
      <c r="K33" s="70" t="str">
        <f t="shared" si="3"/>
        <v>115113934,</v>
      </c>
      <c r="L33" s="70" t="str">
        <f t="shared" si="3"/>
        <v>110872800,</v>
      </c>
      <c r="M33" s="70" t="str">
        <f t="shared" si="3"/>
        <v>157250571,</v>
      </c>
      <c r="N33" s="70" t="str">
        <f t="shared" si="3"/>
        <v>123609468,</v>
      </c>
      <c r="O33" s="70" t="str">
        <f t="shared" si="3"/>
        <v>123120222,</v>
      </c>
      <c r="P33" s="70" t="str">
        <f t="shared" si="3"/>
        <v>119703177,</v>
      </c>
      <c r="Q33" s="70" t="str">
        <f t="shared" si="3"/>
        <v>72453270,</v>
      </c>
      <c r="R33" s="70" t="str">
        <f t="shared" si="3"/>
        <v>49638967,</v>
      </c>
      <c r="S33" s="70" t="str">
        <f t="shared" si="3"/>
        <v>52064037,</v>
      </c>
      <c r="T33" s="70" t="str">
        <f t="shared" si="3"/>
        <v>56898910,</v>
      </c>
      <c r="U33" s="70" t="str">
        <f t="shared" si="3"/>
        <v>59897866,</v>
      </c>
      <c r="V33" s="70" t="str">
        <f t="shared" si="3"/>
        <v>60273717,</v>
      </c>
      <c r="W33" s="70" t="str">
        <f t="shared" si="3"/>
        <v>59502552,</v>
      </c>
      <c r="X33" s="70" t="str">
        <f t="shared" si="3"/>
        <v>66824756,</v>
      </c>
      <c r="Y33" s="70" t="str">
        <f t="shared" si="2"/>
        <v>70949629]</v>
      </c>
    </row>
    <row r="34" spans="1:25" x14ac:dyDescent="0.25">
      <c r="A34" s="7" t="s">
        <v>105</v>
      </c>
      <c r="B34" s="70" t="str">
        <f t="shared" si="1"/>
        <v>[804260,</v>
      </c>
      <c r="C34" s="70" t="str">
        <f t="shared" si="3"/>
        <v>814410,</v>
      </c>
      <c r="D34" s="70" t="str">
        <f t="shared" si="3"/>
        <v>791282,</v>
      </c>
      <c r="E34" s="70" t="str">
        <f t="shared" si="3"/>
        <v>745680,</v>
      </c>
      <c r="F34" s="70" t="str">
        <f t="shared" si="3"/>
        <v>797608,</v>
      </c>
      <c r="G34" s="70" t="str">
        <f t="shared" si="3"/>
        <v>793505,</v>
      </c>
      <c r="H34" s="70" t="str">
        <f t="shared" si="3"/>
        <v>807322,</v>
      </c>
      <c r="I34" s="70" t="str">
        <f t="shared" si="3"/>
        <v>15497985,</v>
      </c>
      <c r="J34" s="70" t="str">
        <f t="shared" si="3"/>
        <v>23015254,</v>
      </c>
      <c r="K34" s="70" t="str">
        <f t="shared" si="3"/>
        <v>29554013,</v>
      </c>
      <c r="L34" s="70" t="str">
        <f t="shared" si="3"/>
        <v>28143333,</v>
      </c>
      <c r="M34" s="70" t="str">
        <f t="shared" si="3"/>
        <v>27963364,</v>
      </c>
      <c r="N34" s="70" t="str">
        <f t="shared" si="3"/>
        <v>287271,</v>
      </c>
      <c r="O34" s="70" t="str">
        <f t="shared" si="3"/>
        <v>295912,</v>
      </c>
      <c r="P34" s="70" t="str">
        <f t="shared" si="3"/>
        <v>313517,</v>
      </c>
      <c r="Q34" s="70" t="str">
        <f t="shared" si="3"/>
        <v>300998,</v>
      </c>
      <c r="R34" s="70" t="str">
        <f t="shared" si="3"/>
        <v>430152,</v>
      </c>
      <c r="S34" s="70" t="str">
        <f t="shared" si="3"/>
        <v>1240330,</v>
      </c>
      <c r="T34" s="70" t="str">
        <f t="shared" si="3"/>
        <v>1797782,</v>
      </c>
      <c r="U34" s="70" t="str">
        <f t="shared" si="3"/>
        <v>1041960,</v>
      </c>
      <c r="V34" s="70" t="str">
        <f t="shared" si="3"/>
        <v>903156,</v>
      </c>
      <c r="W34" s="70" t="str">
        <f t="shared" si="3"/>
        <v>927638,</v>
      </c>
      <c r="X34" s="70" t="str">
        <f t="shared" si="3"/>
        <v>777067,</v>
      </c>
      <c r="Y34" s="70" t="str">
        <f t="shared" si="2"/>
        <v>630153]</v>
      </c>
    </row>
    <row r="35" spans="1:25" x14ac:dyDescent="0.25">
      <c r="A35" s="7" t="s">
        <v>161</v>
      </c>
      <c r="B35" s="70" t="str">
        <f t="shared" si="1"/>
        <v>[0,</v>
      </c>
      <c r="C35" s="70" t="str">
        <f t="shared" si="3"/>
        <v>0,</v>
      </c>
      <c r="D35" s="70" t="str">
        <f t="shared" si="3"/>
        <v>0,</v>
      </c>
      <c r="E35" s="70" t="str">
        <f t="shared" si="3"/>
        <v>0,</v>
      </c>
      <c r="F35" s="70" t="str">
        <f t="shared" si="3"/>
        <v>0,</v>
      </c>
      <c r="G35" s="70" t="str">
        <f t="shared" si="3"/>
        <v>0,</v>
      </c>
      <c r="H35" s="70" t="str">
        <f t="shared" si="3"/>
        <v>3029896,</v>
      </c>
      <c r="I35" s="70" t="str">
        <f t="shared" si="3"/>
        <v>7758596,</v>
      </c>
      <c r="J35" s="70" t="str">
        <f t="shared" si="3"/>
        <v>1545856,</v>
      </c>
      <c r="K35" s="70" t="str">
        <f t="shared" si="3"/>
        <v>4340800,</v>
      </c>
      <c r="L35" s="70" t="str">
        <f t="shared" si="3"/>
        <v>3509131,</v>
      </c>
      <c r="M35" s="70" t="str">
        <f t="shared" si="3"/>
        <v>5934021,</v>
      </c>
      <c r="N35" s="70" t="str">
        <f t="shared" si="3"/>
        <v>11771289,</v>
      </c>
      <c r="O35" s="70" t="str">
        <f t="shared" si="3"/>
        <v>21235066,</v>
      </c>
      <c r="P35" s="70" t="str">
        <f t="shared" si="3"/>
        <v>35141119,</v>
      </c>
      <c r="Q35" s="70" t="str">
        <f t="shared" si="3"/>
        <v>44497769,</v>
      </c>
      <c r="R35" s="70" t="str">
        <f t="shared" si="3"/>
        <v>55341924,</v>
      </c>
      <c r="S35" s="70" t="str">
        <f t="shared" si="3"/>
        <v>66664537,</v>
      </c>
      <c r="T35" s="70" t="str">
        <f t="shared" si="3"/>
        <v>93092909,</v>
      </c>
      <c r="U35" s="70" t="str">
        <f t="shared" si="3"/>
        <v>126525666,</v>
      </c>
      <c r="V35" s="70" t="str">
        <f t="shared" si="3"/>
        <v>142261312,</v>
      </c>
      <c r="W35" s="70" t="str">
        <f t="shared" si="3"/>
        <v>142479003,</v>
      </c>
      <c r="X35" s="70" t="str">
        <f t="shared" si="3"/>
        <v>166422083,</v>
      </c>
      <c r="Y35" s="70" t="str">
        <f t="shared" si="2"/>
        <v>173751395]</v>
      </c>
    </row>
    <row r="36" spans="1:25" x14ac:dyDescent="0.25">
      <c r="A36" s="7" t="s">
        <v>6</v>
      </c>
      <c r="B36" s="70" t="str">
        <f t="shared" si="1"/>
        <v>[0,</v>
      </c>
      <c r="C36" s="70" t="str">
        <f t="shared" si="3"/>
        <v>0,</v>
      </c>
      <c r="D36" s="70" t="str">
        <f t="shared" si="3"/>
        <v>0,</v>
      </c>
      <c r="E36" s="70" t="str">
        <f t="shared" si="3"/>
        <v>0,</v>
      </c>
      <c r="F36" s="70" t="str">
        <f t="shared" si="3"/>
        <v>0,</v>
      </c>
      <c r="G36" s="70" t="str">
        <f t="shared" si="3"/>
        <v>0,</v>
      </c>
      <c r="H36" s="70" t="str">
        <f t="shared" si="3"/>
        <v>0,</v>
      </c>
      <c r="I36" s="70" t="str">
        <f t="shared" si="3"/>
        <v>6301,</v>
      </c>
      <c r="J36" s="70" t="str">
        <f t="shared" si="3"/>
        <v>1716888,</v>
      </c>
      <c r="K36" s="70" t="str">
        <f t="shared" si="3"/>
        <v>1579536,</v>
      </c>
      <c r="L36" s="70" t="str">
        <f t="shared" si="3"/>
        <v>9327524,</v>
      </c>
      <c r="M36" s="70" t="str">
        <f t="shared" si="3"/>
        <v>23147609,</v>
      </c>
      <c r="N36" s="70" t="str">
        <f t="shared" si="3"/>
        <v>41170015,</v>
      </c>
      <c r="O36" s="70" t="str">
        <f t="shared" si="3"/>
        <v>66222136,</v>
      </c>
      <c r="P36" s="70" t="str">
        <f t="shared" si="3"/>
        <v>89756384,</v>
      </c>
      <c r="Q36" s="70" t="str">
        <f t="shared" si="3"/>
        <v>107603981,</v>
      </c>
      <c r="R36" s="70" t="str">
        <f t="shared" si="3"/>
        <v>127327221,</v>
      </c>
      <c r="S36" s="70" t="str">
        <f t="shared" si="3"/>
        <v>136528866,</v>
      </c>
      <c r="T36" s="70" t="str">
        <f t="shared" si="3"/>
        <v>145562505,</v>
      </c>
      <c r="U36" s="70" t="str">
        <f t="shared" si="3"/>
        <v>141811833,</v>
      </c>
      <c r="V36" s="70" t="str">
        <f t="shared" si="3"/>
        <v>160800233,</v>
      </c>
      <c r="W36" s="70" t="str">
        <f t="shared" si="3"/>
        <v>186996097,</v>
      </c>
      <c r="X36" s="70" t="str">
        <f t="shared" si="3"/>
        <v>209165466,</v>
      </c>
      <c r="Y36" s="70" t="str">
        <f t="shared" si="2"/>
        <v>205938451]</v>
      </c>
    </row>
    <row r="38" spans="1:25" x14ac:dyDescent="0.25">
      <c r="A38" s="7" t="s">
        <v>139</v>
      </c>
      <c r="B38" s="70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0" t="str">
        <f t="shared" ref="B39:B54" si="4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0" t="str">
        <f t="shared" si="4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0" t="str">
        <f t="shared" si="4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0" t="str">
        <f t="shared" si="4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0" t="str">
        <f t="shared" si="4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0" t="str">
        <f t="shared" si="4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0" t="str">
        <f t="shared" si="4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0" t="str">
        <f t="shared" si="4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0" t="str">
        <f t="shared" si="4"/>
        <v>[77148,78898,77949,0,0,0,0,0,0,0,0,0,0,0,0,14725,213958,0,896286,160010,0,0,0,0],</v>
      </c>
    </row>
    <row r="48" spans="1:25" x14ac:dyDescent="0.25">
      <c r="A48" s="7" t="s">
        <v>79</v>
      </c>
      <c r="B48" s="70" t="str">
        <f t="shared" si="4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0" t="str">
        <f t="shared" si="4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0" t="str">
        <f t="shared" si="4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0" t="str">
        <f t="shared" si="4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0" t="str">
        <f t="shared" si="4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0" t="str">
        <f t="shared" si="4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0" t="str">
        <f t="shared" si="4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0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0" t="str">
        <f t="shared" ref="A57:A72" si="5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0" t="str">
        <f t="shared" si="5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0" t="str">
        <f t="shared" si="5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0" t="str">
        <f t="shared" si="5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0" t="str">
        <f t="shared" si="5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0" t="str">
        <f t="shared" si="5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0" t="str">
        <f t="shared" si="5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0" t="str">
        <f t="shared" si="5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0" t="str">
        <f t="shared" si="5"/>
        <v>"Hexa": [77148,78898,77949,0,0,0,0,0,0,0,0,0,0,0,0,14725,213958,0,896286,160010,0,0,0,0],</v>
      </c>
    </row>
    <row r="66" spans="1:1" x14ac:dyDescent="0.25">
      <c r="A66" s="70" t="str">
        <f t="shared" si="5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0" t="str">
        <f t="shared" si="5"/>
        <v>"OPV": [0,0,0,0,0,0,0,0,0,0,0,0,0,0,0,0,320876850,459080986,455559619,463818185,445823504,438402962,470271315,477813507],</v>
      </c>
    </row>
    <row r="68" spans="1:1" x14ac:dyDescent="0.25">
      <c r="A68" s="70" t="str">
        <f t="shared" si="5"/>
        <v>"HPV": [0,0,0,0,0,0,0,0,9437,15033,7008,15318,60837,181341,349925,514654,1545657,2487801,6959717,10275961,12011982,18988210,18779835,27459977],</v>
      </c>
    </row>
    <row r="69" spans="1:1" x14ac:dyDescent="0.25">
      <c r="A69" s="70" t="str">
        <f t="shared" si="5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0" t="str">
        <f t="shared" si="5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0" t="str">
        <f t="shared" si="5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0" t="str">
        <f t="shared" si="5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0" t="str">
        <f t="shared" ref="A74:A90" si="6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0" t="str">
        <f t="shared" si="6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0" t="str">
        <f t="shared" si="6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0" t="str">
        <f t="shared" si="6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0" t="str">
        <f t="shared" si="6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0" t="str">
        <f t="shared" si="6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0" t="str">
        <f t="shared" si="6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0" t="str">
        <f t="shared" si="6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0" t="str">
        <f t="shared" si="6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0" t="str">
        <f t="shared" si="6"/>
        <v xml:space="preserve">"Hexa": [77148,78898,77949,0,0,0,0,0,0,0,0,0,0,0,0,14725,213958,0,896286,160010,0,0,0,0],: </v>
      </c>
    </row>
    <row r="84" spans="1:10" x14ac:dyDescent="0.25">
      <c r="A84" s="70" t="str">
        <f t="shared" si="6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0" t="str">
        <f t="shared" si="6"/>
        <v xml:space="preserve">"OPV": [0,0,0,0,0,0,0,0,0,0,0,0,0,0,0,0,320876850,459080986,455559619,463818185,445823504,438402962,470271315,477813507],: </v>
      </c>
    </row>
    <row r="86" spans="1:10" x14ac:dyDescent="0.25">
      <c r="A86" s="70" t="str">
        <f t="shared" si="6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0" t="str">
        <f t="shared" si="6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0" t="str">
        <f t="shared" si="6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0" t="str">
        <f t="shared" si="6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0" t="str">
        <f t="shared" si="6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0" t="s">
        <v>182</v>
      </c>
      <c r="D92" s="70" t="s">
        <v>183</v>
      </c>
      <c r="F92" s="70" t="s">
        <v>184</v>
      </c>
      <c r="H92" s="70" t="s">
        <v>185</v>
      </c>
    </row>
    <row r="93" spans="1:10" ht="105" x14ac:dyDescent="0.25">
      <c r="A93" s="7" t="s">
        <v>139</v>
      </c>
      <c r="B93" s="72">
        <v>4.4603111896922398E-2</v>
      </c>
      <c r="C93" s="7" t="s">
        <v>139</v>
      </c>
      <c r="D93" s="72">
        <v>4.4603111896922398E-2</v>
      </c>
      <c r="E93" s="7" t="s">
        <v>86</v>
      </c>
      <c r="F93" s="72">
        <v>2.8222915579930501E-2</v>
      </c>
      <c r="G93" s="7" t="s">
        <v>188</v>
      </c>
      <c r="H93" s="74">
        <v>0.7</v>
      </c>
      <c r="J93" s="75" t="s">
        <v>186</v>
      </c>
    </row>
    <row r="94" spans="1:10" x14ac:dyDescent="0.25">
      <c r="A94" s="7" t="s">
        <v>82</v>
      </c>
      <c r="B94" s="73">
        <v>0.60176670378566299</v>
      </c>
      <c r="C94" s="7" t="s">
        <v>192</v>
      </c>
      <c r="D94" s="72">
        <v>0.01</v>
      </c>
      <c r="E94" s="7" t="s">
        <v>84</v>
      </c>
      <c r="F94" s="73">
        <v>0.52495778815762095</v>
      </c>
      <c r="G94" s="7" t="s">
        <v>189</v>
      </c>
      <c r="H94" s="74">
        <v>0.95</v>
      </c>
    </row>
    <row r="95" spans="1:10" x14ac:dyDescent="0.25">
      <c r="A95" s="7" t="s">
        <v>7</v>
      </c>
      <c r="B95" s="72">
        <v>3.5671476343220798E-3</v>
      </c>
      <c r="C95" s="7" t="s">
        <v>193</v>
      </c>
      <c r="D95" s="76">
        <v>0.42</v>
      </c>
      <c r="E95" s="7" t="s">
        <v>73</v>
      </c>
      <c r="F95" s="73">
        <v>0.658732446387158</v>
      </c>
      <c r="G95" s="7" t="s">
        <v>161</v>
      </c>
      <c r="H95" s="74">
        <v>0.89</v>
      </c>
      <c r="J95" s="70" t="s">
        <v>187</v>
      </c>
    </row>
    <row r="96" spans="1:10" x14ac:dyDescent="0.25">
      <c r="A96" s="7" t="s">
        <v>86</v>
      </c>
      <c r="B96" s="72">
        <v>2.8222915579930501E-2</v>
      </c>
      <c r="C96" s="7" t="s">
        <v>7</v>
      </c>
      <c r="D96" s="72">
        <v>3.5671476343220798E-3</v>
      </c>
      <c r="E96" s="7" t="s">
        <v>74</v>
      </c>
      <c r="F96" s="74">
        <v>0.92235049618967202</v>
      </c>
      <c r="G96" s="7" t="s">
        <v>6</v>
      </c>
      <c r="H96" s="74">
        <v>0.98</v>
      </c>
    </row>
    <row r="97" spans="1:6" x14ac:dyDescent="0.25">
      <c r="A97" s="7" t="s">
        <v>84</v>
      </c>
      <c r="B97" s="73">
        <v>0.52495778815762095</v>
      </c>
      <c r="E97" s="7" t="s">
        <v>77</v>
      </c>
      <c r="F97" s="72">
        <v>3.55220047548402E-2</v>
      </c>
    </row>
    <row r="98" spans="1:6" x14ac:dyDescent="0.25">
      <c r="A98" s="7" t="s">
        <v>73</v>
      </c>
      <c r="B98" s="73">
        <v>0.658732446387158</v>
      </c>
      <c r="E98" s="7" t="s">
        <v>1</v>
      </c>
      <c r="F98" s="74">
        <v>0.94736317707128803</v>
      </c>
    </row>
    <row r="99" spans="1:6" x14ac:dyDescent="0.25">
      <c r="A99" s="7" t="s">
        <v>74</v>
      </c>
      <c r="B99" s="74">
        <v>0.92235049618967202</v>
      </c>
      <c r="E99" s="7" t="s">
        <v>142</v>
      </c>
      <c r="F99" s="72">
        <v>3.40198639357304E-2</v>
      </c>
    </row>
    <row r="100" spans="1:6" x14ac:dyDescent="0.25">
      <c r="A100" s="7" t="s">
        <v>77</v>
      </c>
      <c r="B100" s="72">
        <v>3.55220047548402E-2</v>
      </c>
      <c r="E100" s="7" t="s">
        <v>190</v>
      </c>
      <c r="F100" s="72">
        <v>0.14000000000000001</v>
      </c>
    </row>
    <row r="101" spans="1:6" x14ac:dyDescent="0.25">
      <c r="A101" s="7" t="s">
        <v>1</v>
      </c>
      <c r="B101" s="74">
        <v>0.94736317707128803</v>
      </c>
      <c r="E101" s="7" t="s">
        <v>191</v>
      </c>
      <c r="F101" s="74">
        <v>0.95</v>
      </c>
    </row>
    <row r="102" spans="1:6" x14ac:dyDescent="0.25">
      <c r="A102" s="7" t="s">
        <v>142</v>
      </c>
      <c r="B102" s="72">
        <v>3.40198639357304E-2</v>
      </c>
      <c r="E102" s="7" t="s">
        <v>175</v>
      </c>
      <c r="F102" s="76">
        <v>0.4</v>
      </c>
    </row>
    <row r="103" spans="1:6" x14ac:dyDescent="0.25">
      <c r="A103" s="7" t="s">
        <v>79</v>
      </c>
      <c r="B103" s="74">
        <v>0.71135552976522598</v>
      </c>
      <c r="E103" s="7" t="s">
        <v>78</v>
      </c>
      <c r="F103" s="72">
        <v>6.62294170170607E-5</v>
      </c>
    </row>
    <row r="104" spans="1:6" x14ac:dyDescent="0.25">
      <c r="A104" s="7" t="s">
        <v>175</v>
      </c>
      <c r="B104" s="73">
        <v>0.68208483127570896</v>
      </c>
      <c r="E104" s="7" t="s">
        <v>105</v>
      </c>
      <c r="F104" s="72">
        <v>2.51408842676289E-2</v>
      </c>
    </row>
    <row r="105" spans="1:6" x14ac:dyDescent="0.25">
      <c r="A105" s="7" t="s">
        <v>78</v>
      </c>
      <c r="B105" s="72">
        <v>6.62294170170607E-5</v>
      </c>
    </row>
    <row r="106" spans="1:6" x14ac:dyDescent="0.25">
      <c r="A106" s="7" t="s">
        <v>105</v>
      </c>
      <c r="B106" s="72">
        <v>2.51408842676289E-2</v>
      </c>
      <c r="D106" s="82" t="s">
        <v>198</v>
      </c>
      <c r="E106" s="82"/>
    </row>
    <row r="107" spans="1:6" x14ac:dyDescent="0.25">
      <c r="A107" s="7" t="s">
        <v>5</v>
      </c>
      <c r="B107" s="73">
        <v>0.566218725991401</v>
      </c>
      <c r="D107" s="72" t="s">
        <v>194</v>
      </c>
      <c r="E107" s="77">
        <v>9</v>
      </c>
    </row>
    <row r="108" spans="1:6" x14ac:dyDescent="0.25">
      <c r="A108" s="7" t="s">
        <v>161</v>
      </c>
      <c r="B108" s="74">
        <v>0.78385614450002705</v>
      </c>
      <c r="D108" s="76" t="s">
        <v>195</v>
      </c>
      <c r="E108" s="77">
        <v>2</v>
      </c>
    </row>
    <row r="109" spans="1:6" x14ac:dyDescent="0.25">
      <c r="A109" s="7" t="s">
        <v>6</v>
      </c>
      <c r="B109" s="74">
        <v>0.88316128259450699</v>
      </c>
      <c r="D109" s="73" t="s">
        <v>196</v>
      </c>
      <c r="E109" s="77">
        <v>2</v>
      </c>
    </row>
    <row r="110" spans="1:6" x14ac:dyDescent="0.25">
      <c r="D110" s="74" t="s">
        <v>197</v>
      </c>
      <c r="E110" s="77">
        <v>7</v>
      </c>
    </row>
  </sheetData>
  <mergeCells count="1">
    <mergeCell ref="D106:E10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O12" sqref="O12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48">
        <v>6</v>
      </c>
      <c r="H1" s="48">
        <v>7</v>
      </c>
      <c r="I1" s="48">
        <v>8</v>
      </c>
      <c r="J1" s="48">
        <v>9</v>
      </c>
      <c r="K1" s="48">
        <v>10</v>
      </c>
    </row>
    <row r="2" spans="1:12" x14ac:dyDescent="0.25">
      <c r="A2" s="51" t="s">
        <v>139</v>
      </c>
      <c r="B2" s="52">
        <v>14777182.228013201</v>
      </c>
      <c r="C2" s="52">
        <v>37949221.241086259</v>
      </c>
      <c r="D2" s="52">
        <v>17547795.842103511</v>
      </c>
      <c r="E2" s="52">
        <v>21303104.688398462</v>
      </c>
      <c r="F2" s="52">
        <v>22347712.522483818</v>
      </c>
      <c r="G2" s="52">
        <v>20946969.555763159</v>
      </c>
      <c r="H2" s="52">
        <v>19884769.205236845</v>
      </c>
      <c r="I2" s="52">
        <v>20824130.238903508</v>
      </c>
      <c r="J2" s="52">
        <v>21884645.404903509</v>
      </c>
      <c r="K2" s="52">
        <v>22913488.673833333</v>
      </c>
      <c r="L2" s="60"/>
    </row>
    <row r="3" spans="1:12" x14ac:dyDescent="0.25">
      <c r="A3" s="51" t="s">
        <v>82</v>
      </c>
      <c r="B3" s="52">
        <v>331279149.41895598</v>
      </c>
      <c r="C3" s="52">
        <v>227385022.03396031</v>
      </c>
      <c r="D3" s="52">
        <v>278835990.6812675</v>
      </c>
      <c r="E3" s="52">
        <v>251625699.27542749</v>
      </c>
      <c r="F3" s="52">
        <v>267811068.36687306</v>
      </c>
      <c r="G3" s="52">
        <v>370337279.74940479</v>
      </c>
      <c r="H3" s="52">
        <v>240424168.59249011</v>
      </c>
      <c r="I3" s="52">
        <v>376781790.09281218</v>
      </c>
      <c r="J3" s="52">
        <v>278873915.36341274</v>
      </c>
      <c r="K3" s="52">
        <v>312878955.40801585</v>
      </c>
    </row>
    <row r="4" spans="1:12" x14ac:dyDescent="0.25">
      <c r="A4" s="51" t="s">
        <v>7</v>
      </c>
      <c r="B4" s="52">
        <v>26052155.976207186</v>
      </c>
      <c r="C4" s="52">
        <v>26626398.679317039</v>
      </c>
      <c r="D4" s="52">
        <v>25785425.000522137</v>
      </c>
      <c r="E4" s="52">
        <v>25268100.541441102</v>
      </c>
      <c r="F4" s="52">
        <v>23536241.102126151</v>
      </c>
      <c r="G4" s="52">
        <v>16205415.982412282</v>
      </c>
      <c r="H4" s="52">
        <v>18650429.621702172</v>
      </c>
      <c r="I4" s="52">
        <v>8909629.4530639108</v>
      </c>
      <c r="J4" s="52">
        <v>10718459.86807644</v>
      </c>
      <c r="K4" s="52">
        <v>12977658.734872598</v>
      </c>
    </row>
    <row r="5" spans="1:12" x14ac:dyDescent="0.25">
      <c r="A5" s="53" t="s">
        <v>86</v>
      </c>
      <c r="B5" s="54">
        <v>7180030.7496517412</v>
      </c>
      <c r="C5" s="54">
        <v>6811039.7848258708</v>
      </c>
      <c r="D5" s="54">
        <v>6823077.7507462688</v>
      </c>
      <c r="E5" s="54">
        <v>6836161.7518905476</v>
      </c>
      <c r="F5" s="54">
        <v>2892677.8183333329</v>
      </c>
      <c r="G5" s="54">
        <v>2936861.2</v>
      </c>
      <c r="H5" s="54">
        <v>2979573.415</v>
      </c>
      <c r="I5" s="54">
        <v>3019022.6733333329</v>
      </c>
      <c r="J5" s="54">
        <v>3057248.74</v>
      </c>
      <c r="K5" s="54">
        <v>3089470.1716666664</v>
      </c>
    </row>
    <row r="6" spans="1:12" x14ac:dyDescent="0.25">
      <c r="A6" s="53" t="s">
        <v>84</v>
      </c>
      <c r="B6" s="54">
        <v>243482508.59073868</v>
      </c>
      <c r="C6" s="54">
        <v>265683552.45220169</v>
      </c>
      <c r="D6" s="54">
        <v>267449255.31556958</v>
      </c>
      <c r="E6" s="54">
        <v>252260511.73202878</v>
      </c>
      <c r="F6" s="54">
        <v>254784837.78433856</v>
      </c>
      <c r="G6" s="54">
        <v>252649060.60826117</v>
      </c>
      <c r="H6" s="54">
        <v>255763567.71337724</v>
      </c>
      <c r="I6" s="54">
        <v>253520237.87101316</v>
      </c>
      <c r="J6" s="54">
        <v>257067992.06900519</v>
      </c>
      <c r="K6" s="54">
        <v>259612793.86153063</v>
      </c>
    </row>
    <row r="7" spans="1:12" x14ac:dyDescent="0.25">
      <c r="A7" s="53" t="s">
        <v>73</v>
      </c>
      <c r="B7" s="54">
        <v>6404901.9598684218</v>
      </c>
      <c r="C7" s="54">
        <v>6442339.4954824559</v>
      </c>
      <c r="D7" s="54">
        <v>6541567.8275000006</v>
      </c>
      <c r="E7" s="54">
        <v>6259354.4899561405</v>
      </c>
      <c r="F7" s="54">
        <v>6340104.8614473687</v>
      </c>
      <c r="G7" s="54">
        <v>6418379.5582894739</v>
      </c>
      <c r="H7" s="54">
        <v>6083652.8530263156</v>
      </c>
      <c r="I7" s="54">
        <v>6124954.0212280694</v>
      </c>
      <c r="J7" s="54">
        <v>6177151.9592543859</v>
      </c>
      <c r="K7" s="54">
        <v>6234188.6265789466</v>
      </c>
    </row>
    <row r="8" spans="1:12" x14ac:dyDescent="0.25">
      <c r="A8" s="53" t="s">
        <v>74</v>
      </c>
      <c r="B8" s="54">
        <v>62054151.5187333</v>
      </c>
      <c r="C8" s="54">
        <v>65413986.955080487</v>
      </c>
      <c r="D8" s="54">
        <v>65841841.856021188</v>
      </c>
      <c r="E8" s="54">
        <v>61952728.244699508</v>
      </c>
      <c r="F8" s="54">
        <v>60519651.500131585</v>
      </c>
      <c r="G8" s="54">
        <v>57998581.139210522</v>
      </c>
      <c r="H8" s="54">
        <v>58117895.537499987</v>
      </c>
      <c r="I8" s="54">
        <v>57893320.744999997</v>
      </c>
      <c r="J8" s="54">
        <v>57748831.459999993</v>
      </c>
      <c r="K8" s="54">
        <v>57596497.972499989</v>
      </c>
    </row>
    <row r="9" spans="1:12" x14ac:dyDescent="0.25">
      <c r="A9" s="53" t="s">
        <v>77</v>
      </c>
      <c r="B9" s="54">
        <v>5826576.9305263162</v>
      </c>
      <c r="C9" s="54">
        <v>5816636.375</v>
      </c>
      <c r="D9" s="54">
        <v>5854584.8755263165</v>
      </c>
      <c r="E9" s="54">
        <v>5896821.9957894739</v>
      </c>
      <c r="F9" s="54">
        <v>5926170.5989473686</v>
      </c>
      <c r="G9" s="54">
        <v>5954082.8915789481</v>
      </c>
      <c r="H9" s="54">
        <v>5991783.4488157891</v>
      </c>
      <c r="I9" s="54">
        <v>6035049.5778947361</v>
      </c>
      <c r="J9" s="54">
        <v>6086680.1910526324</v>
      </c>
      <c r="K9" s="54">
        <v>6145863.4007894751</v>
      </c>
    </row>
    <row r="10" spans="1:12" x14ac:dyDescent="0.25">
      <c r="A10" s="53" t="s">
        <v>1</v>
      </c>
      <c r="B10" s="54">
        <v>252782013.30394739</v>
      </c>
      <c r="C10" s="54">
        <v>276183400.32488823</v>
      </c>
      <c r="D10" s="54">
        <v>280768150.91119456</v>
      </c>
      <c r="E10" s="54">
        <v>267849284.49763146</v>
      </c>
      <c r="F10" s="54">
        <v>268129431.55802631</v>
      </c>
      <c r="G10" s="54">
        <v>263800136.55421048</v>
      </c>
      <c r="H10" s="54">
        <v>266841401.45684212</v>
      </c>
      <c r="I10" s="54">
        <v>264380546.56289476</v>
      </c>
      <c r="J10" s="54">
        <v>267626725.60763156</v>
      </c>
      <c r="K10" s="54">
        <v>270569619.35592109</v>
      </c>
    </row>
    <row r="11" spans="1:12" x14ac:dyDescent="0.25">
      <c r="A11" s="55" t="s">
        <v>142</v>
      </c>
      <c r="B11" s="54">
        <v>0</v>
      </c>
      <c r="C11" s="54">
        <v>0</v>
      </c>
      <c r="D11" s="54">
        <v>0</v>
      </c>
      <c r="E11" s="54">
        <v>278213.56657894736</v>
      </c>
      <c r="F11" s="54">
        <v>280005.61210526316</v>
      </c>
      <c r="G11" s="54">
        <v>283015.81947368424</v>
      </c>
      <c r="H11" s="54">
        <v>286417.42355263163</v>
      </c>
      <c r="I11" s="54">
        <v>0</v>
      </c>
      <c r="J11" s="54">
        <v>0</v>
      </c>
      <c r="K11" s="54">
        <v>0</v>
      </c>
    </row>
    <row r="12" spans="1:12" x14ac:dyDescent="0.25">
      <c r="A12" s="55" t="s">
        <v>79</v>
      </c>
      <c r="B12" s="54">
        <v>83779046.847486719</v>
      </c>
      <c r="C12" s="54">
        <v>111910967.15089689</v>
      </c>
      <c r="D12" s="54">
        <v>130818258.14145753</v>
      </c>
      <c r="E12" s="54">
        <v>130319404.58758436</v>
      </c>
      <c r="F12" s="54">
        <v>130091602.13493446</v>
      </c>
      <c r="G12" s="54">
        <v>128193768.97534713</v>
      </c>
      <c r="H12" s="54">
        <v>130537709.07201266</v>
      </c>
      <c r="I12" s="54">
        <v>128516248.55533761</v>
      </c>
      <c r="J12" s="54">
        <v>130807277.60506803</v>
      </c>
      <c r="K12" s="54">
        <v>132955975.82407425</v>
      </c>
    </row>
    <row r="13" spans="1:12" x14ac:dyDescent="0.25">
      <c r="A13" s="55" t="s">
        <v>175</v>
      </c>
      <c r="B13" s="54">
        <v>438402962.04456699</v>
      </c>
      <c r="C13" s="54">
        <v>470271315.11104214</v>
      </c>
      <c r="D13" s="54">
        <v>477813506.82563323</v>
      </c>
      <c r="E13" s="54">
        <v>460091967.73953664</v>
      </c>
      <c r="F13" s="54">
        <v>461371890.65450358</v>
      </c>
      <c r="G13" s="54">
        <v>444026200.79623568</v>
      </c>
      <c r="H13" s="54">
        <v>0</v>
      </c>
      <c r="I13" s="54">
        <v>0</v>
      </c>
      <c r="J13" s="54">
        <v>0</v>
      </c>
      <c r="K13" s="54">
        <v>0</v>
      </c>
    </row>
    <row r="14" spans="1:12" x14ac:dyDescent="0.25">
      <c r="A14" s="56" t="s">
        <v>5</v>
      </c>
      <c r="B14" s="57">
        <v>18988209.721337222</v>
      </c>
      <c r="C14" s="57">
        <v>18779834.86234023</v>
      </c>
      <c r="D14" s="57">
        <v>27459976.613193259</v>
      </c>
      <c r="E14" s="57">
        <v>72849487.392145708</v>
      </c>
      <c r="F14" s="57">
        <v>92670605.202007547</v>
      </c>
      <c r="G14" s="57">
        <v>64703773.733958893</v>
      </c>
      <c r="H14" s="57">
        <v>42236974.675196275</v>
      </c>
      <c r="I14" s="57">
        <v>42368434.197219275</v>
      </c>
      <c r="J14" s="57">
        <v>33730466.86672733</v>
      </c>
      <c r="K14" s="57">
        <v>35038544.997919135</v>
      </c>
    </row>
    <row r="15" spans="1:12" x14ac:dyDescent="0.25">
      <c r="A15" s="55" t="s">
        <v>78</v>
      </c>
      <c r="B15" s="54">
        <v>59502552.144086249</v>
      </c>
      <c r="C15" s="54">
        <v>66824756.298947357</v>
      </c>
      <c r="D15" s="54">
        <v>70949628.8296462</v>
      </c>
      <c r="E15" s="54">
        <v>66846127.524026312</v>
      </c>
      <c r="F15" s="54">
        <v>66046122.553815782</v>
      </c>
      <c r="G15" s="54">
        <v>64346977.572236829</v>
      </c>
      <c r="H15" s="54">
        <v>65181083.424605265</v>
      </c>
      <c r="I15" s="54">
        <v>63819959.962368414</v>
      </c>
      <c r="J15" s="54">
        <v>64588221.479868405</v>
      </c>
      <c r="K15" s="54">
        <v>64955806.190789476</v>
      </c>
    </row>
    <row r="16" spans="1:12" x14ac:dyDescent="0.25">
      <c r="A16" s="55" t="s">
        <v>105</v>
      </c>
      <c r="B16" s="54">
        <v>927637.83394736843</v>
      </c>
      <c r="C16" s="54">
        <v>777066.97697368416</v>
      </c>
      <c r="D16" s="54">
        <v>630153.08855263167</v>
      </c>
      <c r="E16" s="54">
        <v>3543.6963157894734</v>
      </c>
      <c r="F16" s="54">
        <v>3783.6457894736841</v>
      </c>
      <c r="G16" s="54">
        <v>4031.9913157894744</v>
      </c>
      <c r="H16" s="54">
        <v>0</v>
      </c>
      <c r="I16" s="54">
        <v>0</v>
      </c>
      <c r="J16" s="54">
        <v>0</v>
      </c>
      <c r="K16" s="54">
        <v>0</v>
      </c>
    </row>
    <row r="17" spans="1:12" x14ac:dyDescent="0.25">
      <c r="A17" s="56" t="s">
        <v>161</v>
      </c>
      <c r="B17" s="57">
        <v>142479003.36778629</v>
      </c>
      <c r="C17" s="57">
        <v>166422082.736177</v>
      </c>
      <c r="D17" s="57">
        <v>173751395.40052408</v>
      </c>
      <c r="E17" s="57">
        <v>186328369.91646266</v>
      </c>
      <c r="F17" s="57">
        <v>197668287.62063622</v>
      </c>
      <c r="G17" s="57">
        <v>205652326.63302279</v>
      </c>
      <c r="H17" s="57">
        <v>209552844.43528977</v>
      </c>
      <c r="I17" s="57">
        <v>207355550.10954678</v>
      </c>
      <c r="J17" s="57">
        <v>209606287.81869888</v>
      </c>
      <c r="K17" s="57">
        <v>211802837.82197365</v>
      </c>
    </row>
    <row r="18" spans="1:12" x14ac:dyDescent="0.25">
      <c r="A18" s="56" t="s">
        <v>6</v>
      </c>
      <c r="B18" s="57">
        <v>160800233.02991807</v>
      </c>
      <c r="C18" s="57">
        <v>186996096.55044705</v>
      </c>
      <c r="D18" s="57">
        <v>209165465.89669368</v>
      </c>
      <c r="E18" s="57">
        <v>205938451.27025551</v>
      </c>
      <c r="F18" s="57">
        <v>220998668.43915194</v>
      </c>
      <c r="G18" s="57">
        <v>219106581.71571612</v>
      </c>
      <c r="H18" s="57">
        <v>222271116.40640509</v>
      </c>
      <c r="I18" s="57">
        <v>217335571.50486726</v>
      </c>
      <c r="J18" s="57">
        <v>218764570.77513307</v>
      </c>
      <c r="K18" s="57">
        <v>220234251.13688153</v>
      </c>
      <c r="L18" s="62"/>
    </row>
    <row r="20" spans="1:12" x14ac:dyDescent="0.25">
      <c r="B20" s="48">
        <v>1</v>
      </c>
      <c r="C20" s="48">
        <v>2</v>
      </c>
      <c r="D20" s="48">
        <v>3</v>
      </c>
      <c r="E20" s="48">
        <v>4</v>
      </c>
      <c r="F20" s="48">
        <v>5</v>
      </c>
      <c r="G20" s="48">
        <v>6</v>
      </c>
      <c r="H20" s="48">
        <v>7</v>
      </c>
      <c r="I20" s="48">
        <v>8</v>
      </c>
      <c r="J20" s="48">
        <v>9</v>
      </c>
      <c r="K20" s="48">
        <v>10</v>
      </c>
    </row>
    <row r="21" spans="1:12" x14ac:dyDescent="0.25">
      <c r="A21" s="51" t="s">
        <v>34</v>
      </c>
      <c r="B21" s="60">
        <f>+B2+B3+B4</f>
        <v>372108487.6231764</v>
      </c>
      <c r="C21" s="60">
        <f t="shared" ref="C21:K21" si="0">+C2+C3+C4</f>
        <v>291960641.95436364</v>
      </c>
      <c r="D21" s="60">
        <f t="shared" si="0"/>
        <v>322169211.52389312</v>
      </c>
      <c r="E21" s="60">
        <f t="shared" si="0"/>
        <v>298196904.50526702</v>
      </c>
      <c r="F21" s="60">
        <f t="shared" si="0"/>
        <v>313695021.99148297</v>
      </c>
      <c r="G21" s="60">
        <f t="shared" si="0"/>
        <v>407489665.28758025</v>
      </c>
      <c r="H21" s="60">
        <f t="shared" si="0"/>
        <v>278959367.41942912</v>
      </c>
      <c r="I21" s="60">
        <f t="shared" si="0"/>
        <v>406515549.78477961</v>
      </c>
      <c r="J21" s="60">
        <f t="shared" si="0"/>
        <v>311477020.63639271</v>
      </c>
      <c r="K21" s="60">
        <f t="shared" si="0"/>
        <v>348770102.81672174</v>
      </c>
    </row>
    <row r="22" spans="1:12" x14ac:dyDescent="0.25">
      <c r="A22" s="51" t="s">
        <v>119</v>
      </c>
      <c r="B22" s="60">
        <f>+B4</f>
        <v>26052155.976207186</v>
      </c>
      <c r="C22" s="60">
        <f t="shared" ref="C22:K22" si="1">+C4</f>
        <v>26626398.679317039</v>
      </c>
      <c r="D22" s="60">
        <f t="shared" si="1"/>
        <v>25785425.000522137</v>
      </c>
      <c r="E22" s="60">
        <f t="shared" si="1"/>
        <v>25268100.541441102</v>
      </c>
      <c r="F22" s="60">
        <f t="shared" si="1"/>
        <v>23536241.102126151</v>
      </c>
      <c r="G22" s="60">
        <f t="shared" si="1"/>
        <v>16205415.982412282</v>
      </c>
      <c r="H22" s="60">
        <f t="shared" si="1"/>
        <v>18650429.621702172</v>
      </c>
      <c r="I22" s="60">
        <f t="shared" si="1"/>
        <v>8909629.4530639108</v>
      </c>
      <c r="J22" s="60">
        <f t="shared" si="1"/>
        <v>10718459.86807644</v>
      </c>
      <c r="K22" s="60">
        <f t="shared" si="1"/>
        <v>12977658.734872598</v>
      </c>
    </row>
    <row r="23" spans="1:12" x14ac:dyDescent="0.25">
      <c r="A23" s="51" t="s">
        <v>121</v>
      </c>
      <c r="B23" s="60">
        <f>+B3+B4</f>
        <v>357331305.39516318</v>
      </c>
      <c r="C23" s="60">
        <f t="shared" ref="C23:K23" si="2">+C3+C4</f>
        <v>254011420.71327734</v>
      </c>
      <c r="D23" s="60">
        <f t="shared" si="2"/>
        <v>304621415.68178964</v>
      </c>
      <c r="E23" s="60">
        <f t="shared" si="2"/>
        <v>276893799.8168686</v>
      </c>
      <c r="F23" s="60">
        <f t="shared" si="2"/>
        <v>291347309.46899921</v>
      </c>
      <c r="G23" s="60">
        <f t="shared" si="2"/>
        <v>386542695.73181707</v>
      </c>
      <c r="H23" s="60">
        <f t="shared" si="2"/>
        <v>259074598.21419227</v>
      </c>
      <c r="I23" s="60">
        <f t="shared" si="2"/>
        <v>385691419.54587609</v>
      </c>
      <c r="J23" s="60">
        <f t="shared" si="2"/>
        <v>289592375.23148918</v>
      </c>
      <c r="K23" s="60">
        <f t="shared" si="2"/>
        <v>325856614.14288843</v>
      </c>
    </row>
    <row r="24" spans="1:12" x14ac:dyDescent="0.25">
      <c r="A24" s="53" t="s">
        <v>95</v>
      </c>
      <c r="B24" s="59">
        <f>+B6+B7+B8+B9+B10+B11</f>
        <v>570550152.30381417</v>
      </c>
      <c r="C24" s="59">
        <f t="shared" ref="C24:K24" si="3">+C6+C7+C8+C9+C10+C11</f>
        <v>619539915.60265291</v>
      </c>
      <c r="D24" s="59">
        <f t="shared" si="3"/>
        <v>626455400.78581166</v>
      </c>
      <c r="E24" s="59">
        <f t="shared" si="3"/>
        <v>594496914.5266844</v>
      </c>
      <c r="F24" s="59">
        <f t="shared" si="3"/>
        <v>595980201.9149965</v>
      </c>
      <c r="G24" s="59">
        <f t="shared" si="3"/>
        <v>587103256.57102442</v>
      </c>
      <c r="H24" s="59">
        <f t="shared" si="3"/>
        <v>593084718.43311405</v>
      </c>
      <c r="I24" s="59">
        <f t="shared" si="3"/>
        <v>587954108.77803075</v>
      </c>
      <c r="J24" s="59">
        <f t="shared" si="3"/>
        <v>594707381.28694367</v>
      </c>
      <c r="K24" s="59">
        <f t="shared" si="3"/>
        <v>600158963.2173202</v>
      </c>
    </row>
    <row r="25" spans="1:12" x14ac:dyDescent="0.25">
      <c r="A25" s="53" t="s">
        <v>8</v>
      </c>
      <c r="B25" s="59">
        <f>+B5+B6+B7+B8+B9+B10+B11</f>
        <v>577730183.05346584</v>
      </c>
      <c r="C25" s="59">
        <f t="shared" ref="C25:K25" si="4">+C5+C6+C7+C8+C9+C10+C11</f>
        <v>626350955.38747883</v>
      </c>
      <c r="D25" s="59">
        <f t="shared" si="4"/>
        <v>633278478.53655791</v>
      </c>
      <c r="E25" s="59">
        <f t="shared" si="4"/>
        <v>601333076.27857494</v>
      </c>
      <c r="F25" s="59">
        <f t="shared" si="4"/>
        <v>598872879.73332977</v>
      </c>
      <c r="G25" s="59">
        <f t="shared" si="4"/>
        <v>590040117.77102435</v>
      </c>
      <c r="H25" s="59">
        <f t="shared" si="4"/>
        <v>596064291.84811401</v>
      </c>
      <c r="I25" s="59">
        <f t="shared" si="4"/>
        <v>590973131.45136404</v>
      </c>
      <c r="J25" s="59">
        <f t="shared" si="4"/>
        <v>597764630.02694368</v>
      </c>
      <c r="K25" s="59">
        <f t="shared" si="4"/>
        <v>603248433.38898683</v>
      </c>
    </row>
    <row r="26" spans="1:12" x14ac:dyDescent="0.25">
      <c r="A26" s="53" t="s">
        <v>141</v>
      </c>
      <c r="B26" s="59">
        <f>+B8+B9+B10+B11</f>
        <v>320662741.75320697</v>
      </c>
      <c r="C26" s="59">
        <f t="shared" ref="C26:K26" si="5">+C8+C9+C10+C11</f>
        <v>347414023.65496874</v>
      </c>
      <c r="D26" s="59">
        <f t="shared" si="5"/>
        <v>352464577.64274204</v>
      </c>
      <c r="E26" s="59">
        <f t="shared" si="5"/>
        <v>335977048.30469936</v>
      </c>
      <c r="F26" s="59">
        <f t="shared" si="5"/>
        <v>334855259.26921052</v>
      </c>
      <c r="G26" s="59">
        <f t="shared" si="5"/>
        <v>328035816.40447366</v>
      </c>
      <c r="H26" s="59">
        <f t="shared" si="5"/>
        <v>331237497.86671054</v>
      </c>
      <c r="I26" s="59">
        <f t="shared" si="5"/>
        <v>328308916.88578951</v>
      </c>
      <c r="J26" s="59">
        <f t="shared" si="5"/>
        <v>331462237.25868416</v>
      </c>
      <c r="K26" s="59">
        <f t="shared" si="5"/>
        <v>334311980.72921056</v>
      </c>
    </row>
    <row r="27" spans="1:12" x14ac:dyDescent="0.25">
      <c r="A27" s="53" t="s">
        <v>140</v>
      </c>
      <c r="B27" s="59">
        <f>+B15+B10+B11</f>
        <v>312284565.44803363</v>
      </c>
      <c r="C27" s="59">
        <f t="shared" ref="C27:K27" si="6">+C15+C10+C11</f>
        <v>343008156.62383556</v>
      </c>
      <c r="D27" s="59">
        <f t="shared" si="6"/>
        <v>351717779.74084079</v>
      </c>
      <c r="E27" s="59">
        <f t="shared" si="6"/>
        <v>334973625.58823669</v>
      </c>
      <c r="F27" s="59">
        <f t="shared" si="6"/>
        <v>334455559.72394735</v>
      </c>
      <c r="G27" s="59">
        <f t="shared" si="6"/>
        <v>328430129.945921</v>
      </c>
      <c r="H27" s="59">
        <f t="shared" si="6"/>
        <v>332308902.30500001</v>
      </c>
      <c r="I27" s="59">
        <f t="shared" si="6"/>
        <v>328200506.52526319</v>
      </c>
      <c r="J27" s="59">
        <f t="shared" si="6"/>
        <v>332214947.08749998</v>
      </c>
      <c r="K27" s="59">
        <f t="shared" si="6"/>
        <v>335525425.54671055</v>
      </c>
    </row>
    <row r="28" spans="1:12" x14ac:dyDescent="0.25">
      <c r="A28" s="53" t="s">
        <v>105</v>
      </c>
      <c r="B28" s="59">
        <f>+B9+B10+B11+B16</f>
        <v>259536228.06842107</v>
      </c>
      <c r="C28" s="59">
        <f t="shared" ref="C28:K28" si="7">+C9+C10+C11+C16</f>
        <v>282777103.67686194</v>
      </c>
      <c r="D28" s="59">
        <f t="shared" si="7"/>
        <v>287252888.87527353</v>
      </c>
      <c r="E28" s="59">
        <f t="shared" si="7"/>
        <v>274027863.75631565</v>
      </c>
      <c r="F28" s="59">
        <f t="shared" si="7"/>
        <v>274339391.41486835</v>
      </c>
      <c r="G28" s="59">
        <f t="shared" si="7"/>
        <v>270041267.25657892</v>
      </c>
      <c r="H28" s="59">
        <f t="shared" si="7"/>
        <v>273119602.32921052</v>
      </c>
      <c r="I28" s="59">
        <f t="shared" si="7"/>
        <v>270415596.14078951</v>
      </c>
      <c r="J28" s="59">
        <f t="shared" si="7"/>
        <v>273713405.79868418</v>
      </c>
      <c r="K28" s="59">
        <f t="shared" si="7"/>
        <v>276715482.75671059</v>
      </c>
    </row>
    <row r="29" spans="1:12" x14ac:dyDescent="0.25">
      <c r="A29" s="53" t="s">
        <v>79</v>
      </c>
      <c r="B29" s="59">
        <f>+B11+B12+B13</f>
        <v>522182008.89205372</v>
      </c>
      <c r="C29" s="59">
        <f t="shared" ref="C29:K29" si="8">+C11+C12+C13</f>
        <v>582182282.26193905</v>
      </c>
      <c r="D29" s="59">
        <f t="shared" si="8"/>
        <v>608631764.96709073</v>
      </c>
      <c r="E29" s="59">
        <f t="shared" si="8"/>
        <v>590689585.8937</v>
      </c>
      <c r="F29" s="59">
        <f t="shared" si="8"/>
        <v>591743498.40154326</v>
      </c>
      <c r="G29" s="59">
        <f t="shared" si="8"/>
        <v>572502985.59105647</v>
      </c>
      <c r="H29" s="59">
        <f t="shared" si="8"/>
        <v>130824126.4955653</v>
      </c>
      <c r="I29" s="59">
        <f t="shared" si="8"/>
        <v>128516248.55533761</v>
      </c>
      <c r="J29" s="59">
        <f t="shared" si="8"/>
        <v>130807277.60506803</v>
      </c>
      <c r="K29" s="59">
        <f t="shared" si="8"/>
        <v>132955975.82407425</v>
      </c>
    </row>
    <row r="30" spans="1:12" x14ac:dyDescent="0.25">
      <c r="A30" s="61" t="s">
        <v>5</v>
      </c>
      <c r="B30" s="62">
        <f>+B14</f>
        <v>18988209.721337222</v>
      </c>
      <c r="C30" s="62">
        <f t="shared" ref="C30:K30" si="9">+C14</f>
        <v>18779834.86234023</v>
      </c>
      <c r="D30" s="62">
        <f t="shared" si="9"/>
        <v>27459976.613193259</v>
      </c>
      <c r="E30" s="62">
        <f t="shared" si="9"/>
        <v>72849487.392145708</v>
      </c>
      <c r="F30" s="62">
        <f t="shared" si="9"/>
        <v>92670605.202007547</v>
      </c>
      <c r="G30" s="62">
        <f t="shared" si="9"/>
        <v>64703773.733958893</v>
      </c>
      <c r="H30" s="62">
        <f t="shared" si="9"/>
        <v>42236974.675196275</v>
      </c>
      <c r="I30" s="62">
        <f t="shared" si="9"/>
        <v>42368434.197219275</v>
      </c>
      <c r="J30" s="62">
        <f t="shared" si="9"/>
        <v>33730466.86672733</v>
      </c>
      <c r="K30" s="62">
        <f t="shared" si="9"/>
        <v>35038544.997919135</v>
      </c>
    </row>
    <row r="31" spans="1:12" x14ac:dyDescent="0.25">
      <c r="A31" s="61" t="s">
        <v>161</v>
      </c>
      <c r="B31" s="62">
        <f>+B17</f>
        <v>142479003.36778629</v>
      </c>
      <c r="C31" s="62">
        <f t="shared" ref="C31:K31" si="10">+C17</f>
        <v>166422082.736177</v>
      </c>
      <c r="D31" s="62">
        <f t="shared" si="10"/>
        <v>173751395.40052408</v>
      </c>
      <c r="E31" s="62">
        <f t="shared" si="10"/>
        <v>186328369.91646266</v>
      </c>
      <c r="F31" s="62">
        <f t="shared" si="10"/>
        <v>197668287.62063622</v>
      </c>
      <c r="G31" s="62">
        <f t="shared" si="10"/>
        <v>205652326.63302279</v>
      </c>
      <c r="H31" s="62">
        <f t="shared" si="10"/>
        <v>209552844.43528977</v>
      </c>
      <c r="I31" s="62">
        <f t="shared" si="10"/>
        <v>207355550.10954678</v>
      </c>
      <c r="J31" s="62">
        <f t="shared" si="10"/>
        <v>209606287.81869888</v>
      </c>
      <c r="K31" s="62">
        <f t="shared" si="10"/>
        <v>211802837.82197365</v>
      </c>
    </row>
    <row r="32" spans="1:12" x14ac:dyDescent="0.25">
      <c r="A32" s="61" t="s">
        <v>6</v>
      </c>
      <c r="B32" s="62">
        <f>+B18</f>
        <v>160800233.02991807</v>
      </c>
      <c r="C32" s="62">
        <f t="shared" ref="C32:K32" si="11">+C18</f>
        <v>186996096.55044705</v>
      </c>
      <c r="D32" s="62">
        <f t="shared" si="11"/>
        <v>209165465.89669368</v>
      </c>
      <c r="E32" s="62">
        <f t="shared" si="11"/>
        <v>205938451.27025551</v>
      </c>
      <c r="F32" s="62">
        <f t="shared" si="11"/>
        <v>220998668.43915194</v>
      </c>
      <c r="G32" s="62">
        <f t="shared" si="11"/>
        <v>219106581.71571612</v>
      </c>
      <c r="H32" s="62">
        <f t="shared" si="11"/>
        <v>222271116.40640509</v>
      </c>
      <c r="I32" s="62">
        <f t="shared" si="11"/>
        <v>217335571.50486726</v>
      </c>
      <c r="J32" s="62">
        <f t="shared" si="11"/>
        <v>218764570.77513307</v>
      </c>
      <c r="K32" s="62">
        <f t="shared" si="11"/>
        <v>220234251.13688153</v>
      </c>
    </row>
    <row r="34" spans="1:11" x14ac:dyDescent="0.25">
      <c r="A34" s="49" t="s">
        <v>34</v>
      </c>
      <c r="B34" s="58">
        <f>+ROUND(B21/100000,0)*100000</f>
        <v>372100000</v>
      </c>
      <c r="C34" s="58">
        <f t="shared" ref="C34:K34" si="12">+ROUND(C21/100000,0)*100000</f>
        <v>292000000</v>
      </c>
      <c r="D34" s="58">
        <f t="shared" si="12"/>
        <v>322200000</v>
      </c>
      <c r="E34" s="58">
        <f t="shared" si="12"/>
        <v>298200000</v>
      </c>
      <c r="F34" s="58">
        <f t="shared" si="12"/>
        <v>313700000</v>
      </c>
      <c r="G34" s="58">
        <f t="shared" si="12"/>
        <v>407500000</v>
      </c>
      <c r="H34" s="58">
        <f t="shared" si="12"/>
        <v>279000000</v>
      </c>
      <c r="I34" s="58">
        <f t="shared" si="12"/>
        <v>406500000</v>
      </c>
      <c r="J34" s="58">
        <f t="shared" si="12"/>
        <v>311500000</v>
      </c>
      <c r="K34" s="58">
        <f t="shared" si="12"/>
        <v>348800000</v>
      </c>
    </row>
    <row r="35" spans="1:11" x14ac:dyDescent="0.25">
      <c r="A35" s="49" t="s">
        <v>119</v>
      </c>
      <c r="B35" s="58">
        <f t="shared" ref="B35:K35" si="13">+ROUND(B22/100000,0)*100000</f>
        <v>26100000</v>
      </c>
      <c r="C35" s="58">
        <f t="shared" si="13"/>
        <v>26600000</v>
      </c>
      <c r="D35" s="58">
        <f t="shared" si="13"/>
        <v>25800000</v>
      </c>
      <c r="E35" s="58">
        <f t="shared" si="13"/>
        <v>25300000</v>
      </c>
      <c r="F35" s="58">
        <f t="shared" si="13"/>
        <v>23500000</v>
      </c>
      <c r="G35" s="58">
        <f t="shared" si="13"/>
        <v>16200000</v>
      </c>
      <c r="H35" s="58">
        <f t="shared" si="13"/>
        <v>18700000</v>
      </c>
      <c r="I35" s="58">
        <f t="shared" si="13"/>
        <v>8900000</v>
      </c>
      <c r="J35" s="58">
        <f t="shared" si="13"/>
        <v>10700000</v>
      </c>
      <c r="K35" s="58">
        <f t="shared" si="13"/>
        <v>13000000</v>
      </c>
    </row>
    <row r="36" spans="1:11" x14ac:dyDescent="0.25">
      <c r="A36" s="49" t="s">
        <v>121</v>
      </c>
      <c r="B36" s="58">
        <f t="shared" ref="B36:K36" si="14">+ROUND(B23/100000,0)*100000</f>
        <v>357300000</v>
      </c>
      <c r="C36" s="58">
        <f t="shared" si="14"/>
        <v>254000000</v>
      </c>
      <c r="D36" s="58">
        <f t="shared" si="14"/>
        <v>304600000</v>
      </c>
      <c r="E36" s="58">
        <f t="shared" si="14"/>
        <v>276900000</v>
      </c>
      <c r="F36" s="58">
        <f t="shared" si="14"/>
        <v>291300000</v>
      </c>
      <c r="G36" s="58">
        <f t="shared" si="14"/>
        <v>386500000</v>
      </c>
      <c r="H36" s="58">
        <f t="shared" si="14"/>
        <v>259100000</v>
      </c>
      <c r="I36" s="58">
        <f t="shared" si="14"/>
        <v>385700000</v>
      </c>
      <c r="J36" s="58">
        <f t="shared" si="14"/>
        <v>289600000</v>
      </c>
      <c r="K36" s="58">
        <f t="shared" si="14"/>
        <v>325900000</v>
      </c>
    </row>
    <row r="37" spans="1:11" x14ac:dyDescent="0.25">
      <c r="A37" s="49" t="s">
        <v>95</v>
      </c>
      <c r="B37" s="58">
        <f t="shared" ref="B37:K37" si="15">+ROUND(B24/100000,0)*100000</f>
        <v>570600000</v>
      </c>
      <c r="C37" s="58">
        <f t="shared" si="15"/>
        <v>619500000</v>
      </c>
      <c r="D37" s="58">
        <f t="shared" si="15"/>
        <v>626500000</v>
      </c>
      <c r="E37" s="58">
        <f t="shared" si="15"/>
        <v>594500000</v>
      </c>
      <c r="F37" s="58">
        <f t="shared" si="15"/>
        <v>596000000</v>
      </c>
      <c r="G37" s="58">
        <f t="shared" si="15"/>
        <v>587100000</v>
      </c>
      <c r="H37" s="58">
        <f t="shared" si="15"/>
        <v>593100000</v>
      </c>
      <c r="I37" s="58">
        <f t="shared" si="15"/>
        <v>588000000</v>
      </c>
      <c r="J37" s="58">
        <f t="shared" si="15"/>
        <v>594700000</v>
      </c>
      <c r="K37" s="58">
        <f t="shared" si="15"/>
        <v>600200000</v>
      </c>
    </row>
    <row r="38" spans="1:11" x14ac:dyDescent="0.25">
      <c r="A38" s="49" t="s">
        <v>8</v>
      </c>
      <c r="B38" s="58">
        <f t="shared" ref="B38:K38" si="16">+ROUND(B25/100000,0)*100000</f>
        <v>577700000</v>
      </c>
      <c r="C38" s="58">
        <f t="shared" si="16"/>
        <v>626400000</v>
      </c>
      <c r="D38" s="58">
        <f t="shared" si="16"/>
        <v>633300000</v>
      </c>
      <c r="E38" s="58">
        <f t="shared" si="16"/>
        <v>601300000</v>
      </c>
      <c r="F38" s="58">
        <f t="shared" si="16"/>
        <v>598900000</v>
      </c>
      <c r="G38" s="58">
        <f t="shared" si="16"/>
        <v>590000000</v>
      </c>
      <c r="H38" s="58">
        <f t="shared" si="16"/>
        <v>596100000</v>
      </c>
      <c r="I38" s="58">
        <f t="shared" si="16"/>
        <v>591000000</v>
      </c>
      <c r="J38" s="58">
        <f t="shared" si="16"/>
        <v>597800000</v>
      </c>
      <c r="K38" s="58">
        <f t="shared" si="16"/>
        <v>603200000</v>
      </c>
    </row>
    <row r="39" spans="1:11" x14ac:dyDescent="0.25">
      <c r="A39" s="49" t="s">
        <v>141</v>
      </c>
      <c r="B39" s="58">
        <f t="shared" ref="B39:K39" si="17">+ROUND(B26/100000,0)*100000</f>
        <v>320700000</v>
      </c>
      <c r="C39" s="58">
        <f t="shared" si="17"/>
        <v>347400000</v>
      </c>
      <c r="D39" s="58">
        <f t="shared" si="17"/>
        <v>352500000</v>
      </c>
      <c r="E39" s="58">
        <f t="shared" si="17"/>
        <v>336000000</v>
      </c>
      <c r="F39" s="58">
        <f t="shared" si="17"/>
        <v>334900000</v>
      </c>
      <c r="G39" s="58">
        <f t="shared" si="17"/>
        <v>328000000</v>
      </c>
      <c r="H39" s="58">
        <f t="shared" si="17"/>
        <v>331200000</v>
      </c>
      <c r="I39" s="58">
        <f t="shared" si="17"/>
        <v>328300000</v>
      </c>
      <c r="J39" s="58">
        <f t="shared" si="17"/>
        <v>331500000</v>
      </c>
      <c r="K39" s="58">
        <f t="shared" si="17"/>
        <v>334300000</v>
      </c>
    </row>
    <row r="40" spans="1:11" x14ac:dyDescent="0.25">
      <c r="A40" s="49" t="s">
        <v>140</v>
      </c>
      <c r="B40" s="58">
        <f t="shared" ref="B40:K40" si="18">+ROUND(B27/100000,0)*100000</f>
        <v>312300000</v>
      </c>
      <c r="C40" s="58">
        <f t="shared" si="18"/>
        <v>343000000</v>
      </c>
      <c r="D40" s="58">
        <f t="shared" si="18"/>
        <v>351700000</v>
      </c>
      <c r="E40" s="58">
        <f t="shared" si="18"/>
        <v>335000000</v>
      </c>
      <c r="F40" s="58">
        <f t="shared" si="18"/>
        <v>334500000</v>
      </c>
      <c r="G40" s="58">
        <f t="shared" si="18"/>
        <v>328400000</v>
      </c>
      <c r="H40" s="58">
        <f t="shared" si="18"/>
        <v>332300000</v>
      </c>
      <c r="I40" s="58">
        <f t="shared" si="18"/>
        <v>328200000</v>
      </c>
      <c r="J40" s="58">
        <f t="shared" si="18"/>
        <v>332200000</v>
      </c>
      <c r="K40" s="58">
        <f t="shared" si="18"/>
        <v>335500000</v>
      </c>
    </row>
    <row r="41" spans="1:11" x14ac:dyDescent="0.25">
      <c r="A41" s="49" t="s">
        <v>105</v>
      </c>
      <c r="B41" s="58">
        <f t="shared" ref="B41:K41" si="19">+ROUND(B28/100000,0)*100000</f>
        <v>259500000</v>
      </c>
      <c r="C41" s="58">
        <f t="shared" si="19"/>
        <v>282800000</v>
      </c>
      <c r="D41" s="58">
        <f t="shared" si="19"/>
        <v>287300000</v>
      </c>
      <c r="E41" s="58">
        <f t="shared" si="19"/>
        <v>274000000</v>
      </c>
      <c r="F41" s="58">
        <f t="shared" si="19"/>
        <v>274300000</v>
      </c>
      <c r="G41" s="58">
        <f t="shared" si="19"/>
        <v>270000000</v>
      </c>
      <c r="H41" s="58">
        <f t="shared" si="19"/>
        <v>273100000</v>
      </c>
      <c r="I41" s="58">
        <f t="shared" si="19"/>
        <v>270400000</v>
      </c>
      <c r="J41" s="58">
        <f t="shared" si="19"/>
        <v>273700000</v>
      </c>
      <c r="K41" s="58">
        <f t="shared" si="19"/>
        <v>276700000</v>
      </c>
    </row>
    <row r="42" spans="1:11" x14ac:dyDescent="0.25">
      <c r="A42" s="49" t="s">
        <v>79</v>
      </c>
      <c r="B42" s="58">
        <f t="shared" ref="B42:K42" si="20">+ROUND(B29/100000,0)*100000</f>
        <v>522200000</v>
      </c>
      <c r="C42" s="58">
        <f t="shared" si="20"/>
        <v>582200000</v>
      </c>
      <c r="D42" s="58">
        <f t="shared" si="20"/>
        <v>608600000</v>
      </c>
      <c r="E42" s="58">
        <f t="shared" si="20"/>
        <v>590700000</v>
      </c>
      <c r="F42" s="58">
        <f t="shared" si="20"/>
        <v>591700000</v>
      </c>
      <c r="G42" s="58">
        <f t="shared" si="20"/>
        <v>572500000</v>
      </c>
      <c r="H42" s="58">
        <f t="shared" si="20"/>
        <v>130800000</v>
      </c>
      <c r="I42" s="58">
        <f t="shared" si="20"/>
        <v>128500000</v>
      </c>
      <c r="J42" s="58">
        <f t="shared" si="20"/>
        <v>130800000</v>
      </c>
      <c r="K42" s="58">
        <f t="shared" si="20"/>
        <v>133000000</v>
      </c>
    </row>
    <row r="43" spans="1:11" x14ac:dyDescent="0.25">
      <c r="A43" s="49" t="s">
        <v>5</v>
      </c>
      <c r="B43" s="58">
        <f t="shared" ref="B43:K43" si="21">+ROUND(B30/100000,0)*100000</f>
        <v>19000000</v>
      </c>
      <c r="C43" s="58">
        <f t="shared" si="21"/>
        <v>18800000</v>
      </c>
      <c r="D43" s="58">
        <f t="shared" si="21"/>
        <v>27500000</v>
      </c>
      <c r="E43" s="58">
        <f t="shared" si="21"/>
        <v>72800000</v>
      </c>
      <c r="F43" s="58">
        <f t="shared" si="21"/>
        <v>92700000</v>
      </c>
      <c r="G43" s="58">
        <f t="shared" si="21"/>
        <v>64700000</v>
      </c>
      <c r="H43" s="58">
        <f t="shared" si="21"/>
        <v>42200000</v>
      </c>
      <c r="I43" s="58">
        <f t="shared" si="21"/>
        <v>42400000</v>
      </c>
      <c r="J43" s="58">
        <f t="shared" si="21"/>
        <v>33700000</v>
      </c>
      <c r="K43" s="58">
        <f t="shared" si="21"/>
        <v>35000000</v>
      </c>
    </row>
    <row r="44" spans="1:11" x14ac:dyDescent="0.25">
      <c r="A44" s="49" t="s">
        <v>161</v>
      </c>
      <c r="B44" s="58">
        <f t="shared" ref="B44:K44" si="22">+ROUND(B31/100000,0)*100000</f>
        <v>142500000</v>
      </c>
      <c r="C44" s="58">
        <f t="shared" si="22"/>
        <v>166400000</v>
      </c>
      <c r="D44" s="58">
        <f t="shared" si="22"/>
        <v>173800000</v>
      </c>
      <c r="E44" s="58">
        <f t="shared" si="22"/>
        <v>186300000</v>
      </c>
      <c r="F44" s="58">
        <f t="shared" si="22"/>
        <v>197700000</v>
      </c>
      <c r="G44" s="58">
        <f t="shared" si="22"/>
        <v>205700000</v>
      </c>
      <c r="H44" s="58">
        <f t="shared" si="22"/>
        <v>209600000</v>
      </c>
      <c r="I44" s="58">
        <f t="shared" si="22"/>
        <v>207400000</v>
      </c>
      <c r="J44" s="58">
        <f t="shared" si="22"/>
        <v>209600000</v>
      </c>
      <c r="K44" s="58">
        <f t="shared" si="22"/>
        <v>211800000</v>
      </c>
    </row>
    <row r="45" spans="1:11" x14ac:dyDescent="0.25">
      <c r="A45" s="49" t="s">
        <v>6</v>
      </c>
      <c r="B45" s="58">
        <f>+ROUND(B32/100000,0)*100000</f>
        <v>160800000</v>
      </c>
      <c r="C45" s="58">
        <f t="shared" ref="C45:K45" si="23">+ROUND(C32/100000,0)*100000</f>
        <v>187000000</v>
      </c>
      <c r="D45" s="58">
        <f t="shared" si="23"/>
        <v>209200000</v>
      </c>
      <c r="E45" s="58">
        <f t="shared" si="23"/>
        <v>205900000</v>
      </c>
      <c r="F45" s="58">
        <f t="shared" si="23"/>
        <v>221000000</v>
      </c>
      <c r="G45" s="58">
        <f t="shared" si="23"/>
        <v>219100000</v>
      </c>
      <c r="H45" s="58">
        <f t="shared" si="23"/>
        <v>222300000</v>
      </c>
      <c r="I45" s="58">
        <f t="shared" si="23"/>
        <v>217300000</v>
      </c>
      <c r="J45" s="58">
        <f t="shared" si="23"/>
        <v>218800000</v>
      </c>
      <c r="K45" s="58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M22"/>
  <sheetViews>
    <sheetView workbookViewId="0">
      <selection activeCell="D16" sqref="D16"/>
    </sheetView>
  </sheetViews>
  <sheetFormatPr defaultRowHeight="15" x14ac:dyDescent="0.25"/>
  <cols>
    <col min="1" max="1" width="11.85546875" bestFit="1" customWidth="1"/>
    <col min="2" max="6" width="12.5703125" bestFit="1" customWidth="1"/>
    <col min="7" max="7" width="12" bestFit="1" customWidth="1"/>
    <col min="8" max="8" width="12.5703125" bestFit="1" customWidth="1"/>
    <col min="9" max="10" width="12" bestFit="1" customWidth="1"/>
    <col min="11" max="11" width="12.5703125" bestFit="1" customWidth="1"/>
    <col min="13" max="13" width="13.85546875" bestFit="1" customWidth="1"/>
  </cols>
  <sheetData>
    <row r="1" spans="1:13" x14ac:dyDescent="0.25"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48">
        <v>6</v>
      </c>
      <c r="H1" s="48">
        <v>7</v>
      </c>
      <c r="I1" s="48">
        <v>8</v>
      </c>
      <c r="J1" s="48">
        <v>9</v>
      </c>
      <c r="K1" s="48">
        <v>10</v>
      </c>
    </row>
    <row r="2" spans="1:13" x14ac:dyDescent="0.25">
      <c r="A2" s="49" t="s">
        <v>34</v>
      </c>
      <c r="B2" s="50">
        <v>372100000</v>
      </c>
      <c r="C2" s="50">
        <v>292000000</v>
      </c>
      <c r="D2" s="50">
        <v>322200000</v>
      </c>
      <c r="E2" s="50">
        <v>298200000</v>
      </c>
      <c r="F2" s="50">
        <v>313700000</v>
      </c>
      <c r="G2" s="50">
        <v>407500000</v>
      </c>
      <c r="H2" s="50">
        <v>279000000</v>
      </c>
      <c r="I2" s="50">
        <v>406500000</v>
      </c>
      <c r="J2" s="50">
        <v>311500000</v>
      </c>
      <c r="K2" s="50">
        <v>348800000</v>
      </c>
      <c r="M2" s="13">
        <v>420097000</v>
      </c>
    </row>
    <row r="3" spans="1:13" x14ac:dyDescent="0.25">
      <c r="A3" s="49" t="s">
        <v>119</v>
      </c>
      <c r="B3" s="50">
        <v>26100000</v>
      </c>
      <c r="C3" s="50">
        <v>26600000</v>
      </c>
      <c r="D3" s="50">
        <v>25800000</v>
      </c>
      <c r="E3" s="50">
        <v>25300000</v>
      </c>
      <c r="F3" s="50">
        <v>23500000</v>
      </c>
      <c r="G3" s="50">
        <v>16200000</v>
      </c>
      <c r="H3" s="50">
        <v>18700000</v>
      </c>
      <c r="I3" s="50">
        <v>8900000</v>
      </c>
      <c r="J3" s="50">
        <v>10700000</v>
      </c>
      <c r="K3" s="50">
        <v>13000000</v>
      </c>
    </row>
    <row r="4" spans="1:13" x14ac:dyDescent="0.25">
      <c r="A4" s="49" t="s">
        <v>121</v>
      </c>
      <c r="B4" s="50">
        <v>357300000</v>
      </c>
      <c r="C4" s="50">
        <v>254000000</v>
      </c>
      <c r="D4" s="50">
        <v>304600000</v>
      </c>
      <c r="E4" s="50">
        <v>276900000</v>
      </c>
      <c r="F4" s="50">
        <v>291300000</v>
      </c>
      <c r="G4" s="50">
        <v>386500000</v>
      </c>
      <c r="H4" s="50">
        <v>259100000</v>
      </c>
      <c r="I4" s="50">
        <v>385700000</v>
      </c>
      <c r="J4" s="50">
        <v>289600000</v>
      </c>
      <c r="K4" s="50">
        <v>325900000</v>
      </c>
    </row>
    <row r="5" spans="1:13" x14ac:dyDescent="0.25">
      <c r="A5" s="49" t="s">
        <v>95</v>
      </c>
      <c r="B5" s="50">
        <v>570600000</v>
      </c>
      <c r="C5" s="50">
        <v>619500000</v>
      </c>
      <c r="D5" s="50">
        <v>626500000</v>
      </c>
      <c r="E5" s="50">
        <v>594500000</v>
      </c>
      <c r="F5" s="50">
        <v>596000000</v>
      </c>
      <c r="G5" s="50">
        <v>587100000</v>
      </c>
      <c r="H5" s="50">
        <v>593100000</v>
      </c>
      <c r="I5" s="50">
        <v>588000000</v>
      </c>
      <c r="J5" s="50">
        <v>594700000</v>
      </c>
      <c r="K5" s="50">
        <v>600200000</v>
      </c>
    </row>
    <row r="6" spans="1:13" x14ac:dyDescent="0.25">
      <c r="A6" s="49" t="s">
        <v>8</v>
      </c>
      <c r="B6" s="50">
        <v>577700000</v>
      </c>
      <c r="C6" s="50">
        <v>626400000</v>
      </c>
      <c r="D6" s="50">
        <v>633300000</v>
      </c>
      <c r="E6" s="50">
        <v>601300000</v>
      </c>
      <c r="F6" s="50">
        <v>598900000</v>
      </c>
      <c r="G6" s="50">
        <v>590000000</v>
      </c>
      <c r="H6" s="50">
        <v>596100000</v>
      </c>
      <c r="I6" s="50">
        <v>591000000</v>
      </c>
      <c r="J6" s="50">
        <v>597800000</v>
      </c>
      <c r="K6" s="50">
        <v>603200000</v>
      </c>
    </row>
    <row r="7" spans="1:13" x14ac:dyDescent="0.25">
      <c r="A7" s="49" t="s">
        <v>141</v>
      </c>
      <c r="B7" s="50">
        <v>320700000</v>
      </c>
      <c r="C7" s="50">
        <v>347400000</v>
      </c>
      <c r="D7" s="50">
        <v>352500000</v>
      </c>
      <c r="E7" s="50">
        <v>336000000</v>
      </c>
      <c r="F7" s="50">
        <v>334900000</v>
      </c>
      <c r="G7" s="50">
        <v>328000000</v>
      </c>
      <c r="H7" s="50">
        <v>331200000</v>
      </c>
      <c r="I7" s="50">
        <v>328300000</v>
      </c>
      <c r="J7" s="50">
        <v>331500000</v>
      </c>
      <c r="K7" s="50">
        <v>334300000</v>
      </c>
    </row>
    <row r="8" spans="1:13" x14ac:dyDescent="0.25">
      <c r="A8" s="49" t="s">
        <v>140</v>
      </c>
      <c r="B8" s="50">
        <v>312300000</v>
      </c>
      <c r="C8" s="50">
        <v>343000000</v>
      </c>
      <c r="D8" s="50">
        <v>351700000</v>
      </c>
      <c r="E8" s="50">
        <v>335000000</v>
      </c>
      <c r="F8" s="50">
        <v>334500000</v>
      </c>
      <c r="G8" s="50">
        <v>328400000</v>
      </c>
      <c r="H8" s="50">
        <v>332300000</v>
      </c>
      <c r="I8" s="50">
        <v>328200000</v>
      </c>
      <c r="J8" s="50">
        <v>332200000</v>
      </c>
      <c r="K8" s="50">
        <v>335500000</v>
      </c>
    </row>
    <row r="9" spans="1:13" x14ac:dyDescent="0.25">
      <c r="A9" s="49" t="s">
        <v>105</v>
      </c>
      <c r="B9" s="50">
        <v>259500000</v>
      </c>
      <c r="C9" s="50">
        <v>282800000</v>
      </c>
      <c r="D9" s="50">
        <v>287300000</v>
      </c>
      <c r="E9" s="50">
        <v>274000000</v>
      </c>
      <c r="F9" s="50">
        <v>274300000</v>
      </c>
      <c r="G9" s="50">
        <v>270000000</v>
      </c>
      <c r="H9" s="50">
        <v>273100000</v>
      </c>
      <c r="I9" s="50">
        <v>270400000</v>
      </c>
      <c r="J9" s="50">
        <v>273700000</v>
      </c>
      <c r="K9" s="50">
        <v>276700000</v>
      </c>
    </row>
    <row r="10" spans="1:13" x14ac:dyDescent="0.25">
      <c r="A10" s="49" t="s">
        <v>129</v>
      </c>
      <c r="B10" s="50">
        <v>522200000</v>
      </c>
      <c r="C10" s="50">
        <v>582200000</v>
      </c>
      <c r="D10" s="50">
        <v>608600000</v>
      </c>
      <c r="E10" s="50">
        <v>590700000</v>
      </c>
      <c r="F10" s="50">
        <v>591700000</v>
      </c>
      <c r="G10" s="50">
        <v>572500000</v>
      </c>
      <c r="H10" s="50">
        <v>130800000</v>
      </c>
      <c r="I10" s="50">
        <v>128500000</v>
      </c>
      <c r="J10" s="50">
        <v>130800000</v>
      </c>
      <c r="K10" s="50">
        <v>133000000</v>
      </c>
    </row>
    <row r="11" spans="1:13" x14ac:dyDescent="0.25">
      <c r="A11" t="s">
        <v>5</v>
      </c>
      <c r="B11" s="50">
        <v>19000000</v>
      </c>
      <c r="C11" s="50">
        <v>18800000</v>
      </c>
      <c r="D11" s="50">
        <v>27500000</v>
      </c>
      <c r="E11" s="50">
        <v>72800000</v>
      </c>
      <c r="F11" s="50">
        <v>92700000</v>
      </c>
      <c r="G11" s="50">
        <v>64700000</v>
      </c>
      <c r="H11" s="50">
        <v>42200000</v>
      </c>
      <c r="I11" s="50">
        <v>42400000</v>
      </c>
      <c r="J11" s="50">
        <v>33700000</v>
      </c>
      <c r="K11" s="50">
        <v>35000000</v>
      </c>
    </row>
    <row r="12" spans="1:13" x14ac:dyDescent="0.25">
      <c r="A12" t="s">
        <v>161</v>
      </c>
      <c r="B12" s="50">
        <v>142500000</v>
      </c>
      <c r="C12" s="50">
        <v>166400000</v>
      </c>
      <c r="D12" s="50">
        <v>173800000</v>
      </c>
      <c r="E12" s="50">
        <v>186300000</v>
      </c>
      <c r="F12" s="50">
        <v>197700000</v>
      </c>
      <c r="G12" s="50">
        <v>205700000</v>
      </c>
      <c r="H12" s="50">
        <v>209600000</v>
      </c>
      <c r="I12" s="50">
        <v>207400000</v>
      </c>
      <c r="J12" s="50">
        <v>209600000</v>
      </c>
      <c r="K12" s="50">
        <v>211800000</v>
      </c>
    </row>
    <row r="13" spans="1:13" x14ac:dyDescent="0.25">
      <c r="A13" t="s">
        <v>6</v>
      </c>
      <c r="B13" s="50">
        <v>160800000</v>
      </c>
      <c r="C13" s="50">
        <v>187000000</v>
      </c>
      <c r="D13" s="50">
        <v>209200000</v>
      </c>
      <c r="E13" s="50">
        <v>205900000</v>
      </c>
      <c r="F13" s="50">
        <v>221000000</v>
      </c>
      <c r="G13" s="50">
        <v>219100000</v>
      </c>
      <c r="H13" s="50">
        <v>222300000</v>
      </c>
      <c r="I13" s="50">
        <v>217300000</v>
      </c>
      <c r="J13" s="50">
        <v>218800000</v>
      </c>
      <c r="K13" s="50">
        <v>220200000</v>
      </c>
    </row>
    <row r="16" spans="1:13" x14ac:dyDescent="0.25">
      <c r="A16" t="s">
        <v>7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</row>
    <row r="17" spans="1:11" x14ac:dyDescent="0.25">
      <c r="A17" t="s">
        <v>82</v>
      </c>
      <c r="B17" s="68"/>
      <c r="E17" s="68"/>
      <c r="H17" s="68"/>
      <c r="K17" s="68"/>
    </row>
    <row r="18" spans="1:11" x14ac:dyDescent="0.25">
      <c r="A18" t="s">
        <v>139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</row>
    <row r="20" spans="1:11" x14ac:dyDescent="0.25">
      <c r="B20" s="68"/>
    </row>
    <row r="21" spans="1:11" x14ac:dyDescent="0.25">
      <c r="B21" s="68"/>
    </row>
    <row r="22" spans="1:11" x14ac:dyDescent="0.25">
      <c r="B22" s="6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8C5B-5AF9-4573-8107-0B9C21C706EE}">
  <dimension ref="A1:O13"/>
  <sheetViews>
    <sheetView workbookViewId="0">
      <selection activeCell="A10" sqref="A10"/>
    </sheetView>
  </sheetViews>
  <sheetFormatPr defaultRowHeight="15" x14ac:dyDescent="0.25"/>
  <cols>
    <col min="1" max="1" width="11.85546875" bestFit="1" customWidth="1"/>
    <col min="2" max="11" width="12" bestFit="1" customWidth="1"/>
    <col min="13" max="15" width="10" bestFit="1" customWidth="1"/>
  </cols>
  <sheetData>
    <row r="1" spans="1:15" x14ac:dyDescent="0.25"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64">
        <v>6</v>
      </c>
      <c r="H1" s="64">
        <v>7</v>
      </c>
      <c r="I1" s="65">
        <v>8</v>
      </c>
      <c r="J1" s="65">
        <v>9</v>
      </c>
      <c r="K1" s="48">
        <v>10</v>
      </c>
    </row>
    <row r="2" spans="1:15" x14ac:dyDescent="0.25">
      <c r="A2" s="49" t="s">
        <v>34</v>
      </c>
      <c r="B2" s="50">
        <v>372100000</v>
      </c>
      <c r="C2" s="50">
        <v>292000000</v>
      </c>
      <c r="D2" s="50">
        <v>322200000</v>
      </c>
      <c r="E2" s="50">
        <v>298200000</v>
      </c>
      <c r="F2" s="50">
        <v>313700000</v>
      </c>
      <c r="G2" s="50">
        <v>326000000</v>
      </c>
      <c r="H2" s="50">
        <v>223200000</v>
      </c>
      <c r="I2" s="50">
        <v>487800000</v>
      </c>
      <c r="J2" s="50">
        <v>373800000</v>
      </c>
      <c r="K2" s="50">
        <v>348800000</v>
      </c>
      <c r="N2" s="64"/>
      <c r="O2" t="s">
        <v>176</v>
      </c>
    </row>
    <row r="3" spans="1:15" x14ac:dyDescent="0.25">
      <c r="A3" s="49" t="s">
        <v>119</v>
      </c>
      <c r="B3" s="50">
        <v>26100000</v>
      </c>
      <c r="C3" s="50">
        <v>26600000</v>
      </c>
      <c r="D3" s="50">
        <v>25800000</v>
      </c>
      <c r="E3" s="50">
        <v>25300000</v>
      </c>
      <c r="F3" s="50">
        <v>23500000</v>
      </c>
      <c r="G3" s="50">
        <v>12960000</v>
      </c>
      <c r="H3" s="50">
        <v>14960000</v>
      </c>
      <c r="I3" s="50">
        <v>10680000</v>
      </c>
      <c r="J3" s="50">
        <v>12840000</v>
      </c>
      <c r="K3" s="50">
        <v>13000000</v>
      </c>
      <c r="N3" s="65"/>
      <c r="O3" t="s">
        <v>177</v>
      </c>
    </row>
    <row r="4" spans="1:15" x14ac:dyDescent="0.25">
      <c r="A4" s="49" t="s">
        <v>121</v>
      </c>
      <c r="B4" s="50">
        <v>357300000</v>
      </c>
      <c r="C4" s="50">
        <v>254000000</v>
      </c>
      <c r="D4" s="50">
        <v>304600000</v>
      </c>
      <c r="E4" s="50">
        <v>276900000</v>
      </c>
      <c r="F4" s="50">
        <v>291300000</v>
      </c>
      <c r="G4" s="50">
        <v>309200000</v>
      </c>
      <c r="H4" s="50">
        <v>207280000</v>
      </c>
      <c r="I4" s="50">
        <v>462840000</v>
      </c>
      <c r="J4" s="50">
        <v>347520000</v>
      </c>
      <c r="K4" s="50">
        <v>325900000</v>
      </c>
    </row>
    <row r="5" spans="1:15" x14ac:dyDescent="0.25">
      <c r="A5" s="49" t="s">
        <v>95</v>
      </c>
      <c r="B5" s="50">
        <v>570600000</v>
      </c>
      <c r="C5" s="50">
        <v>619500000</v>
      </c>
      <c r="D5" s="50">
        <v>626500000</v>
      </c>
      <c r="E5" s="50">
        <v>594500000</v>
      </c>
      <c r="F5" s="50">
        <v>596000000</v>
      </c>
      <c r="G5" s="50">
        <v>469680000</v>
      </c>
      <c r="H5" s="50">
        <v>474480000</v>
      </c>
      <c r="I5" s="50">
        <v>705600000</v>
      </c>
      <c r="J5" s="50">
        <v>713640000</v>
      </c>
      <c r="K5" s="50">
        <v>600200000</v>
      </c>
    </row>
    <row r="6" spans="1:15" x14ac:dyDescent="0.25">
      <c r="A6" s="49" t="s">
        <v>8</v>
      </c>
      <c r="B6" s="50">
        <v>577700000</v>
      </c>
      <c r="C6" s="50">
        <v>626400000</v>
      </c>
      <c r="D6" s="50">
        <v>633300000</v>
      </c>
      <c r="E6" s="50">
        <v>601300000</v>
      </c>
      <c r="F6" s="50">
        <v>598900000</v>
      </c>
      <c r="G6" s="50">
        <v>472000000</v>
      </c>
      <c r="H6" s="50">
        <v>476880000</v>
      </c>
      <c r="I6" s="50">
        <v>709200000</v>
      </c>
      <c r="J6" s="50">
        <v>717360000</v>
      </c>
      <c r="K6" s="50">
        <v>603200000</v>
      </c>
    </row>
    <row r="7" spans="1:15" x14ac:dyDescent="0.25">
      <c r="A7" s="49" t="s">
        <v>141</v>
      </c>
      <c r="B7" s="50">
        <v>320700000</v>
      </c>
      <c r="C7" s="50">
        <v>347400000</v>
      </c>
      <c r="D7" s="50">
        <v>352500000</v>
      </c>
      <c r="E7" s="50">
        <v>336000000</v>
      </c>
      <c r="F7" s="50">
        <v>334900000</v>
      </c>
      <c r="G7" s="50">
        <v>262400000</v>
      </c>
      <c r="H7" s="50">
        <v>264960000</v>
      </c>
      <c r="I7" s="50">
        <v>393960000</v>
      </c>
      <c r="J7" s="50">
        <v>397800000</v>
      </c>
      <c r="K7" s="50">
        <v>334300000</v>
      </c>
    </row>
    <row r="8" spans="1:15" x14ac:dyDescent="0.25">
      <c r="A8" s="49" t="s">
        <v>140</v>
      </c>
      <c r="B8" s="50">
        <v>312300000</v>
      </c>
      <c r="C8" s="50">
        <v>343000000</v>
      </c>
      <c r="D8" s="50">
        <v>351700000</v>
      </c>
      <c r="E8" s="50">
        <v>335000000</v>
      </c>
      <c r="F8" s="50">
        <v>334500000</v>
      </c>
      <c r="G8" s="50">
        <v>262720000</v>
      </c>
      <c r="H8" s="50">
        <v>265840000</v>
      </c>
      <c r="I8" s="50">
        <v>393840000</v>
      </c>
      <c r="J8" s="50">
        <v>398640000</v>
      </c>
      <c r="K8" s="50">
        <v>335500000</v>
      </c>
    </row>
    <row r="9" spans="1:15" x14ac:dyDescent="0.25">
      <c r="A9" s="49" t="s">
        <v>105</v>
      </c>
      <c r="B9" s="50">
        <v>259500000</v>
      </c>
      <c r="C9" s="50">
        <v>282800000</v>
      </c>
      <c r="D9" s="50">
        <v>287300000</v>
      </c>
      <c r="E9" s="50">
        <v>274000000</v>
      </c>
      <c r="F9" s="50">
        <v>274300000</v>
      </c>
      <c r="G9" s="50">
        <v>216000000</v>
      </c>
      <c r="H9" s="50">
        <v>218480000</v>
      </c>
      <c r="I9" s="50">
        <v>324480000</v>
      </c>
      <c r="J9" s="50">
        <v>328440000</v>
      </c>
      <c r="K9" s="50">
        <v>276700000</v>
      </c>
    </row>
    <row r="10" spans="1:15" x14ac:dyDescent="0.25">
      <c r="A10" s="49" t="s">
        <v>129</v>
      </c>
      <c r="B10" s="50">
        <v>522200000</v>
      </c>
      <c r="C10" s="50">
        <v>582200000</v>
      </c>
      <c r="D10" s="50">
        <v>608600000</v>
      </c>
      <c r="E10" s="50">
        <v>590700000</v>
      </c>
      <c r="F10" s="50">
        <v>591700000</v>
      </c>
      <c r="G10" s="50">
        <v>458000000</v>
      </c>
      <c r="H10" s="50">
        <v>104640000</v>
      </c>
      <c r="I10" s="50">
        <v>154200000</v>
      </c>
      <c r="J10" s="50">
        <v>156960000</v>
      </c>
      <c r="K10" s="50">
        <v>133000000</v>
      </c>
    </row>
    <row r="11" spans="1:15" x14ac:dyDescent="0.25">
      <c r="A11" t="s">
        <v>5</v>
      </c>
      <c r="B11" s="50">
        <v>19000000</v>
      </c>
      <c r="C11" s="50">
        <v>18800000</v>
      </c>
      <c r="D11" s="50">
        <v>27500000</v>
      </c>
      <c r="E11" s="50">
        <v>72800000</v>
      </c>
      <c r="F11" s="50">
        <v>92700000</v>
      </c>
      <c r="G11" s="50">
        <v>51760000</v>
      </c>
      <c r="H11" s="50">
        <v>33760000</v>
      </c>
      <c r="I11" s="50">
        <v>50880000</v>
      </c>
      <c r="J11" s="50">
        <v>40440000</v>
      </c>
      <c r="K11" s="50">
        <v>35000000</v>
      </c>
    </row>
    <row r="12" spans="1:15" x14ac:dyDescent="0.25">
      <c r="A12" t="s">
        <v>161</v>
      </c>
      <c r="B12" s="50">
        <v>142500000</v>
      </c>
      <c r="C12" s="50">
        <v>166400000</v>
      </c>
      <c r="D12" s="50">
        <v>173800000</v>
      </c>
      <c r="E12" s="50">
        <v>186300000</v>
      </c>
      <c r="F12" s="50">
        <v>197700000</v>
      </c>
      <c r="G12" s="50">
        <v>164560000</v>
      </c>
      <c r="H12" s="50">
        <v>167680000</v>
      </c>
      <c r="I12" s="50">
        <v>248880000</v>
      </c>
      <c r="J12" s="50">
        <v>251520000</v>
      </c>
      <c r="K12" s="50">
        <v>211800000</v>
      </c>
    </row>
    <row r="13" spans="1:15" x14ac:dyDescent="0.25">
      <c r="A13" t="s">
        <v>6</v>
      </c>
      <c r="B13" s="50">
        <v>160800000</v>
      </c>
      <c r="C13" s="50">
        <v>187000000</v>
      </c>
      <c r="D13" s="50">
        <v>209200000</v>
      </c>
      <c r="E13" s="50">
        <v>205900000</v>
      </c>
      <c r="F13" s="50">
        <v>221000000</v>
      </c>
      <c r="G13" s="50">
        <v>175280000</v>
      </c>
      <c r="H13" s="50">
        <v>177840000</v>
      </c>
      <c r="I13" s="50">
        <v>260760000</v>
      </c>
      <c r="J13" s="50">
        <v>262560000</v>
      </c>
      <c r="K13" s="50">
        <v>220200000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A21-EB00-45AF-9449-9035FCBEE0B1}">
  <dimension ref="A1:N22"/>
  <sheetViews>
    <sheetView workbookViewId="0">
      <selection activeCell="M11" sqref="M11"/>
    </sheetView>
  </sheetViews>
  <sheetFormatPr defaultRowHeight="15" x14ac:dyDescent="0.25"/>
  <cols>
    <col min="1" max="1" width="11.85546875" bestFit="1" customWidth="1"/>
    <col min="2" max="6" width="12" bestFit="1" customWidth="1"/>
    <col min="7" max="11" width="13.7109375" bestFit="1" customWidth="1"/>
  </cols>
  <sheetData>
    <row r="1" spans="1:14" x14ac:dyDescent="0.25"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48">
        <v>6</v>
      </c>
      <c r="H1" s="48">
        <v>7</v>
      </c>
      <c r="I1" s="48">
        <v>8</v>
      </c>
      <c r="J1" s="48">
        <v>9</v>
      </c>
      <c r="K1" s="48">
        <v>10</v>
      </c>
    </row>
    <row r="2" spans="1:14" x14ac:dyDescent="0.25">
      <c r="A2" s="49" t="s">
        <v>34</v>
      </c>
      <c r="B2" s="50">
        <v>372100000</v>
      </c>
      <c r="C2" s="50">
        <v>292000000</v>
      </c>
      <c r="D2" s="50">
        <v>322200000</v>
      </c>
      <c r="E2" s="50">
        <v>298200000</v>
      </c>
      <c r="F2" s="50">
        <v>313700000</v>
      </c>
      <c r="G2" s="50">
        <v>407500000</v>
      </c>
      <c r="H2" s="50">
        <v>279000000</v>
      </c>
      <c r="I2" s="50">
        <v>406500000</v>
      </c>
      <c r="J2" s="50">
        <v>311500000</v>
      </c>
      <c r="K2" s="50">
        <v>348800000</v>
      </c>
      <c r="M2" t="s">
        <v>179</v>
      </c>
    </row>
    <row r="3" spans="1:14" x14ac:dyDescent="0.25">
      <c r="A3" s="49" t="s">
        <v>119</v>
      </c>
      <c r="B3" s="50">
        <v>26100000</v>
      </c>
      <c r="C3" s="50">
        <v>26600000</v>
      </c>
      <c r="D3" s="50">
        <v>25800000</v>
      </c>
      <c r="E3" s="50">
        <v>25300000</v>
      </c>
      <c r="F3" s="50">
        <v>23500000</v>
      </c>
      <c r="G3" s="67">
        <v>201368639.87470239</v>
      </c>
      <c r="H3" s="67">
        <v>138912084.29624504</v>
      </c>
      <c r="I3" s="67">
        <v>197290895.04640609</v>
      </c>
      <c r="J3" s="67">
        <v>150136957.68170637</v>
      </c>
      <c r="K3" s="67">
        <v>169439477.70400792</v>
      </c>
      <c r="M3" t="s">
        <v>178</v>
      </c>
    </row>
    <row r="4" spans="1:14" x14ac:dyDescent="0.25">
      <c r="A4" s="49" t="s">
        <v>121</v>
      </c>
      <c r="B4" s="50">
        <v>357300000</v>
      </c>
      <c r="C4" s="50">
        <v>254000000</v>
      </c>
      <c r="D4" s="50">
        <v>304600000</v>
      </c>
      <c r="E4" s="50">
        <v>276900000</v>
      </c>
      <c r="F4" s="50">
        <v>291300000</v>
      </c>
      <c r="G4" s="50">
        <v>386500000</v>
      </c>
      <c r="H4" s="50">
        <v>259100000</v>
      </c>
      <c r="I4" s="50">
        <v>385700000</v>
      </c>
      <c r="J4" s="50">
        <v>289600000</v>
      </c>
      <c r="K4" s="50">
        <v>325900000</v>
      </c>
    </row>
    <row r="5" spans="1:14" x14ac:dyDescent="0.25">
      <c r="A5" s="49" t="s">
        <v>95</v>
      </c>
      <c r="B5" s="50">
        <v>570600000</v>
      </c>
      <c r="C5" s="50">
        <v>619500000</v>
      </c>
      <c r="D5" s="50">
        <v>626500000</v>
      </c>
      <c r="E5" s="50">
        <v>594500000</v>
      </c>
      <c r="F5" s="50">
        <v>596000000</v>
      </c>
      <c r="G5" s="50">
        <v>587100000</v>
      </c>
      <c r="H5" s="50">
        <v>593100000</v>
      </c>
      <c r="I5" s="50">
        <v>588000000</v>
      </c>
      <c r="J5" s="50">
        <v>594700000</v>
      </c>
      <c r="K5" s="50">
        <v>600200000</v>
      </c>
      <c r="M5" s="67"/>
      <c r="N5" t="s">
        <v>181</v>
      </c>
    </row>
    <row r="6" spans="1:14" x14ac:dyDescent="0.25">
      <c r="A6" s="49" t="s">
        <v>8</v>
      </c>
      <c r="B6" s="50">
        <v>577700000</v>
      </c>
      <c r="C6" s="50">
        <v>626400000</v>
      </c>
      <c r="D6" s="50">
        <v>633300000</v>
      </c>
      <c r="E6" s="50">
        <v>601300000</v>
      </c>
      <c r="F6" s="50">
        <v>598900000</v>
      </c>
      <c r="G6" s="50">
        <v>590000000</v>
      </c>
      <c r="H6" s="50">
        <v>596100000</v>
      </c>
      <c r="I6" s="50">
        <v>591000000</v>
      </c>
      <c r="J6" s="50">
        <v>597800000</v>
      </c>
      <c r="K6" s="50">
        <v>603200000</v>
      </c>
      <c r="M6" s="67"/>
      <c r="N6" t="s">
        <v>180</v>
      </c>
    </row>
    <row r="7" spans="1:14" x14ac:dyDescent="0.25">
      <c r="A7" s="49" t="s">
        <v>141</v>
      </c>
      <c r="B7" s="50">
        <v>320700000</v>
      </c>
      <c r="C7" s="50">
        <v>347400000</v>
      </c>
      <c r="D7" s="50">
        <v>352500000</v>
      </c>
      <c r="E7" s="50">
        <v>336000000</v>
      </c>
      <c r="F7" s="50">
        <v>334900000</v>
      </c>
      <c r="G7" s="50">
        <v>328000000</v>
      </c>
      <c r="H7" s="50">
        <v>331200000</v>
      </c>
      <c r="I7" s="50">
        <v>328300000</v>
      </c>
      <c r="J7" s="50">
        <v>331500000</v>
      </c>
      <c r="K7" s="50">
        <v>334300000</v>
      </c>
    </row>
    <row r="8" spans="1:14" x14ac:dyDescent="0.25">
      <c r="A8" s="49" t="s">
        <v>140</v>
      </c>
      <c r="B8" s="50">
        <v>312300000</v>
      </c>
      <c r="C8" s="50">
        <v>343000000</v>
      </c>
      <c r="D8" s="50">
        <v>351700000</v>
      </c>
      <c r="E8" s="50">
        <v>335000000</v>
      </c>
      <c r="F8" s="50">
        <v>334500000</v>
      </c>
      <c r="G8" s="50">
        <v>328400000</v>
      </c>
      <c r="H8" s="50">
        <v>332300000</v>
      </c>
      <c r="I8" s="50">
        <v>328200000</v>
      </c>
      <c r="J8" s="50">
        <v>332200000</v>
      </c>
      <c r="K8" s="50">
        <v>335500000</v>
      </c>
    </row>
    <row r="9" spans="1:14" x14ac:dyDescent="0.25">
      <c r="A9" s="49" t="s">
        <v>105</v>
      </c>
      <c r="B9" s="50">
        <v>259500000</v>
      </c>
      <c r="C9" s="50">
        <v>282800000</v>
      </c>
      <c r="D9" s="50">
        <v>287300000</v>
      </c>
      <c r="E9" s="50">
        <v>274000000</v>
      </c>
      <c r="F9" s="50">
        <v>274300000</v>
      </c>
      <c r="G9" s="50">
        <v>270000000</v>
      </c>
      <c r="H9" s="50">
        <v>273100000</v>
      </c>
      <c r="I9" s="50">
        <v>270400000</v>
      </c>
      <c r="J9" s="50">
        <v>273700000</v>
      </c>
      <c r="K9" s="50">
        <v>276700000</v>
      </c>
    </row>
    <row r="10" spans="1:14" x14ac:dyDescent="0.25">
      <c r="A10" s="49" t="s">
        <v>129</v>
      </c>
      <c r="B10" s="50">
        <v>522200000</v>
      </c>
      <c r="C10" s="50">
        <v>582200000</v>
      </c>
      <c r="D10" s="50">
        <v>608600000</v>
      </c>
      <c r="E10" s="50">
        <v>590700000</v>
      </c>
      <c r="F10" s="50">
        <v>591700000</v>
      </c>
      <c r="G10" s="67">
        <v>704400068.27710521</v>
      </c>
      <c r="H10" s="67">
        <v>264220700.72842106</v>
      </c>
      <c r="I10" s="67">
        <v>260690273.28144738</v>
      </c>
      <c r="J10" s="67">
        <v>264613362.80381578</v>
      </c>
      <c r="K10" s="67">
        <v>268284809.67796054</v>
      </c>
    </row>
    <row r="11" spans="1:14" x14ac:dyDescent="0.25">
      <c r="A11" t="s">
        <v>5</v>
      </c>
      <c r="B11" s="50">
        <v>19000000</v>
      </c>
      <c r="C11" s="50">
        <v>18800000</v>
      </c>
      <c r="D11" s="50">
        <v>27500000</v>
      </c>
      <c r="E11" s="50">
        <v>72800000</v>
      </c>
      <c r="F11" s="50">
        <v>92700000</v>
      </c>
      <c r="G11" s="50">
        <v>64700000</v>
      </c>
      <c r="H11" s="50">
        <v>42200000</v>
      </c>
      <c r="I11" s="50">
        <v>42400000</v>
      </c>
      <c r="J11" s="50">
        <v>33700000</v>
      </c>
      <c r="K11" s="50">
        <v>35000000</v>
      </c>
    </row>
    <row r="12" spans="1:14" x14ac:dyDescent="0.25">
      <c r="A12" t="s">
        <v>161</v>
      </c>
      <c r="B12" s="50">
        <v>142500000</v>
      </c>
      <c r="C12" s="50">
        <v>166400000</v>
      </c>
      <c r="D12" s="50">
        <v>173800000</v>
      </c>
      <c r="E12" s="50">
        <v>186300000</v>
      </c>
      <c r="F12" s="50">
        <v>197700000</v>
      </c>
      <c r="G12" s="50">
        <v>205700000</v>
      </c>
      <c r="H12" s="50">
        <v>209600000</v>
      </c>
      <c r="I12" s="50">
        <v>207400000</v>
      </c>
      <c r="J12" s="50">
        <v>209600000</v>
      </c>
      <c r="K12" s="50">
        <v>211800000</v>
      </c>
    </row>
    <row r="13" spans="1:14" x14ac:dyDescent="0.25">
      <c r="A13" t="s">
        <v>6</v>
      </c>
      <c r="B13" s="50">
        <v>160800000</v>
      </c>
      <c r="C13" s="50">
        <v>187000000</v>
      </c>
      <c r="D13" s="50">
        <v>209200000</v>
      </c>
      <c r="E13" s="50">
        <v>205900000</v>
      </c>
      <c r="F13" s="50">
        <v>221000000</v>
      </c>
      <c r="G13" s="50">
        <v>219100000</v>
      </c>
      <c r="H13" s="50">
        <v>222300000</v>
      </c>
      <c r="I13" s="50">
        <v>217300000</v>
      </c>
      <c r="J13" s="50">
        <v>218800000</v>
      </c>
      <c r="K13" s="50">
        <v>220200000</v>
      </c>
    </row>
    <row r="15" spans="1:14" x14ac:dyDescent="0.25">
      <c r="G15" s="68"/>
      <c r="H15" s="68"/>
      <c r="I15" s="68"/>
      <c r="J15" s="68"/>
      <c r="K15" s="68"/>
    </row>
    <row r="16" spans="1:14" x14ac:dyDescent="0.25">
      <c r="G16" s="66"/>
      <c r="H16" s="66"/>
      <c r="I16" s="66"/>
      <c r="J16" s="66"/>
      <c r="K16" s="66"/>
    </row>
    <row r="17" spans="7:11" x14ac:dyDescent="0.25">
      <c r="G17" s="66"/>
      <c r="H17" s="66"/>
      <c r="I17" s="66"/>
      <c r="J17" s="66"/>
      <c r="K17" s="66"/>
    </row>
    <row r="22" spans="7:11" x14ac:dyDescent="0.25">
      <c r="G22" s="68"/>
      <c r="H22" s="68"/>
      <c r="I22" s="68"/>
      <c r="J22" s="68"/>
      <c r="K22" s="6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DFE-23E5-4792-9C17-D1534B6E8D58}">
  <dimension ref="A1:R13"/>
  <sheetViews>
    <sheetView workbookViewId="0">
      <selection activeCell="R5" sqref="R5"/>
    </sheetView>
  </sheetViews>
  <sheetFormatPr defaultRowHeight="15" x14ac:dyDescent="0.25"/>
  <cols>
    <col min="2" max="11" width="12" bestFit="1" customWidth="1"/>
    <col min="13" max="13" width="13.5703125" bestFit="1" customWidth="1"/>
  </cols>
  <sheetData>
    <row r="1" spans="1:18" x14ac:dyDescent="0.25"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48">
        <v>6</v>
      </c>
      <c r="H1" s="48">
        <v>7</v>
      </c>
      <c r="I1" s="48">
        <v>8</v>
      </c>
      <c r="J1" s="48">
        <v>9</v>
      </c>
      <c r="K1" s="48">
        <v>10</v>
      </c>
    </row>
    <row r="2" spans="1:18" x14ac:dyDescent="0.25">
      <c r="A2" s="49" t="s">
        <v>34</v>
      </c>
      <c r="B2" s="50">
        <f>+Vaccine_Replacement_Effect!B2*0.05+Pandemic_Effect!B2*0.05+Medium_Demand!B2*0.3+Medium_Demand!B2*0.3*0.8+Medium_Demand!B2*0.3*1.2</f>
        <v>372100000</v>
      </c>
      <c r="C2" s="50">
        <f>+Vaccine_Replacement_Effect!C2*0.05+Pandemic_Effect!C2*0.05+Medium_Demand!C2*0.3+Medium_Demand!C2*0.3*0.8+Medium_Demand!C2*0.3*1.2</f>
        <v>292000000</v>
      </c>
      <c r="D2" s="50">
        <f>+Vaccine_Replacement_Effect!D2*0.05+Pandemic_Effect!D2*0.05+Medium_Demand!D2*0.3+Medium_Demand!D2*0.3*0.8+Medium_Demand!D2*0.3*1.2</f>
        <v>322200000</v>
      </c>
      <c r="E2" s="50">
        <f>+Vaccine_Replacement_Effect!E2*0.05+Pandemic_Effect!E2*0.05+Medium_Demand!E2*0.3+Medium_Demand!E2*0.3*0.8+Medium_Demand!E2*0.3*1.2</f>
        <v>298200000</v>
      </c>
      <c r="F2" s="50">
        <f>+Vaccine_Replacement_Effect!F2*0.05+Pandemic_Effect!F2*0.05+Medium_Demand!F2*0.3+Medium_Demand!F2*0.3*0.8+Medium_Demand!F2*0.3*1.2</f>
        <v>313700000</v>
      </c>
      <c r="G2" s="50">
        <f>+Vaccine_Replacement_Effect!G2*0.05+Pandemic_Effect!G2*0.05+Medium_Demand!G2*0.3+Medium_Demand!G2*0.3*0.8+Medium_Demand!G2*0.3*1.2</f>
        <v>403425000</v>
      </c>
      <c r="H2" s="50">
        <f>+Vaccine_Replacement_Effect!H2*0.05+Pandemic_Effect!H2*0.05+Medium_Demand!H2*0.3+Medium_Demand!H2*0.3*0.8+Medium_Demand!H2*0.3*1.2</f>
        <v>276210000</v>
      </c>
      <c r="I2" s="50">
        <f>+Vaccine_Replacement_Effect!I2*0.05+Pandemic_Effect!I2*0.05+Medium_Demand!I2*0.3+Medium_Demand!I2*0.3*0.8+Medium_Demand!I2*0.3*1.2</f>
        <v>410565000</v>
      </c>
      <c r="J2" s="50">
        <f>+Vaccine_Replacement_Effect!J2*0.05+Pandemic_Effect!J2*0.05+Medium_Demand!J2*0.3+Medium_Demand!J2*0.3*0.8+Medium_Demand!J2*0.3*1.2</f>
        <v>314615000</v>
      </c>
      <c r="K2" s="50">
        <f>+Vaccine_Replacement_Effect!K2*0.05+Pandemic_Effect!K2*0.05+Medium_Demand!K2*0.3+Medium_Demand!K2*0.3*0.8+Medium_Demand!K2*0.3*1.2</f>
        <v>348800000</v>
      </c>
      <c r="M2" s="68">
        <f>+SUM(B2:K2)</f>
        <v>3351815000</v>
      </c>
      <c r="O2" t="s">
        <v>139</v>
      </c>
      <c r="P2" s="69">
        <v>220618000</v>
      </c>
      <c r="Q2" t="s">
        <v>34</v>
      </c>
      <c r="R2" s="69">
        <f>+P2+P3+P4</f>
        <v>3351815000</v>
      </c>
    </row>
    <row r="3" spans="1:18" x14ac:dyDescent="0.25">
      <c r="A3" s="49" t="s">
        <v>119</v>
      </c>
      <c r="B3" s="50">
        <f>+Vaccine_Replacement_Effect!B3*0.05+Pandemic_Effect!B3*0.05+Medium_Demand!B3*0.3+Medium_Demand!B3*0.3*0.8+Medium_Demand!B3*0.3*1.2</f>
        <v>26100000</v>
      </c>
      <c r="C3" s="50">
        <f>+Vaccine_Replacement_Effect!C3*0.05+Pandemic_Effect!C3*0.05+Medium_Demand!C3*0.3+Medium_Demand!C3*0.3*0.8+Medium_Demand!C3*0.3*1.2</f>
        <v>26600000</v>
      </c>
      <c r="D3" s="50">
        <f>+Vaccine_Replacement_Effect!D3*0.05+Pandemic_Effect!D3*0.05+Medium_Demand!D3*0.3+Medium_Demand!D3*0.3*0.8+Medium_Demand!D3*0.3*1.2</f>
        <v>25800000</v>
      </c>
      <c r="E3" s="50">
        <f>+Vaccine_Replacement_Effect!E3*0.05+Pandemic_Effect!E3*0.05+Medium_Demand!E3*0.3+Medium_Demand!E3*0.3*0.8+Medium_Demand!E3*0.3*1.2</f>
        <v>25300000</v>
      </c>
      <c r="F3" s="50">
        <f>+Vaccine_Replacement_Effect!F3*0.05+Pandemic_Effect!F3*0.05+Medium_Demand!F3*0.3+Medium_Demand!F3*0.3*0.8+Medium_Demand!F3*0.3*1.2</f>
        <v>23500000</v>
      </c>
      <c r="G3" s="50">
        <f>+Vaccine_Replacement_Effect!G3*0.05+Pandemic_Effect!G3*0.05+Medium_Demand!G3*0.3+Medium_Demand!G3*0.3*0.8+Medium_Demand!G3*0.3*1.2</f>
        <v>25296431.99373512</v>
      </c>
      <c r="H3" s="50">
        <f>+Vaccine_Replacement_Effect!H3*0.05+Pandemic_Effect!H3*0.05+Medium_Demand!H3*0.3+Medium_Demand!H3*0.3*0.8+Medium_Demand!H3*0.3*1.2</f>
        <v>24523604.214812253</v>
      </c>
      <c r="I3" s="50">
        <f>+Vaccine_Replacement_Effect!I3*0.05+Pandemic_Effect!I3*0.05+Medium_Demand!I3*0.3+Medium_Demand!I3*0.3*0.8+Medium_Demand!I3*0.3*1.2</f>
        <v>18408544.752320305</v>
      </c>
      <c r="J3" s="50">
        <f>+Vaccine_Replacement_Effect!J3*0.05+Pandemic_Effect!J3*0.05+Medium_Demand!J3*0.3+Medium_Demand!J3*0.3*0.8+Medium_Demand!J3*0.3*1.2</f>
        <v>17778847.88408532</v>
      </c>
      <c r="K3" s="50">
        <f>+Vaccine_Replacement_Effect!K3*0.05+Pandemic_Effect!K3*0.05+Medium_Demand!K3*0.3+Medium_Demand!K3*0.3*0.8+Medium_Demand!K3*0.3*1.2</f>
        <v>20821973.885200396</v>
      </c>
      <c r="M3" s="68">
        <f t="shared" ref="M3:M4" si="0">+SUM(B3:K3)</f>
        <v>234129402.73015344</v>
      </c>
      <c r="O3" t="s">
        <v>82</v>
      </c>
      <c r="P3" s="69">
        <v>2897067597</v>
      </c>
      <c r="Q3" t="s">
        <v>119</v>
      </c>
      <c r="R3" s="69">
        <f>+P4</f>
        <v>234129403</v>
      </c>
    </row>
    <row r="4" spans="1:18" x14ac:dyDescent="0.25">
      <c r="A4" s="49" t="s">
        <v>121</v>
      </c>
      <c r="B4" s="50">
        <f>+Vaccine_Replacement_Effect!B4*0.05+Pandemic_Effect!B4*0.05+Medium_Demand!B4*0.3+Medium_Demand!B4*0.3*0.8+Medium_Demand!B4*0.3*1.2</f>
        <v>357300000</v>
      </c>
      <c r="C4" s="50">
        <f>+Vaccine_Replacement_Effect!C4*0.05+Pandemic_Effect!C4*0.05+Medium_Demand!C4*0.3+Medium_Demand!C4*0.3*0.8+Medium_Demand!C4*0.3*1.2</f>
        <v>254000000</v>
      </c>
      <c r="D4" s="50">
        <f>+Vaccine_Replacement_Effect!D4*0.05+Pandemic_Effect!D4*0.05+Medium_Demand!D4*0.3+Medium_Demand!D4*0.3*0.8+Medium_Demand!D4*0.3*1.2</f>
        <v>304600000</v>
      </c>
      <c r="E4" s="50">
        <f>+Vaccine_Replacement_Effect!E4*0.05+Pandemic_Effect!E4*0.05+Medium_Demand!E4*0.3+Medium_Demand!E4*0.3*0.8+Medium_Demand!E4*0.3*1.2</f>
        <v>276900000</v>
      </c>
      <c r="F4" s="50">
        <f>+Vaccine_Replacement_Effect!F4*0.05+Pandemic_Effect!F4*0.05+Medium_Demand!F4*0.3+Medium_Demand!F4*0.3*0.8+Medium_Demand!F4*0.3*1.2</f>
        <v>291300000</v>
      </c>
      <c r="G4" s="50">
        <f>+Vaccine_Replacement_Effect!G4*0.05+Pandemic_Effect!G4*0.05+Medium_Demand!G4*0.3+Medium_Demand!G4*0.3*0.8+Medium_Demand!G4*0.3*1.2</f>
        <v>382635000</v>
      </c>
      <c r="H4" s="50">
        <f>+Vaccine_Replacement_Effect!H4*0.05+Pandemic_Effect!H4*0.05+Medium_Demand!H4*0.3+Medium_Demand!H4*0.3*0.8+Medium_Demand!H4*0.3*1.2</f>
        <v>256509000</v>
      </c>
      <c r="I4" s="50">
        <f>+Vaccine_Replacement_Effect!I4*0.05+Pandemic_Effect!I4*0.05+Medium_Demand!I4*0.3+Medium_Demand!I4*0.3*0.8+Medium_Demand!I4*0.3*1.2</f>
        <v>389557000</v>
      </c>
      <c r="J4" s="50">
        <f>+Vaccine_Replacement_Effect!J4*0.05+Pandemic_Effect!J4*0.05+Medium_Demand!J4*0.3+Medium_Demand!J4*0.3*0.8+Medium_Demand!J4*0.3*1.2</f>
        <v>292496000</v>
      </c>
      <c r="K4" s="50">
        <f>+Vaccine_Replacement_Effect!K4*0.05+Pandemic_Effect!K4*0.05+Medium_Demand!K4*0.3+Medium_Demand!K4*0.3*0.8+Medium_Demand!K4*0.3*1.2</f>
        <v>325900000</v>
      </c>
      <c r="M4" s="68">
        <f t="shared" si="0"/>
        <v>3131197000</v>
      </c>
      <c r="O4" t="s">
        <v>7</v>
      </c>
      <c r="P4" s="69">
        <v>234129403</v>
      </c>
      <c r="Q4" t="s">
        <v>121</v>
      </c>
      <c r="R4" s="69">
        <f>+P4+P3</f>
        <v>3131197000</v>
      </c>
    </row>
    <row r="5" spans="1:18" x14ac:dyDescent="0.25">
      <c r="A5" s="49" t="s">
        <v>95</v>
      </c>
      <c r="B5" s="50">
        <f>+Vaccine_Replacement_Effect!B5*0.05+Pandemic_Effect!B5*0.05+Medium_Demand!B5*0.3+Medium_Demand!B5*0.3*0.8+Medium_Demand!B5*0.3*1.2</f>
        <v>570600000</v>
      </c>
      <c r="C5" s="50">
        <f>+Vaccine_Replacement_Effect!C5*0.05+Pandemic_Effect!C5*0.05+Medium_Demand!C5*0.3+Medium_Demand!C5*0.3*0.8+Medium_Demand!C5*0.3*1.2</f>
        <v>619500000</v>
      </c>
      <c r="D5" s="50">
        <f>+Vaccine_Replacement_Effect!D5*0.05+Pandemic_Effect!D5*0.05+Medium_Demand!D5*0.3+Medium_Demand!D5*0.3*0.8+Medium_Demand!D5*0.3*1.2</f>
        <v>626500000</v>
      </c>
      <c r="E5" s="50">
        <f>+Vaccine_Replacement_Effect!E5*0.05+Pandemic_Effect!E5*0.05+Medium_Demand!E5*0.3+Medium_Demand!E5*0.3*0.8+Medium_Demand!E5*0.3*1.2</f>
        <v>594500000</v>
      </c>
      <c r="F5" s="50">
        <f>+Vaccine_Replacement_Effect!F5*0.05+Pandemic_Effect!F5*0.05+Medium_Demand!F5*0.3+Medium_Demand!F5*0.3*0.8+Medium_Demand!F5*0.3*1.2</f>
        <v>596000000</v>
      </c>
      <c r="G5" s="50">
        <f>+Vaccine_Replacement_Effect!G5*0.05+Pandemic_Effect!G5*0.05+Medium_Demand!G5*0.3+Medium_Demand!G5*0.3*0.8+Medium_Demand!G5*0.3*1.2</f>
        <v>581229000</v>
      </c>
      <c r="H5" s="50">
        <f>+Vaccine_Replacement_Effect!H5*0.05+Pandemic_Effect!H5*0.05+Medium_Demand!H5*0.3+Medium_Demand!H5*0.3*0.8+Medium_Demand!H5*0.3*1.2</f>
        <v>587169000</v>
      </c>
      <c r="I5" s="50">
        <f>+Vaccine_Replacement_Effect!I5*0.05+Pandemic_Effect!I5*0.05+Medium_Demand!I5*0.3+Medium_Demand!I5*0.3*0.8+Medium_Demand!I5*0.3*1.2</f>
        <v>593880000</v>
      </c>
      <c r="J5" s="50">
        <f>+Vaccine_Replacement_Effect!J5*0.05+Pandemic_Effect!J5*0.05+Medium_Demand!J5*0.3+Medium_Demand!J5*0.3*0.8+Medium_Demand!J5*0.3*1.2</f>
        <v>600647000</v>
      </c>
      <c r="K5" s="50">
        <f>+Vaccine_Replacement_Effect!K5*0.05+Pandemic_Effect!K5*0.05+Medium_Demand!K5*0.3+Medium_Demand!K5*0.3*0.8+Medium_Demand!K5*0.3*1.2</f>
        <v>600200000</v>
      </c>
    </row>
    <row r="6" spans="1:18" x14ac:dyDescent="0.25">
      <c r="A6" s="49" t="s">
        <v>8</v>
      </c>
      <c r="B6" s="50">
        <f>+Vaccine_Replacement_Effect!B6*0.05+Pandemic_Effect!B6*0.05+Medium_Demand!B6*0.3+Medium_Demand!B6*0.3*0.8+Medium_Demand!B6*0.3*1.2</f>
        <v>577700000</v>
      </c>
      <c r="C6" s="50">
        <f>+Vaccine_Replacement_Effect!C6*0.05+Pandemic_Effect!C6*0.05+Medium_Demand!C6*0.3+Medium_Demand!C6*0.3*0.8+Medium_Demand!C6*0.3*1.2</f>
        <v>626400000</v>
      </c>
      <c r="D6" s="50">
        <f>+Vaccine_Replacement_Effect!D6*0.05+Pandemic_Effect!D6*0.05+Medium_Demand!D6*0.3+Medium_Demand!D6*0.3*0.8+Medium_Demand!D6*0.3*1.2</f>
        <v>633300000</v>
      </c>
      <c r="E6" s="50">
        <f>+Vaccine_Replacement_Effect!E6*0.05+Pandemic_Effect!E6*0.05+Medium_Demand!E6*0.3+Medium_Demand!E6*0.3*0.8+Medium_Demand!E6*0.3*1.2</f>
        <v>601300000</v>
      </c>
      <c r="F6" s="50">
        <f>+Vaccine_Replacement_Effect!F6*0.05+Pandemic_Effect!F6*0.05+Medium_Demand!F6*0.3+Medium_Demand!F6*0.3*0.8+Medium_Demand!F6*0.3*1.2</f>
        <v>598900000</v>
      </c>
      <c r="G6" s="50">
        <f>+Vaccine_Replacement_Effect!G6*0.05+Pandemic_Effect!G6*0.05+Medium_Demand!G6*0.3+Medium_Demand!G6*0.3*0.8+Medium_Demand!G6*0.3*1.2</f>
        <v>584100000</v>
      </c>
      <c r="H6" s="50">
        <f>+Vaccine_Replacement_Effect!H6*0.05+Pandemic_Effect!H6*0.05+Medium_Demand!H6*0.3+Medium_Demand!H6*0.3*0.8+Medium_Demand!H6*0.3*1.2</f>
        <v>590139000</v>
      </c>
      <c r="I6" s="50">
        <f>+Vaccine_Replacement_Effect!I6*0.05+Pandemic_Effect!I6*0.05+Medium_Demand!I6*0.3+Medium_Demand!I6*0.3*0.8+Medium_Demand!I6*0.3*1.2</f>
        <v>596910000</v>
      </c>
      <c r="J6" s="50">
        <f>+Vaccine_Replacement_Effect!J6*0.05+Pandemic_Effect!J6*0.05+Medium_Demand!J6*0.3+Medium_Demand!J6*0.3*0.8+Medium_Demand!J6*0.3*1.2</f>
        <v>603778000</v>
      </c>
      <c r="K6" s="50">
        <f>+Vaccine_Replacement_Effect!K6*0.05+Pandemic_Effect!K6*0.05+Medium_Demand!K6*0.3+Medium_Demand!K6*0.3*0.8+Medium_Demand!K6*0.3*1.2</f>
        <v>603200000</v>
      </c>
    </row>
    <row r="7" spans="1:18" x14ac:dyDescent="0.25">
      <c r="A7" s="49" t="s">
        <v>141</v>
      </c>
      <c r="B7" s="50">
        <f>+Vaccine_Replacement_Effect!B7*0.05+Pandemic_Effect!B7*0.05+Medium_Demand!B7*0.3+Medium_Demand!B7*0.3*0.8+Medium_Demand!B7*0.3*1.2</f>
        <v>320700000</v>
      </c>
      <c r="C7" s="50">
        <f>+Vaccine_Replacement_Effect!C7*0.05+Pandemic_Effect!C7*0.05+Medium_Demand!C7*0.3+Medium_Demand!C7*0.3*0.8+Medium_Demand!C7*0.3*1.2</f>
        <v>347400000</v>
      </c>
      <c r="D7" s="50">
        <f>+Vaccine_Replacement_Effect!D7*0.05+Pandemic_Effect!D7*0.05+Medium_Demand!D7*0.3+Medium_Demand!D7*0.3*0.8+Medium_Demand!D7*0.3*1.2</f>
        <v>352500000</v>
      </c>
      <c r="E7" s="50">
        <f>+Vaccine_Replacement_Effect!E7*0.05+Pandemic_Effect!E7*0.05+Medium_Demand!E7*0.3+Medium_Demand!E7*0.3*0.8+Medium_Demand!E7*0.3*1.2</f>
        <v>336000000</v>
      </c>
      <c r="F7" s="50">
        <f>+Vaccine_Replacement_Effect!F7*0.05+Pandemic_Effect!F7*0.05+Medium_Demand!F7*0.3+Medium_Demand!F7*0.3*0.8+Medium_Demand!F7*0.3*1.2</f>
        <v>334900000</v>
      </c>
      <c r="G7" s="50">
        <f>+Vaccine_Replacement_Effect!G7*0.05+Pandemic_Effect!G7*0.05+Medium_Demand!G7*0.3+Medium_Demand!G7*0.3*0.8+Medium_Demand!G7*0.3*1.2</f>
        <v>324720000</v>
      </c>
      <c r="H7" s="50">
        <f>+Vaccine_Replacement_Effect!H7*0.05+Pandemic_Effect!H7*0.05+Medium_Demand!H7*0.3+Medium_Demand!H7*0.3*0.8+Medium_Demand!H7*0.3*1.2</f>
        <v>327888000</v>
      </c>
      <c r="I7" s="50">
        <f>+Vaccine_Replacement_Effect!I7*0.05+Pandemic_Effect!I7*0.05+Medium_Demand!I7*0.3+Medium_Demand!I7*0.3*0.8+Medium_Demand!I7*0.3*1.2</f>
        <v>331583000</v>
      </c>
      <c r="J7" s="50">
        <f>+Vaccine_Replacement_Effect!J7*0.05+Pandemic_Effect!J7*0.05+Medium_Demand!J7*0.3+Medium_Demand!J7*0.3*0.8+Medium_Demand!J7*0.3*1.2</f>
        <v>334815000</v>
      </c>
      <c r="K7" s="50">
        <f>+Vaccine_Replacement_Effect!K7*0.05+Pandemic_Effect!K7*0.05+Medium_Demand!K7*0.3+Medium_Demand!K7*0.3*0.8+Medium_Demand!K7*0.3*1.2</f>
        <v>334300000</v>
      </c>
    </row>
    <row r="8" spans="1:18" x14ac:dyDescent="0.25">
      <c r="A8" s="49" t="s">
        <v>140</v>
      </c>
      <c r="B8" s="50">
        <f>+Vaccine_Replacement_Effect!B8*0.05+Pandemic_Effect!B8*0.05+Medium_Demand!B8*0.3+Medium_Demand!B8*0.3*0.8+Medium_Demand!B8*0.3*1.2</f>
        <v>312300000</v>
      </c>
      <c r="C8" s="50">
        <f>+Vaccine_Replacement_Effect!C8*0.05+Pandemic_Effect!C8*0.05+Medium_Demand!C8*0.3+Medium_Demand!C8*0.3*0.8+Medium_Demand!C8*0.3*1.2</f>
        <v>343000000</v>
      </c>
      <c r="D8" s="50">
        <f>+Vaccine_Replacement_Effect!D8*0.05+Pandemic_Effect!D8*0.05+Medium_Demand!D8*0.3+Medium_Demand!D8*0.3*0.8+Medium_Demand!D8*0.3*1.2</f>
        <v>351700000</v>
      </c>
      <c r="E8" s="50">
        <f>+Vaccine_Replacement_Effect!E8*0.05+Pandemic_Effect!E8*0.05+Medium_Demand!E8*0.3+Medium_Demand!E8*0.3*0.8+Medium_Demand!E8*0.3*1.2</f>
        <v>335000000</v>
      </c>
      <c r="F8" s="50">
        <f>+Vaccine_Replacement_Effect!F8*0.05+Pandemic_Effect!F8*0.05+Medium_Demand!F8*0.3+Medium_Demand!F8*0.3*0.8+Medium_Demand!F8*0.3*1.2</f>
        <v>334500000</v>
      </c>
      <c r="G8" s="50">
        <f>+Vaccine_Replacement_Effect!G8*0.05+Pandemic_Effect!G8*0.05+Medium_Demand!G8*0.3+Medium_Demand!G8*0.3*0.8+Medium_Demand!G8*0.3*1.2</f>
        <v>325116000</v>
      </c>
      <c r="H8" s="50">
        <f>+Vaccine_Replacement_Effect!H8*0.05+Pandemic_Effect!H8*0.05+Medium_Demand!H8*0.3+Medium_Demand!H8*0.3*0.8+Medium_Demand!H8*0.3*1.2</f>
        <v>328977000</v>
      </c>
      <c r="I8" s="50">
        <f>+Vaccine_Replacement_Effect!I8*0.05+Pandemic_Effect!I8*0.05+Medium_Demand!I8*0.3+Medium_Demand!I8*0.3*0.8+Medium_Demand!I8*0.3*1.2</f>
        <v>331482000</v>
      </c>
      <c r="J8" s="50">
        <f>+Vaccine_Replacement_Effect!J8*0.05+Pandemic_Effect!J8*0.05+Medium_Demand!J8*0.3+Medium_Demand!J8*0.3*0.8+Medium_Demand!J8*0.3*1.2</f>
        <v>335522000</v>
      </c>
      <c r="K8" s="50">
        <f>+Vaccine_Replacement_Effect!K8*0.05+Pandemic_Effect!K8*0.05+Medium_Demand!K8*0.3+Medium_Demand!K8*0.3*0.8+Medium_Demand!K8*0.3*1.2</f>
        <v>335500000</v>
      </c>
    </row>
    <row r="9" spans="1:18" x14ac:dyDescent="0.25">
      <c r="A9" s="49" t="s">
        <v>105</v>
      </c>
      <c r="B9" s="50">
        <f>+Vaccine_Replacement_Effect!B9*0.05+Pandemic_Effect!B9*0.05+Medium_Demand!B9*0.3+Medium_Demand!B9*0.3*0.8+Medium_Demand!B9*0.3*1.2</f>
        <v>259500000</v>
      </c>
      <c r="C9" s="50">
        <f>+Vaccine_Replacement_Effect!C9*0.05+Pandemic_Effect!C9*0.05+Medium_Demand!C9*0.3+Medium_Demand!C9*0.3*0.8+Medium_Demand!C9*0.3*1.2</f>
        <v>282800000</v>
      </c>
      <c r="D9" s="50">
        <f>+Vaccine_Replacement_Effect!D9*0.05+Pandemic_Effect!D9*0.05+Medium_Demand!D9*0.3+Medium_Demand!D9*0.3*0.8+Medium_Demand!D9*0.3*1.2</f>
        <v>287300000</v>
      </c>
      <c r="E9" s="50">
        <f>+Vaccine_Replacement_Effect!E9*0.05+Pandemic_Effect!E9*0.05+Medium_Demand!E9*0.3+Medium_Demand!E9*0.3*0.8+Medium_Demand!E9*0.3*1.2</f>
        <v>274000000</v>
      </c>
      <c r="F9" s="50">
        <f>+Vaccine_Replacement_Effect!F9*0.05+Pandemic_Effect!F9*0.05+Medium_Demand!F9*0.3+Medium_Demand!F9*0.3*0.8+Medium_Demand!F9*0.3*1.2</f>
        <v>274300000</v>
      </c>
      <c r="G9" s="50">
        <f>+Vaccine_Replacement_Effect!G9*0.05+Pandemic_Effect!G9*0.05+Medium_Demand!G9*0.3+Medium_Demand!G9*0.3*0.8+Medium_Demand!G9*0.3*1.2</f>
        <v>267300000</v>
      </c>
      <c r="H9" s="50">
        <f>+Vaccine_Replacement_Effect!H9*0.05+Pandemic_Effect!H9*0.05+Medium_Demand!H9*0.3+Medium_Demand!H9*0.3*0.8+Medium_Demand!H9*0.3*1.2</f>
        <v>270369000</v>
      </c>
      <c r="I9" s="50">
        <f>+Vaccine_Replacement_Effect!I9*0.05+Pandemic_Effect!I9*0.05+Medium_Demand!I9*0.3+Medium_Demand!I9*0.3*0.8+Medium_Demand!I9*0.3*1.2</f>
        <v>273104000</v>
      </c>
      <c r="J9" s="50">
        <f>+Vaccine_Replacement_Effect!J9*0.05+Pandemic_Effect!J9*0.05+Medium_Demand!J9*0.3+Medium_Demand!J9*0.3*0.8+Medium_Demand!J9*0.3*1.2</f>
        <v>276437000</v>
      </c>
      <c r="K9" s="50">
        <f>+Vaccine_Replacement_Effect!K9*0.05+Pandemic_Effect!K9*0.05+Medium_Demand!K9*0.3+Medium_Demand!K9*0.3*0.8+Medium_Demand!K9*0.3*1.2</f>
        <v>276700000</v>
      </c>
    </row>
    <row r="10" spans="1:18" x14ac:dyDescent="0.25">
      <c r="A10" s="49" t="s">
        <v>79</v>
      </c>
      <c r="B10" s="50">
        <f>+Vaccine_Replacement_Effect!B10*0.05+Pandemic_Effect!B10*0.05+Medium_Demand!B10*0.3+Medium_Demand!B10*0.3*0.8+Medium_Demand!B10*0.3*1.2</f>
        <v>522200000</v>
      </c>
      <c r="C10" s="50">
        <f>+Vaccine_Replacement_Effect!C10*0.05+Pandemic_Effect!C10*0.05+Medium_Demand!C10*0.3+Medium_Demand!C10*0.3*0.8+Medium_Demand!C10*0.3*1.2</f>
        <v>582200000</v>
      </c>
      <c r="D10" s="50">
        <f>+Vaccine_Replacement_Effect!D10*0.05+Pandemic_Effect!D10*0.05+Medium_Demand!D10*0.3+Medium_Demand!D10*0.3*0.8+Medium_Demand!D10*0.3*1.2</f>
        <v>608600000</v>
      </c>
      <c r="E10" s="50">
        <f>+Vaccine_Replacement_Effect!E10*0.05+Pandemic_Effect!E10*0.05+Medium_Demand!E10*0.3+Medium_Demand!E10*0.3*0.8+Medium_Demand!E10*0.3*1.2</f>
        <v>590700000</v>
      </c>
      <c r="F10" s="50">
        <f>+Vaccine_Replacement_Effect!F10*0.05+Pandemic_Effect!F10*0.05+Medium_Demand!F10*0.3+Medium_Demand!F10*0.3*0.8+Medium_Demand!F10*0.3*1.2</f>
        <v>591700000</v>
      </c>
      <c r="G10" s="50">
        <f>+Vaccine_Replacement_Effect!G10*0.05+Pandemic_Effect!G10*0.05+Medium_Demand!G10*0.3+Medium_Demand!G10*0.3*0.8+Medium_Demand!G10*0.3*1.2</f>
        <v>573370003.41385531</v>
      </c>
      <c r="H10" s="50">
        <f>+Vaccine_Replacement_Effect!H10*0.05+Pandemic_Effect!H10*0.05+Medium_Demand!H10*0.3+Medium_Demand!H10*0.3*0.8+Medium_Demand!H10*0.3*1.2</f>
        <v>136163035.03642106</v>
      </c>
      <c r="I10" s="50">
        <f>+Vaccine_Replacement_Effect!I10*0.05+Pandemic_Effect!I10*0.05+Medium_Demand!I10*0.3+Medium_Demand!I10*0.3*0.8+Medium_Demand!I10*0.3*1.2</f>
        <v>136394513.66407236</v>
      </c>
      <c r="J10" s="50">
        <f>+Vaccine_Replacement_Effect!J10*0.05+Pandemic_Effect!J10*0.05+Medium_Demand!J10*0.3+Medium_Demand!J10*0.3*0.8+Medium_Demand!J10*0.3*1.2</f>
        <v>138798668.14019078</v>
      </c>
      <c r="K10" s="50">
        <f>+Vaccine_Replacement_Effect!K10*0.05+Pandemic_Effect!K10*0.05+Medium_Demand!K10*0.3+Medium_Demand!K10*0.3*0.8+Medium_Demand!K10*0.3*1.2</f>
        <v>139764240.48389804</v>
      </c>
    </row>
    <row r="11" spans="1:18" x14ac:dyDescent="0.25">
      <c r="A11" t="s">
        <v>5</v>
      </c>
      <c r="B11" s="50">
        <f>+Vaccine_Replacement_Effect!B11*0.05+Pandemic_Effect!B11*0.05+Medium_Demand!B11*0.3+Medium_Demand!B11*0.3*0.8+Medium_Demand!B11*0.3*1.2</f>
        <v>19000000</v>
      </c>
      <c r="C11" s="50">
        <f>+Vaccine_Replacement_Effect!C11*0.05+Pandemic_Effect!C11*0.05+Medium_Demand!C11*0.3+Medium_Demand!C11*0.3*0.8+Medium_Demand!C11*0.3*1.2</f>
        <v>18800000</v>
      </c>
      <c r="D11" s="50">
        <f>+Vaccine_Replacement_Effect!D11*0.05+Pandemic_Effect!D11*0.05+Medium_Demand!D11*0.3+Medium_Demand!D11*0.3*0.8+Medium_Demand!D11*0.3*1.2</f>
        <v>27500000</v>
      </c>
      <c r="E11" s="50">
        <f>+Vaccine_Replacement_Effect!E11*0.05+Pandemic_Effect!E11*0.05+Medium_Demand!E11*0.3+Medium_Demand!E11*0.3*0.8+Medium_Demand!E11*0.3*1.2</f>
        <v>72800000</v>
      </c>
      <c r="F11" s="50">
        <f>+Vaccine_Replacement_Effect!F11*0.05+Pandemic_Effect!F11*0.05+Medium_Demand!F11*0.3+Medium_Demand!F11*0.3*0.8+Medium_Demand!F11*0.3*1.2</f>
        <v>92700000</v>
      </c>
      <c r="G11" s="50">
        <f>+Vaccine_Replacement_Effect!G11*0.05+Pandemic_Effect!G11*0.05+Medium_Demand!G11*0.3+Medium_Demand!G11*0.3*0.8+Medium_Demand!G11*0.3*1.2</f>
        <v>64053000</v>
      </c>
      <c r="H11" s="50">
        <f>+Vaccine_Replacement_Effect!H11*0.05+Pandemic_Effect!H11*0.05+Medium_Demand!H11*0.3+Medium_Demand!H11*0.3*0.8+Medium_Demand!H11*0.3*1.2</f>
        <v>41778000</v>
      </c>
      <c r="I11" s="50">
        <f>+Vaccine_Replacement_Effect!I11*0.05+Pandemic_Effect!I11*0.05+Medium_Demand!I11*0.3+Medium_Demand!I11*0.3*0.8+Medium_Demand!I11*0.3*1.2</f>
        <v>42824000</v>
      </c>
      <c r="J11" s="50">
        <f>+Vaccine_Replacement_Effect!J11*0.05+Pandemic_Effect!J11*0.05+Medium_Demand!J11*0.3+Medium_Demand!J11*0.3*0.8+Medium_Demand!J11*0.3*1.2</f>
        <v>34037000</v>
      </c>
      <c r="K11" s="50">
        <f>+Vaccine_Replacement_Effect!K11*0.05+Pandemic_Effect!K11*0.05+Medium_Demand!K11*0.3+Medium_Demand!K11*0.3*0.8+Medium_Demand!K11*0.3*1.2</f>
        <v>35000000</v>
      </c>
    </row>
    <row r="12" spans="1:18" x14ac:dyDescent="0.25">
      <c r="A12" t="s">
        <v>161</v>
      </c>
      <c r="B12" s="50">
        <f>+Vaccine_Replacement_Effect!B12*0.05+Pandemic_Effect!B12*0.05+Medium_Demand!B12*0.3+Medium_Demand!B12*0.3*0.8+Medium_Demand!B12*0.3*1.2</f>
        <v>142500000</v>
      </c>
      <c r="C12" s="50">
        <f>+Vaccine_Replacement_Effect!C12*0.05+Pandemic_Effect!C12*0.05+Medium_Demand!C12*0.3+Medium_Demand!C12*0.3*0.8+Medium_Demand!C12*0.3*1.2</f>
        <v>166400000</v>
      </c>
      <c r="D12" s="50">
        <f>+Vaccine_Replacement_Effect!D12*0.05+Pandemic_Effect!D12*0.05+Medium_Demand!D12*0.3+Medium_Demand!D12*0.3*0.8+Medium_Demand!D12*0.3*1.2</f>
        <v>173800000</v>
      </c>
      <c r="E12" s="50">
        <f>+Vaccine_Replacement_Effect!E12*0.05+Pandemic_Effect!E12*0.05+Medium_Demand!E12*0.3+Medium_Demand!E12*0.3*0.8+Medium_Demand!E12*0.3*1.2</f>
        <v>186300000</v>
      </c>
      <c r="F12" s="50">
        <f>+Vaccine_Replacement_Effect!F12*0.05+Pandemic_Effect!F12*0.05+Medium_Demand!F12*0.3+Medium_Demand!F12*0.3*0.8+Medium_Demand!F12*0.3*1.2</f>
        <v>197700000</v>
      </c>
      <c r="G12" s="50">
        <f>+Vaccine_Replacement_Effect!G12*0.05+Pandemic_Effect!G12*0.05+Medium_Demand!G12*0.3+Medium_Demand!G12*0.3*0.8+Medium_Demand!G12*0.3*1.2</f>
        <v>203643000</v>
      </c>
      <c r="H12" s="50">
        <f>+Vaccine_Replacement_Effect!H12*0.05+Pandemic_Effect!H12*0.05+Medium_Demand!H12*0.3+Medium_Demand!H12*0.3*0.8+Medium_Demand!H12*0.3*1.2</f>
        <v>207504000</v>
      </c>
      <c r="I12" s="50">
        <f>+Vaccine_Replacement_Effect!I12*0.05+Pandemic_Effect!I12*0.05+Medium_Demand!I12*0.3+Medium_Demand!I12*0.3*0.8+Medium_Demand!I12*0.3*1.2</f>
        <v>209474000</v>
      </c>
      <c r="J12" s="50">
        <f>+Vaccine_Replacement_Effect!J12*0.05+Pandemic_Effect!J12*0.05+Medium_Demand!J12*0.3+Medium_Demand!J12*0.3*0.8+Medium_Demand!J12*0.3*1.2</f>
        <v>211696000</v>
      </c>
      <c r="K12" s="50">
        <f>+Vaccine_Replacement_Effect!K12*0.05+Pandemic_Effect!K12*0.05+Medium_Demand!K12*0.3+Medium_Demand!K12*0.3*0.8+Medium_Demand!K12*0.3*1.2</f>
        <v>211800000</v>
      </c>
    </row>
    <row r="13" spans="1:18" x14ac:dyDescent="0.25">
      <c r="A13" t="s">
        <v>6</v>
      </c>
      <c r="B13" s="50">
        <f>+Vaccine_Replacement_Effect!B13*0.05+Pandemic_Effect!B13*0.05+Medium_Demand!B13*0.3+Medium_Demand!B13*0.3*0.8+Medium_Demand!B13*0.3*1.2</f>
        <v>160800000</v>
      </c>
      <c r="C13" s="50">
        <f>+Vaccine_Replacement_Effect!C13*0.05+Pandemic_Effect!C13*0.05+Medium_Demand!C13*0.3+Medium_Demand!C13*0.3*0.8+Medium_Demand!C13*0.3*1.2</f>
        <v>187000000</v>
      </c>
      <c r="D13" s="50">
        <f>+Vaccine_Replacement_Effect!D13*0.05+Pandemic_Effect!D13*0.05+Medium_Demand!D13*0.3+Medium_Demand!D13*0.3*0.8+Medium_Demand!D13*0.3*1.2</f>
        <v>209200000</v>
      </c>
      <c r="E13" s="50">
        <f>+Vaccine_Replacement_Effect!E13*0.05+Pandemic_Effect!E13*0.05+Medium_Demand!E13*0.3+Medium_Demand!E13*0.3*0.8+Medium_Demand!E13*0.3*1.2</f>
        <v>205900000</v>
      </c>
      <c r="F13" s="50">
        <f>+Vaccine_Replacement_Effect!F13*0.05+Pandemic_Effect!F13*0.05+Medium_Demand!F13*0.3+Medium_Demand!F13*0.3*0.8+Medium_Demand!F13*0.3*1.2</f>
        <v>221000000</v>
      </c>
      <c r="G13" s="50">
        <f>+Vaccine_Replacement_Effect!G13*0.05+Pandemic_Effect!G13*0.05+Medium_Demand!G13*0.3+Medium_Demand!G13*0.3*0.8+Medium_Demand!G13*0.3*1.2</f>
        <v>216909000</v>
      </c>
      <c r="H13" s="50">
        <f>+Vaccine_Replacement_Effect!H13*0.05+Pandemic_Effect!H13*0.05+Medium_Demand!H13*0.3+Medium_Demand!H13*0.3*0.8+Medium_Demand!H13*0.3*1.2</f>
        <v>220077000</v>
      </c>
      <c r="I13" s="50">
        <f>+Vaccine_Replacement_Effect!I13*0.05+Pandemic_Effect!I13*0.05+Medium_Demand!I13*0.3+Medium_Demand!I13*0.3*0.8+Medium_Demand!I13*0.3*1.2</f>
        <v>219473000</v>
      </c>
      <c r="J13" s="50">
        <f>+Vaccine_Replacement_Effect!J13*0.05+Pandemic_Effect!J13*0.05+Medium_Demand!J13*0.3+Medium_Demand!J13*0.3*0.8+Medium_Demand!J13*0.3*1.2</f>
        <v>220988000</v>
      </c>
      <c r="K13" s="50">
        <f>+Vaccine_Replacement_Effect!K13*0.05+Pandemic_Effect!K13*0.05+Medium_Demand!K13*0.3+Medium_Demand!K13*0.3*0.8+Medium_Demand!K13*0.3*1.2</f>
        <v>220200000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5" x14ac:dyDescent="0.25"/>
  <cols>
    <col min="1" max="1" width="33.425781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</row>
    <row r="3" spans="1:11" x14ac:dyDescent="0.25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1">AVERAGE(C3:D3)</f>
        <v>0.43525000000000003</v>
      </c>
      <c r="F3" s="28">
        <f t="shared" si="1"/>
        <v>0.43762500000000004</v>
      </c>
      <c r="G3" s="28">
        <f t="shared" si="1"/>
        <v>0.43643750000000003</v>
      </c>
      <c r="H3" s="28">
        <f t="shared" si="1"/>
        <v>0.43703125000000004</v>
      </c>
      <c r="I3" s="28">
        <f t="shared" si="1"/>
        <v>0.43673437500000001</v>
      </c>
      <c r="J3" s="28">
        <f t="shared" si="1"/>
        <v>0.43688281250000005</v>
      </c>
      <c r="K3" s="28">
        <f t="shared" si="1"/>
        <v>0.43680859375000003</v>
      </c>
    </row>
    <row r="6" spans="1:11" x14ac:dyDescent="0.25">
      <c r="B6" s="15"/>
      <c r="C6" s="15"/>
    </row>
    <row r="7" spans="1:11" x14ac:dyDescent="0.25">
      <c r="B7" s="15"/>
      <c r="C7" s="15"/>
    </row>
    <row r="8" spans="1:11" x14ac:dyDescent="0.25">
      <c r="B8" s="14"/>
      <c r="C8" s="14"/>
    </row>
    <row r="9" spans="1:11" x14ac:dyDescent="0.25">
      <c r="C9" s="13"/>
    </row>
    <row r="23" spans="2:2" x14ac:dyDescent="0.25">
      <c r="B23" s="13"/>
    </row>
    <row r="24" spans="2:2" x14ac:dyDescent="0.25">
      <c r="B24" s="16"/>
    </row>
    <row r="25" spans="2:2" x14ac:dyDescent="0.25">
      <c r="B25" s="16"/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5" x14ac:dyDescent="0.25"/>
  <cols>
    <col min="1" max="1" width="34.1406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</row>
    <row r="3" spans="1:11" x14ac:dyDescent="0.25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</row>
  </sheetData>
  <phoneticPr fontId="6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4"/>
  <sheetViews>
    <sheetView workbookViewId="0">
      <selection activeCell="H7" sqref="H7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</row>
    <row r="3" spans="1:11" x14ac:dyDescent="0.25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</row>
    <row r="4" spans="1:11" x14ac:dyDescent="0.25">
      <c r="A4" t="s">
        <v>148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H26" sqref="H26"/>
    </sheetView>
  </sheetViews>
  <sheetFormatPr defaultRowHeight="15" x14ac:dyDescent="0.25"/>
  <cols>
    <col min="1" max="1" width="38.8554687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</row>
    <row r="3" spans="1:11" x14ac:dyDescent="0.25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</row>
    <row r="4" spans="1:11" x14ac:dyDescent="0.25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B14" sqref="B14"/>
    </sheetView>
  </sheetViews>
  <sheetFormatPr defaultRowHeight="15" x14ac:dyDescent="0.25"/>
  <cols>
    <col min="1" max="1" width="38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</row>
    <row r="3" spans="1:11" x14ac:dyDescent="0.25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</row>
    <row r="4" spans="1:11" x14ac:dyDescent="0.25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</row>
    <row r="5" spans="1:11" x14ac:dyDescent="0.25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</row>
    <row r="6" spans="1:11" x14ac:dyDescent="0.25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</row>
    <row r="7" spans="1:11" x14ac:dyDescent="0.25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</row>
    <row r="8" spans="1:11" x14ac:dyDescent="0.25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</row>
    <row r="9" spans="1:11" x14ac:dyDescent="0.25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</row>
    <row r="28" spans="2:3" x14ac:dyDescent="0.25">
      <c r="B28" t="s">
        <v>127</v>
      </c>
      <c r="C28" t="s">
        <v>127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J19" sqref="J19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</row>
    <row r="3" spans="1:11" x14ac:dyDescent="0.25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</row>
    <row r="4" spans="1:11" x14ac:dyDescent="0.25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</row>
    <row r="5" spans="1:11" x14ac:dyDescent="0.25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</row>
    <row r="18" spans="1:1" x14ac:dyDescent="0.25">
      <c r="A18" s="20"/>
    </row>
  </sheetData>
  <phoneticPr fontId="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D2" sqref="D2:D3"/>
    </sheetView>
  </sheetViews>
  <sheetFormatPr defaultRowHeight="15" x14ac:dyDescent="0.25"/>
  <cols>
    <col min="1" max="1" width="25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25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25">
      <c r="B4" s="19"/>
      <c r="C4" s="19"/>
    </row>
    <row r="5" spans="1:11" x14ac:dyDescent="0.25">
      <c r="B5" s="19"/>
      <c r="C5" s="19"/>
    </row>
    <row r="6" spans="1:11" x14ac:dyDescent="0.25">
      <c r="B6" s="19"/>
      <c r="C6" s="19"/>
    </row>
    <row r="7" spans="1:11" x14ac:dyDescent="0.25">
      <c r="B7" s="19"/>
      <c r="C7" s="19"/>
    </row>
    <row r="10" spans="1:11" x14ac:dyDescent="0.25">
      <c r="B10" s="19"/>
      <c r="C10" s="19"/>
    </row>
    <row r="30" spans="2:3" x14ac:dyDescent="0.25">
      <c r="B30" s="19"/>
      <c r="C30" s="19"/>
    </row>
    <row r="31" spans="2:3" x14ac:dyDescent="0.25">
      <c r="B31" s="19"/>
      <c r="C31" s="19"/>
    </row>
    <row r="32" spans="2:3" x14ac:dyDescent="0.25">
      <c r="B32" s="19"/>
      <c r="C32" s="19"/>
    </row>
    <row r="33" spans="2:3" x14ac:dyDescent="0.25">
      <c r="B33" s="19"/>
      <c r="C33" s="19"/>
    </row>
    <row r="34" spans="2:3" x14ac:dyDescent="0.25">
      <c r="B34" s="19"/>
      <c r="C34" s="19"/>
    </row>
    <row r="35" spans="2:3" x14ac:dyDescent="0.25">
      <c r="B35" s="19"/>
      <c r="C35" s="19"/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J12" sqref="J12"/>
    </sheetView>
  </sheetViews>
  <sheetFormatPr defaultRowHeight="15" x14ac:dyDescent="0.25"/>
  <cols>
    <col min="1" max="1" width="13.28515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workbookViewId="0">
      <selection activeCell="J15" sqref="J15"/>
    </sheetView>
  </sheetViews>
  <sheetFormatPr defaultRowHeight="15" x14ac:dyDescent="0.25"/>
  <cols>
    <col min="1" max="1" width="18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</row>
    <row r="3" spans="1:11" x14ac:dyDescent="0.25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</row>
    <row r="4" spans="1:11" x14ac:dyDescent="0.25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</row>
    <row r="5" spans="1:11" x14ac:dyDescent="0.25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</row>
    <row r="6" spans="1:11" x14ac:dyDescent="0.25">
      <c r="A6" s="63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25">
      <c r="H8" s="27"/>
    </row>
    <row r="33" spans="1:5" x14ac:dyDescent="0.25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25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/>
  </sheetViews>
  <sheetFormatPr defaultRowHeight="15" x14ac:dyDescent="0.25"/>
  <cols>
    <col min="1" max="1" width="36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25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6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4"/>
  <sheetViews>
    <sheetView workbookViewId="0">
      <selection activeCell="I2" sqref="I2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</row>
    <row r="3" spans="1:11" x14ac:dyDescent="0.25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</row>
    <row r="4" spans="1:11" x14ac:dyDescent="0.25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</row>
  </sheetData>
  <phoneticPr fontId="6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4"/>
  <sheetViews>
    <sheetView workbookViewId="0">
      <selection activeCell="I2" sqref="I2"/>
    </sheetView>
  </sheetViews>
  <sheetFormatPr defaultRowHeight="15" x14ac:dyDescent="0.25"/>
  <cols>
    <col min="1" max="1" width="24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25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</row>
    <row r="4" spans="1:11" x14ac:dyDescent="0.25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4"/>
  <sheetViews>
    <sheetView workbookViewId="0">
      <selection activeCell="J10" sqref="J10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</row>
    <row r="3" spans="1:11" x14ac:dyDescent="0.25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</row>
  </sheetData>
  <phoneticPr fontId="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4"/>
  <sheetViews>
    <sheetView workbookViewId="0">
      <selection activeCell="J18" sqref="J18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63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</row>
    <row r="3" spans="1:11" x14ac:dyDescent="0.25">
      <c r="A3" s="6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s="63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K17" sqref="K17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I15" sqref="I15"/>
    </sheetView>
  </sheetViews>
  <sheetFormatPr defaultRowHeight="15" x14ac:dyDescent="0.25"/>
  <cols>
    <col min="1" max="1" width="40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K4" si="0">AVERAGE(I2:J2)</f>
        <v>0.92499999999999993</v>
      </c>
    </row>
    <row r="3" spans="1:11" x14ac:dyDescent="0.25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1">AVERAGE(H3:I3)</f>
        <v>2.1732649999999998</v>
      </c>
      <c r="K3" s="18">
        <f t="shared" si="0"/>
        <v>2.1732914999999999</v>
      </c>
    </row>
    <row r="4" spans="1:11" x14ac:dyDescent="0.25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1"/>
        <v>0.98499999999999988</v>
      </c>
      <c r="K4" s="18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H13" sqref="H13"/>
    </sheetView>
  </sheetViews>
  <sheetFormatPr defaultRowHeight="15" x14ac:dyDescent="0.25"/>
  <cols>
    <col min="1" max="1" width="35.57031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</row>
    <row r="3" spans="1:11" x14ac:dyDescent="0.25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0">AVERAGE(D3:E3)</f>
        <v>2.9375</v>
      </c>
      <c r="G3" s="18">
        <f t="shared" si="0"/>
        <v>2.9562499999999998</v>
      </c>
      <c r="H3" s="18">
        <f t="shared" si="0"/>
        <v>2.9468749999999999</v>
      </c>
      <c r="I3" s="18">
        <f t="shared" si="0"/>
        <v>2.9515624999999996</v>
      </c>
      <c r="J3" s="18">
        <f t="shared" si="0"/>
        <v>2.94921875</v>
      </c>
      <c r="K3" s="18">
        <f t="shared" si="0"/>
        <v>2.9503906249999998</v>
      </c>
    </row>
    <row r="4" spans="1:11" x14ac:dyDescent="0.25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0"/>
        <v>2.2625000000000002</v>
      </c>
      <c r="G4" s="18">
        <f t="shared" si="0"/>
        <v>2.2937500000000002</v>
      </c>
      <c r="H4" s="18">
        <f t="shared" si="0"/>
        <v>2.2781250000000002</v>
      </c>
      <c r="I4" s="18">
        <f t="shared" si="0"/>
        <v>2.2859375000000002</v>
      </c>
      <c r="J4" s="18">
        <f t="shared" si="0"/>
        <v>2.2820312500000002</v>
      </c>
      <c r="K4" s="18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3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vaccine-producer list</vt:lpstr>
      <vt:lpstr>vaccine-antigen list</vt:lpstr>
      <vt:lpstr>total_capacity_calcs</vt:lpstr>
      <vt:lpstr>Demand_data_trend</vt:lpstr>
      <vt:lpstr>Demand_data_trend_v2</vt:lpstr>
      <vt:lpstr>Demand_data_trend_predictions</vt:lpstr>
      <vt:lpstr>Medium_Demand_calc</vt:lpstr>
      <vt:lpstr>Medium_Demand</vt:lpstr>
      <vt:lpstr>Pandemic_Effect</vt:lpstr>
      <vt:lpstr>Vaccine_Replacement_Effect</vt:lpstr>
      <vt:lpstr>Weighted_Avg_Demand_for_Scen.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cp:lastPrinted>2024-09-30T16:30:09Z</cp:lastPrinted>
  <dcterms:created xsi:type="dcterms:W3CDTF">2023-08-30T20:34:45Z</dcterms:created>
  <dcterms:modified xsi:type="dcterms:W3CDTF">2024-10-02T19:07:51Z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