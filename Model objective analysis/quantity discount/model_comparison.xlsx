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quantity discount/"/>
    </mc:Choice>
  </mc:AlternateContent>
  <xr:revisionPtr revIDLastSave="1" documentId="8_{5CFCC789-D81B-4930-8049-C9AA0660C86C}" xr6:coauthVersionLast="47" xr6:coauthVersionMax="47" xr10:uidLastSave="{FDD5641A-74EE-49B9-B08E-353FEE7C7198}"/>
  <bookViews>
    <workbookView xWindow="-120" yWindow="-120" windowWidth="20730" windowHeight="11040" xr2:uid="{F57EBA8E-41C8-44C1-B306-1EA5435EF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4" i="1"/>
  <c r="G3" i="1"/>
</calcChain>
</file>

<file path=xl/sharedStrings.xml><?xml version="1.0" encoding="utf-8"?>
<sst xmlns="http://schemas.openxmlformats.org/spreadsheetml/2006/main" count="32" uniqueCount="21">
  <si>
    <t>Model</t>
  </si>
  <si>
    <t>OBJ</t>
  </si>
  <si>
    <t>UG</t>
  </si>
  <si>
    <t>Method/Enhancements</t>
  </si>
  <si>
    <t>L-Shaped, Partial benders, SEC (F)</t>
  </si>
  <si>
    <t>L-Shaped, Partial benders, Two-Phase, SEC (F)</t>
  </si>
  <si>
    <t>Termination Criteria</t>
  </si>
  <si>
    <t>Final Gap</t>
  </si>
  <si>
    <t>Tolerance reached</t>
  </si>
  <si>
    <t>Time (hrs)</t>
  </si>
  <si>
    <t>Max iterations (500)</t>
  </si>
  <si>
    <t>Solution Stability (&gt;10 w/o change)</t>
  </si>
  <si>
    <t>Missed Doses Total</t>
  </si>
  <si>
    <t>UG3</t>
  </si>
  <si>
    <t>UG4</t>
  </si>
  <si>
    <t>UG2P</t>
  </si>
  <si>
    <t>Trial</t>
  </si>
  <si>
    <t>UG2P2</t>
  </si>
  <si>
    <t>*Pending HPC Run</t>
  </si>
  <si>
    <t>UG2</t>
  </si>
  <si>
    <t>*Testing 5x7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</si>
</sst>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1" xfId="0" applyNumberFormat="1" applyBorder="1"/>
    <xf numFmtId="2" fontId="0" fillId="0" borderId="1" xfId="0" applyNumberFormat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9457-BC65-4DB1-A6A8-ABE81DB86AB0}">
  <dimension ref="A2:I8"/>
  <sheetViews>
    <sheetView tabSelected="1" workbookViewId="0">
      <selection activeCell="E10" sqref="E10"/>
    </sheetView>
  </sheetViews>
  <sheetFormatPr defaultRowHeight="15" x14ac:dyDescent="0.25"/>
  <cols>
    <col min="4" max="4" width="42.42578125" bestFit="1" customWidth="1"/>
    <col min="5" max="5" width="31.85546875" bestFit="1" customWidth="1"/>
    <col min="6" max="6" width="9.42578125" bestFit="1" customWidth="1"/>
    <col min="7" max="7" width="11.5703125" bestFit="1" customWidth="1"/>
    <col min="9" max="9" width="18.7109375" bestFit="1" customWidth="1"/>
  </cols>
  <sheetData>
    <row r="2" spans="1:9" x14ac:dyDescent="0.25">
      <c r="A2" s="1"/>
      <c r="B2" s="2" t="s">
        <v>0</v>
      </c>
      <c r="C2" s="2" t="s">
        <v>16</v>
      </c>
      <c r="D2" s="2" t="s">
        <v>3</v>
      </c>
      <c r="E2" s="2" t="s">
        <v>6</v>
      </c>
      <c r="F2" s="2" t="s">
        <v>7</v>
      </c>
      <c r="G2" s="2" t="s">
        <v>9</v>
      </c>
      <c r="H2" s="2" t="s">
        <v>1</v>
      </c>
      <c r="I2" s="2" t="s">
        <v>12</v>
      </c>
    </row>
    <row r="3" spans="1:9" x14ac:dyDescent="0.25">
      <c r="A3" s="1" t="s">
        <v>2</v>
      </c>
      <c r="B3" s="1" t="s">
        <v>2</v>
      </c>
      <c r="C3" s="1">
        <v>1</v>
      </c>
      <c r="D3" s="1" t="s">
        <v>4</v>
      </c>
      <c r="E3" s="1" t="s">
        <v>8</v>
      </c>
      <c r="F3" s="3">
        <v>0.14599999999999999</v>
      </c>
      <c r="G3" s="4">
        <f>5030.5/60/60</f>
        <v>1.3973611111111111</v>
      </c>
      <c r="H3" s="5">
        <v>134805434.48155099</v>
      </c>
      <c r="I3" s="5">
        <v>107653040.14479101</v>
      </c>
    </row>
    <row r="4" spans="1:9" x14ac:dyDescent="0.25">
      <c r="A4" s="1" t="s">
        <v>13</v>
      </c>
      <c r="B4" s="1" t="s">
        <v>2</v>
      </c>
      <c r="C4" s="1">
        <v>2</v>
      </c>
      <c r="D4" s="1" t="s">
        <v>4</v>
      </c>
      <c r="E4" s="1" t="s">
        <v>10</v>
      </c>
      <c r="F4" s="3">
        <v>0.47870000000000001</v>
      </c>
      <c r="G4" s="4">
        <f>33360/60/60</f>
        <v>9.2666666666666675</v>
      </c>
      <c r="H4" s="5">
        <v>131833957.000376</v>
      </c>
      <c r="I4" s="5">
        <v>184260226.92799199</v>
      </c>
    </row>
    <row r="5" spans="1:9" x14ac:dyDescent="0.25">
      <c r="A5" s="1" t="s">
        <v>19</v>
      </c>
      <c r="B5" s="1" t="s">
        <v>2</v>
      </c>
      <c r="C5" s="1">
        <v>3</v>
      </c>
      <c r="D5" s="1" t="s">
        <v>4</v>
      </c>
      <c r="E5" s="1" t="s">
        <v>20</v>
      </c>
      <c r="F5" s="1"/>
      <c r="G5" s="4"/>
      <c r="H5" s="1"/>
      <c r="I5" s="5"/>
    </row>
    <row r="6" spans="1:9" x14ac:dyDescent="0.25">
      <c r="A6" s="1" t="s">
        <v>14</v>
      </c>
      <c r="B6" s="1" t="s">
        <v>2</v>
      </c>
      <c r="C6" s="1">
        <v>1</v>
      </c>
      <c r="D6" s="1" t="s">
        <v>5</v>
      </c>
      <c r="E6" s="1" t="s">
        <v>11</v>
      </c>
      <c r="F6" s="3">
        <v>0.95240000000000002</v>
      </c>
      <c r="G6" s="4">
        <f>14794/60/60</f>
        <v>4.1094444444444447</v>
      </c>
      <c r="H6" s="5">
        <v>319884936.33695197</v>
      </c>
      <c r="I6" s="5">
        <v>676201492.22444797</v>
      </c>
    </row>
    <row r="7" spans="1:9" x14ac:dyDescent="0.25">
      <c r="A7" s="1" t="s">
        <v>15</v>
      </c>
      <c r="B7" s="1" t="s">
        <v>2</v>
      </c>
      <c r="C7" s="1">
        <v>2</v>
      </c>
      <c r="D7" s="1" t="s">
        <v>5</v>
      </c>
      <c r="E7" s="1" t="s">
        <v>11</v>
      </c>
      <c r="F7" s="3">
        <v>0.99060000000000004</v>
      </c>
      <c r="G7" s="4">
        <f>11967/60/60</f>
        <v>3.3241666666666663</v>
      </c>
      <c r="H7" s="5">
        <v>546258958.41122794</v>
      </c>
      <c r="I7" s="5">
        <v>908515323.25022995</v>
      </c>
    </row>
    <row r="8" spans="1:9" x14ac:dyDescent="0.25">
      <c r="A8" s="1" t="s">
        <v>17</v>
      </c>
      <c r="B8" s="1" t="s">
        <v>2</v>
      </c>
      <c r="C8" s="1">
        <v>3</v>
      </c>
      <c r="D8" s="1" t="s">
        <v>5</v>
      </c>
      <c r="E8" s="1" t="s">
        <v>18</v>
      </c>
      <c r="F8" s="1"/>
      <c r="G8" s="1"/>
      <c r="H8" s="1"/>
      <c r="I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2025-04-08T19:11:43Z</dcterms:created>
  <dcterms:modified xsi:type="dcterms:W3CDTF">2025-04-08T21:18:12Z</dcterms:modified>
</cp:coreProperties>
</file>