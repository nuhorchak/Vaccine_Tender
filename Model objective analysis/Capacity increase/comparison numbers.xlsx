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Capacity increase/"/>
    </mc:Choice>
  </mc:AlternateContent>
  <xr:revisionPtr revIDLastSave="0" documentId="8_{407CAF3C-A199-4847-A824-3F21C20B32C8}" xr6:coauthVersionLast="47" xr6:coauthVersionMax="47" xr10:uidLastSave="{00000000-0000-0000-0000-000000000000}"/>
  <bookViews>
    <workbookView xWindow="-165" yWindow="-165" windowWidth="20820" windowHeight="11130" activeTab="2" xr2:uid="{2E95DDD1-0853-4EF3-9A4F-A4E7029CF256}"/>
  </bookViews>
  <sheets>
    <sheet name="Tender data" sheetId="1" r:id="rId1"/>
    <sheet name="AVG Missed doses" sheetId="2" r:id="rId2"/>
    <sheet name="Capacity Incre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3" i="3"/>
</calcChain>
</file>

<file path=xl/sharedStrings.xml><?xml version="1.0" encoding="utf-8"?>
<sst xmlns="http://schemas.openxmlformats.org/spreadsheetml/2006/main" count="104" uniqueCount="44">
  <si>
    <t>Metric</t>
  </si>
  <si>
    <t>Initial Model</t>
  </si>
  <si>
    <t>OOB testing</t>
  </si>
  <si>
    <t>AVG Length</t>
  </si>
  <si>
    <t># Tenders</t>
  </si>
  <si>
    <t>Base Model</t>
  </si>
  <si>
    <t>Min Missed Doses</t>
  </si>
  <si>
    <t xml:space="preserve">    PCV</t>
  </si>
  <si>
    <t xml:space="preserve">    Measles</t>
  </si>
  <si>
    <t xml:space="preserve">    Mumps</t>
  </si>
  <si>
    <t xml:space="preserve">    HPV</t>
  </si>
  <si>
    <t xml:space="preserve">    Hib</t>
  </si>
  <si>
    <t xml:space="preserve">    Pertussis</t>
  </si>
  <si>
    <t xml:space="preserve">    Rotavirus</t>
  </si>
  <si>
    <t xml:space="preserve">    Polio</t>
  </si>
  <si>
    <t xml:space="preserve">    Diphtheria</t>
  </si>
  <si>
    <t xml:space="preserve">    Hepatitis_B</t>
  </si>
  <si>
    <t xml:space="preserve">    Tetanus</t>
  </si>
  <si>
    <t xml:space="preserve">    Rubella</t>
  </si>
  <si>
    <t>Base OOB</t>
  </si>
  <si>
    <t>Min Missed Doses OOB</t>
  </si>
  <si>
    <t>Base Model Initial</t>
  </si>
  <si>
    <t>Min Missed Initial</t>
  </si>
  <si>
    <t># Overlap</t>
  </si>
  <si>
    <t>Base</t>
  </si>
  <si>
    <t>OOB</t>
  </si>
  <si>
    <t>Initial</t>
  </si>
  <si>
    <t>Change</t>
  </si>
  <si>
    <t xml:space="preserve">    Sanofi</t>
  </si>
  <si>
    <t xml:space="preserve">    Pfizer</t>
  </si>
  <si>
    <t xml:space="preserve">    AJ_Vaccines</t>
  </si>
  <si>
    <t xml:space="preserve">    Serum_Institute</t>
  </si>
  <si>
    <t xml:space="preserve">    China_National</t>
  </si>
  <si>
    <t xml:space="preserve">    BB_NCIPD</t>
  </si>
  <si>
    <t xml:space="preserve">    Merck_Sharp</t>
  </si>
  <si>
    <t xml:space="preserve">    Bilthoven</t>
  </si>
  <si>
    <t xml:space="preserve">    Haffkine_Bio</t>
  </si>
  <si>
    <t xml:space="preserve">    Biological_E</t>
  </si>
  <si>
    <t xml:space="preserve">    LG_Chem</t>
  </si>
  <si>
    <t xml:space="preserve">    Panacea_Biotec</t>
  </si>
  <si>
    <t xml:space="preserve">    Bharat_Biotech</t>
  </si>
  <si>
    <t xml:space="preserve">    GSK</t>
  </si>
  <si>
    <t xml:space="preserve">    PT_Bio</t>
  </si>
  <si>
    <t>Min Missed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</si>
</sst>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0F55-DE9D-4DBA-BE9A-F800FA847FFC}">
  <dimension ref="B1:I6"/>
  <sheetViews>
    <sheetView workbookViewId="0">
      <selection activeCell="G3" sqref="G3:I6"/>
    </sheetView>
  </sheetViews>
  <sheetFormatPr defaultRowHeight="15"/>
  <cols>
    <col min="2" max="2" width="10.7109375" bestFit="1" customWidth="1"/>
    <col min="3" max="3" width="12" bestFit="1" customWidth="1"/>
    <col min="4" max="4" width="11.28515625" bestFit="1" customWidth="1"/>
    <col min="6" max="6" width="10.7109375" bestFit="1" customWidth="1"/>
    <col min="7" max="7" width="12" bestFit="1" customWidth="1"/>
    <col min="8" max="8" width="11.28515625" bestFit="1" customWidth="1"/>
  </cols>
  <sheetData>
    <row r="1" spans="2:9">
      <c r="C1" t="s">
        <v>5</v>
      </c>
      <c r="H1" t="s">
        <v>6</v>
      </c>
    </row>
    <row r="3" spans="2:9">
      <c r="B3" t="s">
        <v>0</v>
      </c>
      <c r="C3" t="s">
        <v>1</v>
      </c>
      <c r="D3" t="s">
        <v>2</v>
      </c>
      <c r="G3" t="s">
        <v>0</v>
      </c>
      <c r="H3" t="s">
        <v>1</v>
      </c>
      <c r="I3" t="s">
        <v>2</v>
      </c>
    </row>
    <row r="4" spans="2:9">
      <c r="B4" t="s">
        <v>4</v>
      </c>
      <c r="C4">
        <v>36</v>
      </c>
      <c r="D4">
        <v>36</v>
      </c>
      <c r="G4" t="s">
        <v>4</v>
      </c>
      <c r="H4">
        <v>58</v>
      </c>
      <c r="I4">
        <v>70</v>
      </c>
    </row>
    <row r="5" spans="2:9">
      <c r="B5" t="s">
        <v>3</v>
      </c>
      <c r="C5" s="1">
        <v>3.44</v>
      </c>
      <c r="D5" s="1">
        <v>3.44</v>
      </c>
      <c r="G5" t="s">
        <v>3</v>
      </c>
      <c r="H5" s="1">
        <v>2.79</v>
      </c>
      <c r="I5" s="1">
        <v>2.68</v>
      </c>
    </row>
    <row r="6" spans="2:9">
      <c r="B6" t="s">
        <v>23</v>
      </c>
      <c r="C6">
        <v>4</v>
      </c>
      <c r="D6">
        <v>4</v>
      </c>
      <c r="G6" t="s">
        <v>23</v>
      </c>
      <c r="H6">
        <v>42</v>
      </c>
      <c r="I6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5FE7-5F57-4E78-8B03-01A6ED6D26DD}">
  <dimension ref="B1:M15"/>
  <sheetViews>
    <sheetView workbookViewId="0">
      <selection activeCell="G14" sqref="G14"/>
    </sheetView>
  </sheetViews>
  <sheetFormatPr defaultRowHeight="15"/>
  <cols>
    <col min="2" max="2" width="12.85546875" bestFit="1" customWidth="1"/>
    <col min="3" max="3" width="17.85546875" bestFit="1" customWidth="1"/>
    <col min="5" max="5" width="12.85546875" bestFit="1" customWidth="1"/>
    <col min="6" max="6" width="12" bestFit="1" customWidth="1"/>
    <col min="9" max="10" width="12.85546875" bestFit="1" customWidth="1"/>
    <col min="11" max="11" width="12" bestFit="1" customWidth="1"/>
    <col min="12" max="12" width="12.85546875" bestFit="1" customWidth="1"/>
  </cols>
  <sheetData>
    <row r="1" spans="2:13">
      <c r="B1" t="s">
        <v>19</v>
      </c>
      <c r="E1" t="s">
        <v>20</v>
      </c>
      <c r="I1" t="s">
        <v>21</v>
      </c>
      <c r="L1" t="s">
        <v>22</v>
      </c>
    </row>
    <row r="2" spans="2:13">
      <c r="B2" s="1" t="s">
        <v>7</v>
      </c>
      <c r="C2">
        <v>801762.98100000003</v>
      </c>
      <c r="E2" s="1" t="s">
        <v>7</v>
      </c>
      <c r="F2">
        <v>801762.98100000003</v>
      </c>
      <c r="I2" s="1" t="s">
        <v>7</v>
      </c>
      <c r="J2">
        <v>62289.154912771599</v>
      </c>
      <c r="L2" s="1" t="s">
        <v>7</v>
      </c>
      <c r="M2">
        <v>50839.836691176897</v>
      </c>
    </row>
    <row r="3" spans="2:13">
      <c r="B3" s="1" t="s">
        <v>8</v>
      </c>
      <c r="C3">
        <v>397278.40620000003</v>
      </c>
      <c r="E3" s="1" t="s">
        <v>8</v>
      </c>
      <c r="F3">
        <v>414093.47779999999</v>
      </c>
      <c r="I3" s="1" t="s">
        <v>8</v>
      </c>
      <c r="J3">
        <v>47385.918475366998</v>
      </c>
      <c r="L3" s="1" t="s">
        <v>8</v>
      </c>
      <c r="M3">
        <v>39312.780208817203</v>
      </c>
    </row>
    <row r="4" spans="2:13">
      <c r="B4" s="1" t="s">
        <v>9</v>
      </c>
      <c r="C4">
        <v>16.489999999999998</v>
      </c>
      <c r="E4" s="1" t="s">
        <v>9</v>
      </c>
      <c r="F4">
        <v>16.489999999999998</v>
      </c>
      <c r="I4" s="1" t="s">
        <v>9</v>
      </c>
      <c r="J4">
        <v>0</v>
      </c>
      <c r="L4" s="1" t="s">
        <v>9</v>
      </c>
      <c r="M4">
        <v>0</v>
      </c>
    </row>
    <row r="5" spans="2:13">
      <c r="B5" s="1" t="s">
        <v>10</v>
      </c>
      <c r="C5">
        <v>1058.29279479262</v>
      </c>
      <c r="E5" s="1" t="s">
        <v>10</v>
      </c>
      <c r="F5">
        <v>0</v>
      </c>
      <c r="I5" s="1" t="s">
        <v>10</v>
      </c>
      <c r="J5">
        <v>702.27905895548997</v>
      </c>
      <c r="L5" s="1" t="s">
        <v>10</v>
      </c>
      <c r="M5">
        <v>0</v>
      </c>
    </row>
    <row r="6" spans="2:13">
      <c r="B6" s="1" t="s">
        <v>11</v>
      </c>
      <c r="C6">
        <v>0</v>
      </c>
      <c r="E6" s="1" t="s">
        <v>11</v>
      </c>
      <c r="F6">
        <v>0</v>
      </c>
      <c r="I6" s="1" t="s">
        <v>11</v>
      </c>
      <c r="J6">
        <v>0</v>
      </c>
      <c r="L6" s="1" t="s">
        <v>11</v>
      </c>
      <c r="M6">
        <v>0</v>
      </c>
    </row>
    <row r="7" spans="2:13">
      <c r="B7" s="1" t="s">
        <v>12</v>
      </c>
      <c r="C7">
        <v>0</v>
      </c>
      <c r="E7" s="1" t="s">
        <v>12</v>
      </c>
      <c r="F7">
        <v>0</v>
      </c>
      <c r="I7" s="1" t="s">
        <v>12</v>
      </c>
      <c r="J7">
        <v>0</v>
      </c>
      <c r="L7" s="1" t="s">
        <v>12</v>
      </c>
      <c r="M7">
        <v>0</v>
      </c>
    </row>
    <row r="8" spans="2:13">
      <c r="B8" s="1" t="s">
        <v>13</v>
      </c>
      <c r="C8">
        <v>946783.47630688699</v>
      </c>
      <c r="E8" s="1" t="s">
        <v>13</v>
      </c>
      <c r="F8">
        <v>957226.07630688697</v>
      </c>
      <c r="I8" s="1" t="s">
        <v>13</v>
      </c>
      <c r="J8">
        <v>84628.729021002699</v>
      </c>
      <c r="L8" s="1" t="s">
        <v>13</v>
      </c>
      <c r="M8">
        <v>42809.277344118498</v>
      </c>
    </row>
    <row r="9" spans="2:13">
      <c r="B9" s="1" t="s">
        <v>14</v>
      </c>
      <c r="C9">
        <v>1248439.0257550101</v>
      </c>
      <c r="E9" s="1" t="s">
        <v>14</v>
      </c>
      <c r="F9">
        <v>1248439.0257550101</v>
      </c>
      <c r="I9" s="1" t="s">
        <v>14</v>
      </c>
      <c r="J9">
        <v>36395.419603725597</v>
      </c>
      <c r="L9" s="1" t="s">
        <v>14</v>
      </c>
      <c r="M9">
        <v>80662.719833115203</v>
      </c>
    </row>
    <row r="10" spans="2:13">
      <c r="B10" s="1" t="s">
        <v>15</v>
      </c>
      <c r="C10">
        <v>997054.44180000003</v>
      </c>
      <c r="E10" s="1" t="s">
        <v>15</v>
      </c>
      <c r="F10">
        <v>975514.02500000002</v>
      </c>
      <c r="I10" s="1" t="s">
        <v>15</v>
      </c>
      <c r="J10">
        <v>107854.576670084</v>
      </c>
      <c r="L10" s="1" t="s">
        <v>15</v>
      </c>
      <c r="M10">
        <v>108262.431648193</v>
      </c>
    </row>
    <row r="11" spans="2:13">
      <c r="B11" s="1" t="s">
        <v>16</v>
      </c>
      <c r="C11" s="2">
        <v>1.5497207641600401E-14</v>
      </c>
      <c r="E11" s="1" t="s">
        <v>16</v>
      </c>
      <c r="F11">
        <v>0</v>
      </c>
      <c r="I11" s="1" t="s">
        <v>16</v>
      </c>
      <c r="J11">
        <v>3.4302622165506902</v>
      </c>
      <c r="L11" s="1" t="s">
        <v>16</v>
      </c>
      <c r="M11">
        <v>0</v>
      </c>
    </row>
    <row r="12" spans="2:13">
      <c r="B12" s="1" t="s">
        <v>17</v>
      </c>
      <c r="C12">
        <v>60238.5622</v>
      </c>
      <c r="E12" s="1" t="s">
        <v>17</v>
      </c>
      <c r="F12">
        <v>47868.054400000001</v>
      </c>
      <c r="I12" s="1" t="s">
        <v>17</v>
      </c>
      <c r="J12">
        <v>2123.0121353003501</v>
      </c>
      <c r="L12" s="1" t="s">
        <v>17</v>
      </c>
      <c r="M12">
        <v>1614.30935376403</v>
      </c>
    </row>
    <row r="13" spans="2:13">
      <c r="B13" s="1" t="s">
        <v>18</v>
      </c>
      <c r="C13">
        <v>122671.1952</v>
      </c>
      <c r="E13" s="1" t="s">
        <v>18</v>
      </c>
      <c r="F13">
        <v>139540.06520000001</v>
      </c>
      <c r="I13" s="1" t="s">
        <v>18</v>
      </c>
      <c r="J13">
        <v>1529.6676583886201</v>
      </c>
      <c r="L13" s="1" t="s">
        <v>18</v>
      </c>
      <c r="M13">
        <v>1566.6119153295799</v>
      </c>
    </row>
    <row r="14" spans="2:13">
      <c r="B14" s="1"/>
    </row>
    <row r="15" spans="2:13">
      <c r="B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ACA0-E6D7-4D73-AC73-E1C0CF102BBF}">
  <dimension ref="B1:L17"/>
  <sheetViews>
    <sheetView tabSelected="1" workbookViewId="0">
      <selection activeCell="M13" sqref="M13"/>
    </sheetView>
  </sheetViews>
  <sheetFormatPr defaultRowHeight="15"/>
  <sheetData>
    <row r="1" spans="2:12">
      <c r="C1" t="s">
        <v>24</v>
      </c>
      <c r="I1" t="s">
        <v>43</v>
      </c>
    </row>
    <row r="2" spans="2:12">
      <c r="C2" t="s">
        <v>26</v>
      </c>
      <c r="D2" t="s">
        <v>25</v>
      </c>
      <c r="E2" t="s">
        <v>27</v>
      </c>
      <c r="J2" t="s">
        <v>26</v>
      </c>
      <c r="K2" t="s">
        <v>25</v>
      </c>
      <c r="L2" t="s">
        <v>27</v>
      </c>
    </row>
    <row r="3" spans="2:12">
      <c r="B3" t="s">
        <v>28</v>
      </c>
      <c r="C3">
        <v>80</v>
      </c>
      <c r="D3">
        <v>90</v>
      </c>
      <c r="E3" s="1">
        <f>D3-C3</f>
        <v>10</v>
      </c>
      <c r="I3" s="1" t="s">
        <v>28</v>
      </c>
      <c r="J3">
        <v>100</v>
      </c>
      <c r="K3">
        <v>90</v>
      </c>
      <c r="L3" s="1">
        <f>K3-J3</f>
        <v>-10</v>
      </c>
    </row>
    <row r="4" spans="2:12">
      <c r="B4" t="s">
        <v>29</v>
      </c>
      <c r="C4">
        <v>30</v>
      </c>
      <c r="D4">
        <v>30</v>
      </c>
      <c r="E4" s="1">
        <f>D4-C4</f>
        <v>0</v>
      </c>
      <c r="I4" s="1" t="s">
        <v>29</v>
      </c>
      <c r="J4">
        <v>50</v>
      </c>
      <c r="K4">
        <v>70</v>
      </c>
      <c r="L4" s="1">
        <f t="shared" ref="L4:L17" si="0">K4-J4</f>
        <v>20</v>
      </c>
    </row>
    <row r="5" spans="2:12">
      <c r="B5" t="s">
        <v>30</v>
      </c>
      <c r="C5">
        <v>0</v>
      </c>
      <c r="D5">
        <v>0</v>
      </c>
      <c r="E5" s="1">
        <f>D5-C5</f>
        <v>0</v>
      </c>
      <c r="I5" s="1" t="s">
        <v>30</v>
      </c>
      <c r="J5">
        <v>50</v>
      </c>
      <c r="K5">
        <v>60</v>
      </c>
      <c r="L5" s="1">
        <f t="shared" si="0"/>
        <v>10</v>
      </c>
    </row>
    <row r="6" spans="2:12">
      <c r="B6" t="s">
        <v>31</v>
      </c>
      <c r="C6">
        <v>100</v>
      </c>
      <c r="D6">
        <v>100</v>
      </c>
      <c r="E6" s="1">
        <f>D6-C6</f>
        <v>0</v>
      </c>
      <c r="I6" s="1" t="s">
        <v>31</v>
      </c>
      <c r="J6">
        <v>100</v>
      </c>
      <c r="K6">
        <v>100</v>
      </c>
      <c r="L6" s="1">
        <f t="shared" si="0"/>
        <v>0</v>
      </c>
    </row>
    <row r="7" spans="2:12">
      <c r="B7" t="s">
        <v>32</v>
      </c>
      <c r="C7">
        <v>0</v>
      </c>
      <c r="D7">
        <v>20</v>
      </c>
      <c r="E7" s="1">
        <f>D7-C7</f>
        <v>20</v>
      </c>
      <c r="I7" s="1" t="s">
        <v>32</v>
      </c>
      <c r="J7">
        <v>100</v>
      </c>
      <c r="K7">
        <v>80</v>
      </c>
      <c r="L7" s="1">
        <f t="shared" si="0"/>
        <v>-20</v>
      </c>
    </row>
    <row r="8" spans="2:12">
      <c r="B8" t="s">
        <v>33</v>
      </c>
      <c r="C8">
        <v>50</v>
      </c>
      <c r="D8">
        <v>80</v>
      </c>
      <c r="E8" s="1">
        <f>D8-C8</f>
        <v>30</v>
      </c>
      <c r="I8" s="1" t="s">
        <v>33</v>
      </c>
      <c r="J8">
        <v>100</v>
      </c>
      <c r="K8">
        <v>90</v>
      </c>
      <c r="L8" s="1">
        <f t="shared" si="0"/>
        <v>-10</v>
      </c>
    </row>
    <row r="9" spans="2:12">
      <c r="B9" t="s">
        <v>34</v>
      </c>
      <c r="C9">
        <v>0</v>
      </c>
      <c r="D9">
        <v>0</v>
      </c>
      <c r="E9" s="1">
        <f>D9-C9</f>
        <v>0</v>
      </c>
      <c r="I9" s="1" t="s">
        <v>34</v>
      </c>
      <c r="J9">
        <v>10</v>
      </c>
      <c r="K9">
        <v>30</v>
      </c>
      <c r="L9" s="1">
        <f t="shared" si="0"/>
        <v>20</v>
      </c>
    </row>
    <row r="10" spans="2:12">
      <c r="B10" t="s">
        <v>35</v>
      </c>
      <c r="C10">
        <v>0</v>
      </c>
      <c r="D10">
        <v>0</v>
      </c>
      <c r="E10" s="1">
        <f>D10-C10</f>
        <v>0</v>
      </c>
      <c r="I10" s="1" t="s">
        <v>35</v>
      </c>
      <c r="J10">
        <v>40</v>
      </c>
      <c r="K10">
        <v>90</v>
      </c>
      <c r="L10" s="1">
        <f t="shared" si="0"/>
        <v>50</v>
      </c>
    </row>
    <row r="11" spans="2:12">
      <c r="B11" t="s">
        <v>36</v>
      </c>
      <c r="C11">
        <v>0</v>
      </c>
      <c r="D11">
        <v>30</v>
      </c>
      <c r="E11" s="1">
        <f>D11-C11</f>
        <v>30</v>
      </c>
      <c r="I11" s="1" t="s">
        <v>36</v>
      </c>
      <c r="J11">
        <v>50</v>
      </c>
      <c r="K11">
        <v>40</v>
      </c>
      <c r="L11" s="1">
        <f t="shared" si="0"/>
        <v>-10</v>
      </c>
    </row>
    <row r="12" spans="2:12">
      <c r="B12" t="s">
        <v>37</v>
      </c>
      <c r="C12">
        <v>80</v>
      </c>
      <c r="D12">
        <v>100</v>
      </c>
      <c r="E12" s="1">
        <f>D12-C12</f>
        <v>20</v>
      </c>
      <c r="I12" s="1" t="s">
        <v>37</v>
      </c>
      <c r="J12">
        <v>100</v>
      </c>
      <c r="K12">
        <v>100</v>
      </c>
      <c r="L12" s="1">
        <f t="shared" si="0"/>
        <v>0</v>
      </c>
    </row>
    <row r="13" spans="2:12">
      <c r="B13" t="s">
        <v>38</v>
      </c>
      <c r="C13">
        <v>60</v>
      </c>
      <c r="D13">
        <v>80</v>
      </c>
      <c r="E13" s="1">
        <f>D13-C13</f>
        <v>20</v>
      </c>
      <c r="I13" s="1" t="s">
        <v>38</v>
      </c>
      <c r="J13">
        <v>100</v>
      </c>
      <c r="K13">
        <v>80</v>
      </c>
      <c r="L13" s="1">
        <f t="shared" si="0"/>
        <v>-20</v>
      </c>
    </row>
    <row r="14" spans="2:12">
      <c r="B14" t="s">
        <v>39</v>
      </c>
      <c r="C14">
        <v>0</v>
      </c>
      <c r="D14">
        <v>50</v>
      </c>
      <c r="E14" s="1">
        <f>D14-C14</f>
        <v>50</v>
      </c>
      <c r="I14" s="1" t="s">
        <v>39</v>
      </c>
      <c r="J14">
        <v>100</v>
      </c>
      <c r="K14">
        <v>90</v>
      </c>
      <c r="L14" s="1">
        <f t="shared" si="0"/>
        <v>-10</v>
      </c>
    </row>
    <row r="15" spans="2:12">
      <c r="B15" t="s">
        <v>40</v>
      </c>
      <c r="C15">
        <v>60</v>
      </c>
      <c r="D15">
        <v>80</v>
      </c>
      <c r="E15" s="1">
        <f>D15-C15</f>
        <v>20</v>
      </c>
      <c r="I15" s="1" t="s">
        <v>40</v>
      </c>
      <c r="J15">
        <v>100</v>
      </c>
      <c r="K15">
        <v>100</v>
      </c>
      <c r="L15" s="1">
        <f t="shared" si="0"/>
        <v>0</v>
      </c>
    </row>
    <row r="16" spans="2:12">
      <c r="B16" t="s">
        <v>41</v>
      </c>
      <c r="C16">
        <v>90</v>
      </c>
      <c r="D16">
        <v>100</v>
      </c>
      <c r="E16" s="1">
        <f>D16-C16</f>
        <v>10</v>
      </c>
      <c r="I16" s="1" t="s">
        <v>41</v>
      </c>
      <c r="J16">
        <v>100</v>
      </c>
      <c r="K16">
        <v>100</v>
      </c>
      <c r="L16" s="1">
        <f t="shared" si="0"/>
        <v>0</v>
      </c>
    </row>
    <row r="17" spans="2:12">
      <c r="B17" t="s">
        <v>42</v>
      </c>
      <c r="C17">
        <v>60</v>
      </c>
      <c r="D17">
        <v>90</v>
      </c>
      <c r="E17" s="1">
        <f>D17-C17</f>
        <v>30</v>
      </c>
      <c r="I17" s="1" t="s">
        <v>42</v>
      </c>
      <c r="J17">
        <v>100</v>
      </c>
      <c r="K17">
        <v>90</v>
      </c>
      <c r="L17" s="1">
        <f t="shared" si="0"/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Tender data</vt:lpstr>
      <vt:lpstr>AVG Missed doses</vt:lpstr>
      <vt:lpstr>Capacity Increase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2024-11-11T18:39:58Z</dcterms:created>
  <dcterms:modified xsi:type="dcterms:W3CDTF">2024-11-11T21:08:46Z</dcterms:modified>
</cp:coreProperties>
</file>