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Capacity increase/sensitivity_and_comparison/base model/"/>
    </mc:Choice>
  </mc:AlternateContent>
  <xr:revisionPtr revIDLastSave="1" documentId="8_{1963BF53-1A02-45C9-93DD-0AFDB44E49B5}" xr6:coauthVersionLast="47" xr6:coauthVersionMax="47" xr10:uidLastSave="{9F495405-66CA-42E4-BA86-1916D73DB7F5}"/>
  <bookViews>
    <workbookView xWindow="-120" yWindow="-120" windowWidth="20730" windowHeight="11040" xr2:uid="{3B3BC660-8798-403C-B571-588C0DB05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3" i="1"/>
  <c r="F3" i="1"/>
  <c r="C20" i="1"/>
  <c r="L10" i="1"/>
  <c r="I13" i="1"/>
  <c r="I11" i="1"/>
  <c r="F10" i="1"/>
  <c r="C3" i="1"/>
  <c r="C11" i="1"/>
</calcChain>
</file>

<file path=xl/sharedStrings.xml><?xml version="1.0" encoding="utf-8"?>
<sst xmlns="http://schemas.openxmlformats.org/spreadsheetml/2006/main" count="48" uniqueCount="36">
  <si>
    <t>PCV</t>
  </si>
  <si>
    <t>year 5</t>
  </si>
  <si>
    <t>cost</t>
  </si>
  <si>
    <t>multiplied</t>
  </si>
  <si>
    <t>holding cost</t>
  </si>
  <si>
    <t>OBJ</t>
  </si>
  <si>
    <t>Calcs</t>
  </si>
  <si>
    <t>scaled</t>
  </si>
  <si>
    <t>Holding Cost Check</t>
  </si>
  <si>
    <t xml:space="preserve"> </t>
  </si>
  <si>
    <t>Vax purchase check</t>
  </si>
  <si>
    <t>scenario 5, year 5</t>
  </si>
  <si>
    <t>Cost</t>
  </si>
  <si>
    <t>Multiplied</t>
  </si>
  <si>
    <t>Purchases, Pfizer</t>
  </si>
  <si>
    <t>Holding cost check</t>
  </si>
  <si>
    <t>AVG cost, julia</t>
  </si>
  <si>
    <t>AVG cost, python</t>
  </si>
  <si>
    <t>Holding cost</t>
  </si>
  <si>
    <t>divided by delta[t]</t>
  </si>
  <si>
    <t>delta[5]</t>
  </si>
  <si>
    <t>capacity extension</t>
  </si>
  <si>
    <t>Sanofi</t>
  </si>
  <si>
    <t>delta</t>
  </si>
  <si>
    <t>Missed dose check</t>
  </si>
  <si>
    <t>doses</t>
  </si>
  <si>
    <t>delta[8]</t>
  </si>
  <si>
    <t>beta[8]</t>
  </si>
  <si>
    <t>Measles, year 8, scenario 5</t>
  </si>
  <si>
    <t>Tender cost check</t>
  </si>
  <si>
    <t>tender cost</t>
  </si>
  <si>
    <t>tender (4,8)</t>
  </si>
  <si>
    <t>tender(9.10)</t>
  </si>
  <si>
    <t>delta[4]</t>
  </si>
  <si>
    <t>delta[9]</t>
  </si>
  <si>
    <t>mult/summed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</si>
</sst>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" xfId="0" applyFill="1" applyBorder="1"/>
    <xf numFmtId="11" fontId="0" fillId="3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11" fontId="0" fillId="3" borderId="6" xfId="0" applyNumberFormat="1" applyFill="1" applyBorder="1"/>
    <xf numFmtId="2" fontId="0" fillId="0" borderId="0" xfId="0" applyNumberFormat="1"/>
    <xf numFmtId="2" fontId="0" fillId="2" borderId="6" xfId="0" applyNumberFormat="1" applyFill="1" applyBorder="1"/>
    <xf numFmtId="164" fontId="0" fillId="2" borderId="3" xfId="0" applyNumberFormat="1" applyFill="1" applyBorder="1"/>
    <xf numFmtId="2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CD5A-0614-4E6F-B6C0-A9492DE546FD}">
  <dimension ref="B1:L22"/>
  <sheetViews>
    <sheetView tabSelected="1" workbookViewId="0">
      <selection activeCell="F23" sqref="F23"/>
    </sheetView>
  </sheetViews>
  <sheetFormatPr defaultRowHeight="15" x14ac:dyDescent="0.25"/>
  <cols>
    <col min="2" max="2" width="25" bestFit="1" customWidth="1"/>
    <col min="5" max="5" width="18.7109375" bestFit="1" customWidth="1"/>
    <col min="6" max="6" width="9.5703125" bestFit="1" customWidth="1"/>
    <col min="8" max="8" width="17.85546875" bestFit="1" customWidth="1"/>
    <col min="9" max="9" width="12" bestFit="1" customWidth="1"/>
    <col min="11" max="11" width="17.5703125" bestFit="1" customWidth="1"/>
  </cols>
  <sheetData>
    <row r="1" spans="2:12" x14ac:dyDescent="0.25">
      <c r="B1" s="8" t="s">
        <v>5</v>
      </c>
      <c r="C1" s="9">
        <v>58933541.453422502</v>
      </c>
      <c r="E1" s="8" t="s">
        <v>5</v>
      </c>
      <c r="F1" s="1">
        <v>152932095.09689999</v>
      </c>
      <c r="G1" s="1"/>
    </row>
    <row r="2" spans="2:12" x14ac:dyDescent="0.25">
      <c r="B2" s="10" t="s">
        <v>6</v>
      </c>
      <c r="C2" s="11">
        <v>534270095809.68201</v>
      </c>
      <c r="E2" s="10" t="s">
        <v>6</v>
      </c>
      <c r="F2" s="11">
        <v>1204737081332.46</v>
      </c>
    </row>
    <row r="3" spans="2:12" ht="15.75" thickBot="1" x14ac:dyDescent="0.3">
      <c r="B3" s="12" t="s">
        <v>7</v>
      </c>
      <c r="C3" s="13">
        <f>C2/1000</f>
        <v>534270095.80968201</v>
      </c>
      <c r="E3" s="12" t="s">
        <v>7</v>
      </c>
      <c r="F3" s="13">
        <f>F2/1000</f>
        <v>1204737081.3324599</v>
      </c>
      <c r="G3" s="1">
        <f>F3-F1</f>
        <v>1051804986.2355599</v>
      </c>
    </row>
    <row r="4" spans="2:12" ht="15.75" thickBot="1" x14ac:dyDescent="0.3"/>
    <row r="5" spans="2:12" x14ac:dyDescent="0.25">
      <c r="B5" s="2" t="s">
        <v>8</v>
      </c>
      <c r="C5" s="3"/>
      <c r="E5" s="2" t="s">
        <v>10</v>
      </c>
      <c r="F5" s="3"/>
      <c r="H5" s="2" t="s">
        <v>15</v>
      </c>
      <c r="I5" s="3" t="s">
        <v>9</v>
      </c>
      <c r="K5" s="2" t="s">
        <v>21</v>
      </c>
      <c r="L5" s="3"/>
    </row>
    <row r="6" spans="2:12" x14ac:dyDescent="0.25">
      <c r="B6" s="4" t="s">
        <v>0</v>
      </c>
      <c r="C6" s="5"/>
      <c r="E6" s="4" t="s">
        <v>0</v>
      </c>
      <c r="F6" s="5"/>
      <c r="H6" s="4" t="s">
        <v>0</v>
      </c>
      <c r="I6" s="5"/>
      <c r="K6" s="4" t="s">
        <v>22</v>
      </c>
      <c r="L6" s="5"/>
    </row>
    <row r="7" spans="2:12" x14ac:dyDescent="0.25">
      <c r="B7" s="4" t="s">
        <v>1</v>
      </c>
      <c r="C7" s="5">
        <v>141184.99999999799</v>
      </c>
      <c r="E7" s="4" t="s">
        <v>11</v>
      </c>
      <c r="F7" s="5"/>
      <c r="H7" s="4" t="s">
        <v>18</v>
      </c>
      <c r="I7" s="5">
        <v>0.01</v>
      </c>
      <c r="K7" s="4" t="s">
        <v>1</v>
      </c>
      <c r="L7" s="5">
        <v>2</v>
      </c>
    </row>
    <row r="8" spans="2:12" x14ac:dyDescent="0.25">
      <c r="B8" s="4" t="s">
        <v>2</v>
      </c>
      <c r="C8" s="5">
        <v>2.7479166666666601</v>
      </c>
      <c r="E8" s="4" t="s">
        <v>14</v>
      </c>
      <c r="F8" s="5">
        <v>83917</v>
      </c>
      <c r="H8" s="4" t="s">
        <v>11</v>
      </c>
      <c r="I8" s="5">
        <v>420678.156557868</v>
      </c>
      <c r="K8" s="4" t="s">
        <v>2</v>
      </c>
      <c r="L8" s="5">
        <v>100000</v>
      </c>
    </row>
    <row r="9" spans="2:12" x14ac:dyDescent="0.25">
      <c r="B9" s="4" t="s">
        <v>4</v>
      </c>
      <c r="C9" s="5">
        <v>0.01</v>
      </c>
      <c r="E9" s="4" t="s">
        <v>12</v>
      </c>
      <c r="F9" s="5">
        <v>3.0437500000000002</v>
      </c>
      <c r="G9" s="14"/>
      <c r="H9" s="16" t="s">
        <v>16</v>
      </c>
      <c r="I9" s="5">
        <v>2.7479166666666601</v>
      </c>
      <c r="K9" s="4" t="s">
        <v>23</v>
      </c>
      <c r="L9" s="5">
        <v>1.1592740743000001</v>
      </c>
    </row>
    <row r="10" spans="2:12" ht="15.75" thickBot="1" x14ac:dyDescent="0.3">
      <c r="B10" s="4"/>
      <c r="C10" s="5"/>
      <c r="E10" s="6" t="s">
        <v>13</v>
      </c>
      <c r="F10" s="15">
        <f>F9*F8</f>
        <v>255422.36875000002</v>
      </c>
      <c r="H10" s="17" t="s">
        <v>17</v>
      </c>
      <c r="I10" s="5">
        <v>2.7479166666666601</v>
      </c>
      <c r="K10" s="6" t="s">
        <v>3</v>
      </c>
      <c r="L10" s="7">
        <f>L7*L8/L9</f>
        <v>172521.75687683278</v>
      </c>
    </row>
    <row r="11" spans="2:12" ht="15.75" thickBot="1" x14ac:dyDescent="0.3">
      <c r="B11" s="6" t="s">
        <v>3</v>
      </c>
      <c r="C11" s="7">
        <f>C8*C7*C9</f>
        <v>3879.6461458332692</v>
      </c>
      <c r="H11" s="4" t="s">
        <v>3</v>
      </c>
      <c r="I11" s="5">
        <f>I8*I9*I7</f>
        <v>11559.885177079721</v>
      </c>
    </row>
    <row r="12" spans="2:12" x14ac:dyDescent="0.25">
      <c r="H12" s="4" t="s">
        <v>20</v>
      </c>
      <c r="I12" s="5">
        <v>1.1592740743000001</v>
      </c>
    </row>
    <row r="13" spans="2:12" ht="15.75" thickBot="1" x14ac:dyDescent="0.3">
      <c r="H13" s="6" t="s">
        <v>19</v>
      </c>
      <c r="I13" s="7">
        <f>I11/I12</f>
        <v>9971.6585002212541</v>
      </c>
    </row>
    <row r="14" spans="2:12" ht="15.75" thickBot="1" x14ac:dyDescent="0.3"/>
    <row r="15" spans="2:12" x14ac:dyDescent="0.25">
      <c r="B15" s="2" t="s">
        <v>24</v>
      </c>
      <c r="C15" s="3"/>
      <c r="E15" s="2" t="s">
        <v>29</v>
      </c>
      <c r="F15" s="3"/>
    </row>
    <row r="16" spans="2:12" x14ac:dyDescent="0.25">
      <c r="B16" s="4" t="s">
        <v>28</v>
      </c>
      <c r="C16" s="5"/>
      <c r="E16" s="4" t="s">
        <v>0</v>
      </c>
      <c r="F16" s="5"/>
    </row>
    <row r="17" spans="2:6" x14ac:dyDescent="0.25">
      <c r="B17" s="4" t="s">
        <v>25</v>
      </c>
      <c r="C17" s="5">
        <v>1037493</v>
      </c>
      <c r="E17" s="4" t="s">
        <v>30</v>
      </c>
      <c r="F17" s="5">
        <v>100000</v>
      </c>
    </row>
    <row r="18" spans="2:6" x14ac:dyDescent="0.25">
      <c r="B18" s="4" t="s">
        <v>27</v>
      </c>
      <c r="C18" s="5">
        <v>10</v>
      </c>
      <c r="E18" s="4" t="s">
        <v>31</v>
      </c>
      <c r="F18" s="5">
        <v>1</v>
      </c>
    </row>
    <row r="19" spans="2:6" x14ac:dyDescent="0.25">
      <c r="B19" s="4" t="s">
        <v>26</v>
      </c>
      <c r="C19" s="5">
        <v>1.2667700813876099</v>
      </c>
      <c r="E19" s="4" t="s">
        <v>32</v>
      </c>
      <c r="F19" s="5">
        <v>1</v>
      </c>
    </row>
    <row r="20" spans="2:6" ht="15.75" thickBot="1" x14ac:dyDescent="0.3">
      <c r="B20" s="6" t="s">
        <v>3</v>
      </c>
      <c r="C20" s="7">
        <f>C17*C18/C19</f>
        <v>8190065.5473607201</v>
      </c>
      <c r="E20" s="4" t="s">
        <v>33</v>
      </c>
      <c r="F20" s="5">
        <v>1.1255088099999999</v>
      </c>
    </row>
    <row r="21" spans="2:6" x14ac:dyDescent="0.25">
      <c r="E21" s="4" t="s">
        <v>34</v>
      </c>
      <c r="F21" s="5">
        <v>1.30477318382924</v>
      </c>
    </row>
    <row r="22" spans="2:6" ht="15.75" thickBot="1" x14ac:dyDescent="0.3">
      <c r="E22" s="6" t="s">
        <v>35</v>
      </c>
      <c r="F22" s="7">
        <f>((F17*F18)/F20) + ((F17*F19)/F21)</f>
        <v>165490.37802593186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2024-12-04T20:02:29Z</dcterms:created>
  <dcterms:modified xsi:type="dcterms:W3CDTF">2025-01-15T21:10:50Z</dcterms:modified>
</cp:coreProperties>
</file>