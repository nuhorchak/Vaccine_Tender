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15 years - Initial Condition sensitivity/starts/"/>
    </mc:Choice>
  </mc:AlternateContent>
  <xr:revisionPtr revIDLastSave="563" documentId="13_ncr:1_{30A8FEE2-BE8F-4FE6-A73D-C8D61511F8D2}" xr6:coauthVersionLast="47" xr6:coauthVersionMax="47" xr10:uidLastSave="{40B5B69B-3E62-40D6-916B-8A4FB536AB38}"/>
  <bookViews>
    <workbookView xWindow="13550" yWindow="-110" windowWidth="38620" windowHeight="21100" activeTab="4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  <sheet name="Medium_Capacity" sheetId="6" r:id="rId5"/>
  </sheets>
  <definedNames>
    <definedName name="_xlnm._FilterDatabase" localSheetId="2" hidden="1">I_start!#REF!</definedName>
    <definedName name="_xlnm._FilterDatabase" localSheetId="4" hidden="1">Medium_Capacity!$A$2:$P$18</definedName>
    <definedName name="_xlnm._FilterDatabase" localSheetId="1" hidden="1">Q_start!$A$1:$S$53</definedName>
    <definedName name="GAVI_countri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2" i="6"/>
  <c r="B20" i="6"/>
  <c r="K2" i="6"/>
  <c r="J2" i="6"/>
  <c r="E7" i="6"/>
  <c r="E13" i="6"/>
  <c r="E14" i="6"/>
  <c r="E15" i="6"/>
  <c r="E16" i="6"/>
  <c r="E2" i="6"/>
  <c r="E17" i="6"/>
  <c r="B3" i="5"/>
  <c r="B4" i="5"/>
  <c r="B5" i="5"/>
  <c r="B6" i="5"/>
  <c r="B7" i="5"/>
  <c r="B8" i="5"/>
  <c r="B9" i="5"/>
  <c r="B10" i="5"/>
  <c r="B11" i="5"/>
  <c r="B12" i="5"/>
  <c r="B13" i="5"/>
  <c r="B2" i="5"/>
  <c r="C2" i="4"/>
  <c r="B2" i="4" s="1"/>
  <c r="G7" i="3"/>
  <c r="G4" i="3"/>
  <c r="G18" i="3"/>
  <c r="G13" i="3"/>
  <c r="G2" i="3"/>
  <c r="G3" i="3"/>
  <c r="G5" i="3"/>
  <c r="G6" i="3"/>
  <c r="G8" i="3"/>
  <c r="G9" i="3"/>
  <c r="G10" i="3"/>
  <c r="G11" i="3"/>
  <c r="G12" i="3"/>
  <c r="G14" i="3"/>
  <c r="G15" i="3"/>
  <c r="G16" i="3"/>
  <c r="G17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J9" i="6"/>
  <c r="K52" i="6"/>
  <c r="J52" i="6"/>
  <c r="F52" i="3" s="1"/>
  <c r="E52" i="3" s="1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F35" i="3" s="1"/>
  <c r="E35" i="3" s="1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F26" i="3" s="1"/>
  <c r="E26" i="3" s="1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F19" i="3" s="1"/>
  <c r="E19" i="3" s="1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K8" i="6"/>
  <c r="J8" i="6"/>
  <c r="K7" i="6"/>
  <c r="J7" i="6"/>
  <c r="K6" i="6"/>
  <c r="J6" i="6"/>
  <c r="K5" i="6"/>
  <c r="J5" i="6"/>
  <c r="K4" i="6"/>
  <c r="J4" i="6"/>
  <c r="K3" i="6"/>
  <c r="J3" i="6"/>
  <c r="F3" i="3" s="1"/>
  <c r="E3" i="3" s="1"/>
  <c r="E3" i="6"/>
  <c r="E4" i="6"/>
  <c r="E5" i="6"/>
  <c r="E6" i="6"/>
  <c r="E8" i="6"/>
  <c r="E9" i="6"/>
  <c r="E10" i="6"/>
  <c r="E11" i="6"/>
  <c r="E12" i="6"/>
  <c r="E18" i="6"/>
  <c r="C3" i="4"/>
  <c r="B3" i="4" s="1"/>
  <c r="C4" i="4"/>
  <c r="B4" i="4" s="1"/>
  <c r="C5" i="4"/>
  <c r="B5" i="4" s="1"/>
  <c r="C6" i="4"/>
  <c r="B6" i="4" s="1"/>
  <c r="C7" i="4"/>
  <c r="B7" i="4" s="1"/>
  <c r="C8" i="4"/>
  <c r="B8" i="4" s="1"/>
  <c r="C9" i="4"/>
  <c r="B9" i="4" s="1"/>
  <c r="C10" i="4"/>
  <c r="B10" i="4" s="1"/>
  <c r="C11" i="4"/>
  <c r="B11" i="4" s="1"/>
  <c r="C12" i="4"/>
  <c r="B12" i="4" s="1"/>
  <c r="C13" i="4"/>
  <c r="B13" i="4" s="1"/>
  <c r="C14" i="4"/>
  <c r="B14" i="4" s="1"/>
  <c r="C15" i="4"/>
  <c r="B15" i="4" s="1"/>
  <c r="C16" i="4"/>
  <c r="B16" i="4" s="1"/>
  <c r="C17" i="4"/>
  <c r="B17" i="4" s="1"/>
  <c r="C18" i="4"/>
  <c r="B18" i="4" s="1"/>
  <c r="F9" i="3" l="1"/>
  <c r="E9" i="3" s="1"/>
  <c r="F18" i="3"/>
  <c r="E18" i="3" s="1"/>
  <c r="D2" i="6" s="1"/>
  <c r="F2" i="6" s="1"/>
  <c r="F43" i="3"/>
  <c r="E43" i="3" s="1"/>
  <c r="F21" i="3"/>
  <c r="E21" i="3" s="1"/>
  <c r="F51" i="3"/>
  <c r="E51" i="3" s="1"/>
  <c r="F33" i="3"/>
  <c r="E33" i="3" s="1"/>
  <c r="F49" i="3"/>
  <c r="E49" i="3" s="1"/>
  <c r="F28" i="3"/>
  <c r="E28" i="3" s="1"/>
  <c r="F27" i="3"/>
  <c r="E27" i="3" s="1"/>
  <c r="D5" i="6" s="1"/>
  <c r="F5" i="6" s="1"/>
  <c r="F20" i="3"/>
  <c r="E20" i="3" s="1"/>
  <c r="F11" i="3"/>
  <c r="E11" i="3" s="1"/>
  <c r="F36" i="3"/>
  <c r="E36" i="3" s="1"/>
  <c r="F23" i="3"/>
  <c r="E23" i="3" s="1"/>
  <c r="F44" i="3"/>
  <c r="E44" i="3" s="1"/>
  <c r="D10" i="6"/>
  <c r="F10" i="6" s="1"/>
  <c r="D4" i="6"/>
  <c r="F4" i="6" s="1"/>
  <c r="D6" i="6"/>
  <c r="F6" i="6" s="1"/>
  <c r="D14" i="6"/>
  <c r="F14" i="6" s="1"/>
  <c r="F41" i="3"/>
  <c r="E41" i="3" s="1"/>
  <c r="F34" i="3"/>
  <c r="E34" i="3" s="1"/>
  <c r="F10" i="3"/>
  <c r="E10" i="3" s="1"/>
  <c r="F42" i="3"/>
  <c r="E42" i="3" s="1"/>
  <c r="F50" i="3"/>
  <c r="E50" i="3" s="1"/>
  <c r="F25" i="3"/>
  <c r="E25" i="3" s="1"/>
  <c r="F2" i="3"/>
  <c r="E2" i="3" s="1"/>
  <c r="F17" i="3"/>
  <c r="E17" i="3" s="1"/>
  <c r="F37" i="3"/>
  <c r="E37" i="3" s="1"/>
  <c r="F12" i="3"/>
  <c r="E12" i="3" s="1"/>
  <c r="F13" i="3"/>
  <c r="E13" i="3" s="1"/>
  <c r="D11" i="6" s="1"/>
  <c r="F11" i="6" s="1"/>
  <c r="F7" i="3"/>
  <c r="F5" i="3"/>
  <c r="E5" i="3" s="1"/>
  <c r="F4" i="3"/>
  <c r="E4" i="3" s="1"/>
  <c r="F29" i="3"/>
  <c r="E29" i="3" s="1"/>
  <c r="F39" i="3"/>
  <c r="E39" i="3" s="1"/>
  <c r="F45" i="3"/>
  <c r="E45" i="3" s="1"/>
  <c r="F48" i="3"/>
  <c r="E48" i="3" s="1"/>
  <c r="F32" i="3"/>
  <c r="E32" i="3" s="1"/>
  <c r="F15" i="3"/>
  <c r="E15" i="3" s="1"/>
  <c r="F16" i="3"/>
  <c r="F46" i="3"/>
  <c r="F30" i="3"/>
  <c r="E30" i="3" s="1"/>
  <c r="F14" i="3"/>
  <c r="E14" i="3" s="1"/>
  <c r="F47" i="3"/>
  <c r="E47" i="3" s="1"/>
  <c r="F31" i="3"/>
  <c r="E31" i="3" s="1"/>
  <c r="D3" i="6"/>
  <c r="F3" i="6" s="1"/>
  <c r="D13" i="6"/>
  <c r="F13" i="6" s="1"/>
  <c r="F40" i="3"/>
  <c r="F24" i="3"/>
  <c r="F8" i="3"/>
  <c r="E8" i="3" s="1"/>
  <c r="F38" i="3"/>
  <c r="E38" i="3" s="1"/>
  <c r="F22" i="3"/>
  <c r="E22" i="3" s="1"/>
  <c r="F6" i="3"/>
  <c r="E6" i="3" s="1"/>
  <c r="D7" i="6" l="1"/>
  <c r="F7" i="6" s="1"/>
  <c r="E40" i="3"/>
  <c r="E7" i="3"/>
  <c r="D9" i="6" s="1"/>
  <c r="F9" i="6" s="1"/>
  <c r="E24" i="3"/>
  <c r="D16" i="6" s="1"/>
  <c r="F16" i="6" s="1"/>
  <c r="E46" i="3"/>
  <c r="D18" i="6" s="1"/>
  <c r="F18" i="6" s="1"/>
  <c r="E16" i="3"/>
  <c r="D8" i="6" s="1"/>
  <c r="F8" i="6" s="1"/>
  <c r="D15" i="6"/>
  <c r="F15" i="6" s="1"/>
  <c r="D17" i="6"/>
  <c r="F17" i="6" s="1"/>
  <c r="D12" i="6"/>
  <c r="F12" i="6" s="1"/>
</calcChain>
</file>

<file path=xl/sharedStrings.xml><?xml version="1.0" encoding="utf-8"?>
<sst xmlns="http://schemas.openxmlformats.org/spreadsheetml/2006/main" count="214" uniqueCount="57">
  <si>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</si>
  <si>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</si>
  <si>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</si>
  <si>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</si>
  <si>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</si>
  <si>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</si>
  <si>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</si>
  <si>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</si>
  <si>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</si>
  <si>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</si>
  <si>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</si>
  <si>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</si>
  <si>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</si>
  <si>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</si>
  <si>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</si>
  <si>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</si>
  <si>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</si>
  <si>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</si>
  <si>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</si>
  <si>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</si>
  <si>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</si>
  <si>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</si>
  <si>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</si>
  <si>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</si>
  <si>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</si>
  <si>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</si>
  <si>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</si>
  <si>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</si>
  <si>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</si>
  <si>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</si>
  <si>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</si>
  <si>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</si>
  <si>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</si>
  <si>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</si>
  <si>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</si>
  <si>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</si>
  <si>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</si>
  <si>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</si>
  <si>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</si>
  <si>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</si>
  <si>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</si>
  <si>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</si>
  <si>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</si>
  <si>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</si>
  <si>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</si>
  <si>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Centro_de</t>
  </si>
  <si>
    <t>AJ_Vaccines</t>
  </si>
  <si>
    <t>Bilthoven</t>
  </si>
  <si>
    <t>Beijing_Institute</t>
  </si>
  <si>
    <t>Haffkine_Bio</t>
  </si>
  <si>
    <t>Check Sum</t>
  </si>
  <si>
    <t>Capacity</t>
  </si>
  <si>
    <t>Diffs</t>
  </si>
  <si>
    <t>Percent of whole</t>
  </si>
  <si>
    <t xml:space="preserve"> </t>
  </si>
  <si>
    <t>percent share</t>
  </si>
  <si>
    <t>antigen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</si>
</sst>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098658"/>
      <name val="Consolas"/>
      <family val="3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1" applyNumberFormat="1" applyFont="1" applyFill="1"/>
    <xf numFmtId="1" fontId="0" fillId="0" borderId="0" xfId="1" applyNumberFormat="1" applyFont="1" applyFill="1"/>
    <xf numFmtId="4" fontId="0" fillId="0" borderId="0" xfId="0" applyNumberFormat="1"/>
    <xf numFmtId="164" fontId="0" fillId="0" borderId="0" xfId="0" applyNumberFormat="1"/>
    <xf numFmtId="4" fontId="4" fillId="0" borderId="0" xfId="0" applyNumberFormat="1" applyFont="1" applyAlignment="1">
      <alignment vertical="center"/>
    </xf>
    <xf numFmtId="1" fontId="3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0" fillId="0" borderId="0" xfId="1" applyNumberFormat="1" applyFont="1" applyFill="1" applyAlignment="1">
      <alignment horizontal="center" wrapText="1"/>
    </xf>
    <xf numFmtId="43" fontId="0" fillId="0" borderId="0" xfId="0" applyNumberFormat="1" applyAlignment="1">
      <alignment horizontal="center" wrapText="1"/>
    </xf>
    <xf numFmtId="165" fontId="0" fillId="0" borderId="0" xfId="1" applyNumberFormat="1" applyFont="1" applyFill="1" applyAlignment="1">
      <alignment horizontal="center" wrapText="1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vertical="center"/>
    </xf>
    <xf numFmtId="40" fontId="0" fillId="0" borderId="0" xfId="0" applyNumberFormat="1" applyAlignment="1">
      <alignment horizontal="center" wrapText="1"/>
    </xf>
    <xf numFmtId="1" fontId="2" fillId="0" borderId="0" xfId="0" applyNumberFormat="1" applyFont="1" applyAlignment="1">
      <alignment horizontal="center"/>
    </xf>
    <xf numFmtId="1" fontId="0" fillId="0" borderId="0" xfId="0" applyNumberFormat="1"/>
  </cellXfs>
  <cellStyles count="3">
    <cellStyle name="Comma" xfId="1" builtinId="3"/>
    <cellStyle name="Normal" xfId="0" builtinId="0"/>
    <cellStyle name="Normal 2" xfId="2" xr:uid="{7E8BD9F5-B830-4B85-AC68-AF3D69635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workbookViewId="0">
      <selection activeCell="E19" sqref="E19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2</v>
      </c>
    </row>
    <row r="3" spans="1:3" x14ac:dyDescent="0.25">
      <c r="A3" s="1" t="s">
        <v>1</v>
      </c>
      <c r="B3">
        <v>1</v>
      </c>
      <c r="C3">
        <v>2</v>
      </c>
    </row>
    <row r="4" spans="1:3" x14ac:dyDescent="0.25">
      <c r="A4" s="1" t="s">
        <v>2</v>
      </c>
      <c r="B4">
        <v>1</v>
      </c>
      <c r="C4">
        <v>2</v>
      </c>
    </row>
    <row r="5" spans="1:3" x14ac:dyDescent="0.25">
      <c r="A5" s="1" t="s">
        <v>3</v>
      </c>
      <c r="B5">
        <v>1</v>
      </c>
      <c r="C5">
        <v>2</v>
      </c>
    </row>
    <row r="6" spans="1:3" x14ac:dyDescent="0.25">
      <c r="A6" s="1" t="s">
        <v>4</v>
      </c>
      <c r="B6">
        <v>1</v>
      </c>
      <c r="C6">
        <v>2</v>
      </c>
    </row>
    <row r="7" spans="1:3" x14ac:dyDescent="0.25">
      <c r="A7" s="1" t="s">
        <v>5</v>
      </c>
      <c r="B7">
        <v>1</v>
      </c>
      <c r="C7">
        <v>2</v>
      </c>
    </row>
    <row r="8" spans="1:3" x14ac:dyDescent="0.25">
      <c r="A8" s="1" t="s">
        <v>7</v>
      </c>
      <c r="B8">
        <v>1</v>
      </c>
      <c r="C8">
        <v>2</v>
      </c>
    </row>
    <row r="9" spans="1:3" x14ac:dyDescent="0.25">
      <c r="A9" s="1" t="s">
        <v>6</v>
      </c>
      <c r="B9">
        <v>1</v>
      </c>
      <c r="C9">
        <v>2</v>
      </c>
    </row>
    <row r="10" spans="1:3" x14ac:dyDescent="0.25">
      <c r="A10" s="1" t="s">
        <v>8</v>
      </c>
      <c r="B10">
        <v>1</v>
      </c>
      <c r="C10">
        <v>2</v>
      </c>
    </row>
    <row r="11" spans="1:3" x14ac:dyDescent="0.25">
      <c r="A11" t="s">
        <v>9</v>
      </c>
      <c r="B11">
        <v>1</v>
      </c>
      <c r="C11">
        <v>2</v>
      </c>
    </row>
    <row r="12" spans="1:3" x14ac:dyDescent="0.25">
      <c r="A12" t="s">
        <v>10</v>
      </c>
      <c r="B12">
        <v>1</v>
      </c>
      <c r="C12">
        <v>2</v>
      </c>
    </row>
    <row r="13" spans="1:3" x14ac:dyDescent="0.25">
      <c r="A13" t="s">
        <v>13</v>
      </c>
      <c r="B13">
        <v>1</v>
      </c>
      <c r="C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S52"/>
  <sheetViews>
    <sheetView workbookViewId="0">
      <selection activeCell="F2" sqref="F2"/>
    </sheetView>
  </sheetViews>
  <sheetFormatPr defaultRowHeight="15" x14ac:dyDescent="0.25"/>
  <cols>
    <col min="1" max="1" width="12.42578125" style="2" bestFit="1" customWidth="1"/>
    <col min="2" max="2" width="15.85546875" style="2" bestFit="1" customWidth="1"/>
    <col min="3" max="4" width="8.85546875" style="2"/>
    <col min="5" max="5" width="16.140625" style="3" bestFit="1" customWidth="1"/>
    <col min="6" max="6" width="15.42578125" bestFit="1" customWidth="1"/>
    <col min="7" max="7" width="14.28515625" bestFit="1" customWidth="1"/>
    <col min="9" max="9" width="12" bestFit="1" customWidth="1"/>
    <col min="15" max="15" width="15.85546875" bestFit="1" customWidth="1"/>
    <col min="16" max="17" width="18.42578125" customWidth="1"/>
    <col min="18" max="18" width="15.140625" customWidth="1"/>
  </cols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  <c r="G1" s="2"/>
    </row>
    <row r="2" spans="1:7" x14ac:dyDescent="0.25">
      <c r="A2" t="s">
        <v>19</v>
      </c>
      <c r="B2" t="s">
        <v>23</v>
      </c>
      <c r="C2" s="2">
        <v>1</v>
      </c>
      <c r="D2" s="2">
        <v>2</v>
      </c>
      <c r="E2" s="21">
        <f>F2*2</f>
        <v>8995469.8673202507</v>
      </c>
      <c r="F2" s="10">
        <f>Medium_Capacity!J2*Medium_Capacity!K2</f>
        <v>4497734.9336601254</v>
      </c>
      <c r="G2">
        <f ca="1">RAND()</f>
        <v>1.1167795206885933E-2</v>
      </c>
    </row>
    <row r="3" spans="1:7" x14ac:dyDescent="0.25">
      <c r="A3" t="s">
        <v>19</v>
      </c>
      <c r="B3" t="s">
        <v>20</v>
      </c>
      <c r="C3" s="2">
        <v>1</v>
      </c>
      <c r="D3" s="2">
        <v>2</v>
      </c>
      <c r="E3" s="21">
        <f t="shared" ref="E3:E52" si="0">F3*2</f>
        <v>1082008.0113759262</v>
      </c>
      <c r="F3" s="10">
        <f>Medium_Capacity!J3*Medium_Capacity!K3</f>
        <v>541004.0056879631</v>
      </c>
      <c r="G3">
        <f t="shared" ref="G3:G52" ca="1" si="1">RAND()</f>
        <v>0.24372390434141256</v>
      </c>
    </row>
    <row r="4" spans="1:7" x14ac:dyDescent="0.25">
      <c r="A4" t="s">
        <v>25</v>
      </c>
      <c r="B4" t="s">
        <v>23</v>
      </c>
      <c r="C4" s="2">
        <v>1</v>
      </c>
      <c r="D4" s="2">
        <v>2</v>
      </c>
      <c r="E4" s="21">
        <f t="shared" si="0"/>
        <v>201663047.818445</v>
      </c>
      <c r="F4" s="10">
        <f>Medium_Capacity!J4*Medium_Capacity!K4</f>
        <v>100831523.9092225</v>
      </c>
      <c r="G4">
        <f ca="1">RAND()</f>
        <v>0.16102113417165753</v>
      </c>
    </row>
    <row r="5" spans="1:7" x14ac:dyDescent="0.25">
      <c r="A5" t="s">
        <v>25</v>
      </c>
      <c r="B5" t="s">
        <v>26</v>
      </c>
      <c r="C5" s="2">
        <v>1</v>
      </c>
      <c r="D5" s="2">
        <v>2</v>
      </c>
      <c r="E5" s="21">
        <f t="shared" si="0"/>
        <v>33306249.520743433</v>
      </c>
      <c r="F5" s="10">
        <f>Medium_Capacity!J5*Medium_Capacity!K5</f>
        <v>16653124.760371717</v>
      </c>
      <c r="G5">
        <f t="shared" ca="1" si="1"/>
        <v>0.38850828399846826</v>
      </c>
    </row>
    <row r="6" spans="1:7" x14ac:dyDescent="0.25">
      <c r="A6" t="s">
        <v>21</v>
      </c>
      <c r="B6" t="s">
        <v>23</v>
      </c>
      <c r="C6" s="2">
        <v>1</v>
      </c>
      <c r="D6" s="2">
        <v>2</v>
      </c>
      <c r="E6" s="21">
        <f t="shared" si="0"/>
        <v>15859003.458618619</v>
      </c>
      <c r="F6" s="10">
        <f>Medium_Capacity!J6*Medium_Capacity!K6</f>
        <v>7929501.7293093093</v>
      </c>
      <c r="G6">
        <f t="shared" ca="1" si="1"/>
        <v>2.1628095641952338E-2</v>
      </c>
    </row>
    <row r="7" spans="1:7" x14ac:dyDescent="0.25">
      <c r="A7" t="s">
        <v>21</v>
      </c>
      <c r="B7" t="s">
        <v>22</v>
      </c>
      <c r="C7" s="2">
        <v>1</v>
      </c>
      <c r="D7" s="2">
        <v>2</v>
      </c>
      <c r="E7" s="21">
        <f t="shared" si="0"/>
        <v>26934327.386733636</v>
      </c>
      <c r="F7" s="10">
        <f>Medium_Capacity!J7*Medium_Capacity!K7</f>
        <v>13467163.693366818</v>
      </c>
      <c r="G7">
        <f ca="1">RAND()</f>
        <v>0.4708381324509493</v>
      </c>
    </row>
    <row r="8" spans="1:7" x14ac:dyDescent="0.25">
      <c r="A8" t="s">
        <v>21</v>
      </c>
      <c r="B8" t="s">
        <v>24</v>
      </c>
      <c r="C8" s="2">
        <v>1</v>
      </c>
      <c r="D8" s="2">
        <v>2</v>
      </c>
      <c r="E8" s="21">
        <f t="shared" si="0"/>
        <v>50716.077929282517</v>
      </c>
      <c r="F8" s="10">
        <f>Medium_Capacity!J8*Medium_Capacity!K8</f>
        <v>25358.038964641259</v>
      </c>
      <c r="G8">
        <f t="shared" ca="1" si="1"/>
        <v>0.84212910485942838</v>
      </c>
    </row>
    <row r="9" spans="1:7" x14ac:dyDescent="0.25">
      <c r="A9" t="s">
        <v>39</v>
      </c>
      <c r="B9" t="s">
        <v>23</v>
      </c>
      <c r="C9" s="2">
        <v>1</v>
      </c>
      <c r="D9" s="2">
        <v>2</v>
      </c>
      <c r="E9" s="21">
        <f t="shared" si="0"/>
        <v>4370775.7851483794</v>
      </c>
      <c r="F9" s="10">
        <f>Medium_Capacity!J9*Medium_Capacity!K9</f>
        <v>2185387.8925741897</v>
      </c>
      <c r="G9">
        <f t="shared" ca="1" si="1"/>
        <v>0.4584572715776597</v>
      </c>
    </row>
    <row r="10" spans="1:7" x14ac:dyDescent="0.25">
      <c r="A10" t="s">
        <v>39</v>
      </c>
      <c r="B10" t="s">
        <v>20</v>
      </c>
      <c r="C10" s="2">
        <v>1</v>
      </c>
      <c r="D10" s="2">
        <v>2</v>
      </c>
      <c r="E10" s="21">
        <f t="shared" si="0"/>
        <v>525732.89502522477</v>
      </c>
      <c r="F10" s="10">
        <f>Medium_Capacity!J10*Medium_Capacity!K10</f>
        <v>262866.44751261239</v>
      </c>
      <c r="G10">
        <f t="shared" ca="1" si="1"/>
        <v>0.74861864536238298</v>
      </c>
    </row>
    <row r="11" spans="1:7" x14ac:dyDescent="0.25">
      <c r="A11" t="s">
        <v>39</v>
      </c>
      <c r="B11" t="s">
        <v>28</v>
      </c>
      <c r="C11" s="2">
        <v>1</v>
      </c>
      <c r="D11" s="2">
        <v>2</v>
      </c>
      <c r="E11" s="21">
        <f t="shared" si="0"/>
        <v>109565.26028398766</v>
      </c>
      <c r="F11" s="10">
        <f>Medium_Capacity!J11*Medium_Capacity!K11</f>
        <v>54782.630141993832</v>
      </c>
      <c r="G11">
        <f t="shared" ca="1" si="1"/>
        <v>0.42714055396905537</v>
      </c>
    </row>
    <row r="12" spans="1:7" x14ac:dyDescent="0.25">
      <c r="A12" t="s">
        <v>40</v>
      </c>
      <c r="B12" t="s">
        <v>23</v>
      </c>
      <c r="C12" s="2">
        <v>1</v>
      </c>
      <c r="D12" s="2">
        <v>2</v>
      </c>
      <c r="E12" s="21">
        <f t="shared" si="0"/>
        <v>36221615.635631569</v>
      </c>
      <c r="F12" s="10">
        <f>Medium_Capacity!J12*Medium_Capacity!K12</f>
        <v>18110807.817815784</v>
      </c>
      <c r="G12">
        <f t="shared" ca="1" si="1"/>
        <v>0.87703552032451393</v>
      </c>
    </row>
    <row r="13" spans="1:7" x14ac:dyDescent="0.25">
      <c r="A13" t="s">
        <v>40</v>
      </c>
      <c r="B13" t="s">
        <v>31</v>
      </c>
      <c r="C13" s="2">
        <v>1</v>
      </c>
      <c r="D13" s="2">
        <v>2</v>
      </c>
      <c r="E13" s="21">
        <f t="shared" si="0"/>
        <v>2264375.8518894236</v>
      </c>
      <c r="F13" s="10">
        <f>Medium_Capacity!J13*Medium_Capacity!K13</f>
        <v>1132187.9259447118</v>
      </c>
      <c r="G13">
        <f ca="1">RAND()</f>
        <v>0.7361746888080003</v>
      </c>
    </row>
    <row r="14" spans="1:7" x14ac:dyDescent="0.25">
      <c r="A14" t="s">
        <v>7</v>
      </c>
      <c r="B14" t="s">
        <v>23</v>
      </c>
      <c r="C14" s="2">
        <v>1</v>
      </c>
      <c r="D14" s="2">
        <v>2</v>
      </c>
      <c r="E14" s="21">
        <f t="shared" si="0"/>
        <v>564690.75459061365</v>
      </c>
      <c r="F14" s="10">
        <f>Medium_Capacity!J14*Medium_Capacity!K14</f>
        <v>282345.37729530683</v>
      </c>
      <c r="G14">
        <f t="shared" ca="1" si="1"/>
        <v>0.69764215936209439</v>
      </c>
    </row>
    <row r="15" spans="1:7" x14ac:dyDescent="0.25">
      <c r="A15" t="s">
        <v>7</v>
      </c>
      <c r="B15" t="s">
        <v>33</v>
      </c>
      <c r="C15" s="2">
        <v>1</v>
      </c>
      <c r="D15" s="2">
        <v>2</v>
      </c>
      <c r="E15" s="21">
        <f t="shared" si="0"/>
        <v>60932.701686140834</v>
      </c>
      <c r="F15" s="10">
        <f>Medium_Capacity!J15*Medium_Capacity!K15</f>
        <v>30466.350843070417</v>
      </c>
      <c r="G15">
        <f t="shared" ca="1" si="1"/>
        <v>0.81273691459694963</v>
      </c>
    </row>
    <row r="16" spans="1:7" x14ac:dyDescent="0.25">
      <c r="A16" t="s">
        <v>7</v>
      </c>
      <c r="B16" t="s">
        <v>45</v>
      </c>
      <c r="C16" s="2">
        <v>1</v>
      </c>
      <c r="D16" s="2">
        <v>2</v>
      </c>
      <c r="E16" s="21">
        <f t="shared" si="0"/>
        <v>17.475918265623562</v>
      </c>
      <c r="F16" s="10">
        <f>Medium_Capacity!J16*Medium_Capacity!K16</f>
        <v>8.7379591328117812</v>
      </c>
      <c r="G16">
        <f t="shared" ca="1" si="1"/>
        <v>0.905814016649933</v>
      </c>
    </row>
    <row r="17" spans="1:19" x14ac:dyDescent="0.25">
      <c r="A17" t="s">
        <v>32</v>
      </c>
      <c r="B17" t="s">
        <v>31</v>
      </c>
      <c r="C17" s="2">
        <v>1</v>
      </c>
      <c r="D17" s="2">
        <v>2</v>
      </c>
      <c r="E17" s="21">
        <f t="shared" si="0"/>
        <v>3188220.3996289601</v>
      </c>
      <c r="F17" s="10">
        <f>Medium_Capacity!J17*Medium_Capacity!K17</f>
        <v>1594110.19981448</v>
      </c>
      <c r="G17">
        <f t="shared" ca="1" si="1"/>
        <v>0.34991316527751914</v>
      </c>
    </row>
    <row r="18" spans="1:19" x14ac:dyDescent="0.25">
      <c r="A18" t="s">
        <v>32</v>
      </c>
      <c r="B18" t="s">
        <v>46</v>
      </c>
      <c r="C18" s="2">
        <v>1</v>
      </c>
      <c r="D18" s="2">
        <v>2</v>
      </c>
      <c r="E18" s="21">
        <f t="shared" si="0"/>
        <v>662897.31081394223</v>
      </c>
      <c r="F18" s="10">
        <f>Medium_Capacity!J18*Medium_Capacity!K18</f>
        <v>331448.65540697111</v>
      </c>
      <c r="G18">
        <f ca="1">RAND()</f>
        <v>0.97803305077510982</v>
      </c>
    </row>
    <row r="19" spans="1:19" x14ac:dyDescent="0.25">
      <c r="A19" t="s">
        <v>32</v>
      </c>
      <c r="B19" t="s">
        <v>47</v>
      </c>
      <c r="C19" s="2">
        <v>1</v>
      </c>
      <c r="D19" s="2">
        <v>2</v>
      </c>
      <c r="E19" s="21">
        <f t="shared" si="0"/>
        <v>441931.54054262809</v>
      </c>
      <c r="F19" s="10">
        <f>Medium_Capacity!J19*Medium_Capacity!K19</f>
        <v>220965.77027131405</v>
      </c>
      <c r="G19">
        <f t="shared" ca="1" si="1"/>
        <v>0.1746677472978041</v>
      </c>
    </row>
    <row r="20" spans="1:19" x14ac:dyDescent="0.25">
      <c r="A20" t="s">
        <v>32</v>
      </c>
      <c r="B20" t="s">
        <v>33</v>
      </c>
      <c r="C20" s="2">
        <v>1</v>
      </c>
      <c r="D20" s="2">
        <v>2</v>
      </c>
      <c r="E20" s="21">
        <f t="shared" si="0"/>
        <v>5503099.8977093929</v>
      </c>
      <c r="F20" s="10">
        <f>Medium_Capacity!J20*Medium_Capacity!K20</f>
        <v>2751549.9488546965</v>
      </c>
      <c r="G20">
        <f t="shared" ca="1" si="1"/>
        <v>8.9593362192195714E-2</v>
      </c>
    </row>
    <row r="21" spans="1:19" x14ac:dyDescent="0.25">
      <c r="A21" t="s">
        <v>34</v>
      </c>
      <c r="B21" t="s">
        <v>23</v>
      </c>
      <c r="C21" s="2">
        <v>1</v>
      </c>
      <c r="D21" s="2">
        <v>2</v>
      </c>
      <c r="E21" s="21">
        <f t="shared" si="0"/>
        <v>266873655.20470208</v>
      </c>
      <c r="F21" s="10">
        <f>Medium_Capacity!J21*Medium_Capacity!K21</f>
        <v>133436827.60235104</v>
      </c>
      <c r="G21">
        <f t="shared" ca="1" si="1"/>
        <v>0.60865941991703798</v>
      </c>
    </row>
    <row r="22" spans="1:19" x14ac:dyDescent="0.25">
      <c r="A22" t="s">
        <v>34</v>
      </c>
      <c r="B22" t="s">
        <v>20</v>
      </c>
      <c r="C22" s="2">
        <v>1</v>
      </c>
      <c r="D22" s="2">
        <v>2</v>
      </c>
      <c r="E22" s="21">
        <f t="shared" si="0"/>
        <v>32100539.184251159</v>
      </c>
      <c r="F22" s="10">
        <f>Medium_Capacity!J22*Medium_Capacity!K22</f>
        <v>16050269.59212558</v>
      </c>
      <c r="G22">
        <f t="shared" ca="1" si="1"/>
        <v>4.3346483646909073E-2</v>
      </c>
      <c r="R22" s="10"/>
    </row>
    <row r="23" spans="1:19" x14ac:dyDescent="0.25">
      <c r="A23" t="s">
        <v>34</v>
      </c>
      <c r="B23" t="s">
        <v>22</v>
      </c>
      <c r="C23" s="2">
        <v>1</v>
      </c>
      <c r="D23" s="2">
        <v>2</v>
      </c>
      <c r="E23" s="21">
        <f t="shared" si="0"/>
        <v>453248050.48020494</v>
      </c>
      <c r="F23" s="10">
        <f>Medium_Capacity!J23*Medium_Capacity!K23</f>
        <v>226624025.24010247</v>
      </c>
      <c r="G23">
        <f t="shared" ca="1" si="1"/>
        <v>7.7260058632008355E-2</v>
      </c>
      <c r="R23" s="10"/>
    </row>
    <row r="24" spans="1:19" x14ac:dyDescent="0.25">
      <c r="A24" t="s">
        <v>34</v>
      </c>
      <c r="B24" t="s">
        <v>33</v>
      </c>
      <c r="C24" s="2">
        <v>1</v>
      </c>
      <c r="D24" s="2">
        <v>2</v>
      </c>
      <c r="E24" s="21">
        <f t="shared" si="0"/>
        <v>28796881.635271627</v>
      </c>
      <c r="F24" s="10">
        <f>Medium_Capacity!J24*Medium_Capacity!K24</f>
        <v>14398440.817635814</v>
      </c>
      <c r="G24">
        <f t="shared" ca="1" si="1"/>
        <v>0.33742665490780799</v>
      </c>
      <c r="R24" s="10"/>
    </row>
    <row r="25" spans="1:19" x14ac:dyDescent="0.25">
      <c r="A25" t="s">
        <v>34</v>
      </c>
      <c r="B25" t="s">
        <v>30</v>
      </c>
      <c r="C25" s="2">
        <v>1</v>
      </c>
      <c r="D25" s="2">
        <v>2</v>
      </c>
      <c r="E25" s="21">
        <f t="shared" si="0"/>
        <v>5643748.3128400408</v>
      </c>
      <c r="F25" s="10">
        <f>Medium_Capacity!J25*Medium_Capacity!K25</f>
        <v>2821874.1564200204</v>
      </c>
      <c r="G25">
        <f t="shared" ca="1" si="1"/>
        <v>0.61522145884882029</v>
      </c>
      <c r="R25" s="10"/>
    </row>
    <row r="26" spans="1:19" x14ac:dyDescent="0.25">
      <c r="A26" t="s">
        <v>34</v>
      </c>
      <c r="B26" t="s">
        <v>48</v>
      </c>
      <c r="C26" s="2">
        <v>1</v>
      </c>
      <c r="D26" s="2">
        <v>2</v>
      </c>
      <c r="E26" s="21">
        <f t="shared" si="0"/>
        <v>2202438.3659863574</v>
      </c>
      <c r="F26" s="10">
        <f>Medium_Capacity!J26*Medium_Capacity!K26</f>
        <v>1101219.1829931787</v>
      </c>
      <c r="G26">
        <f t="shared" ca="1" si="1"/>
        <v>0.7542202566351679</v>
      </c>
      <c r="R26" s="10"/>
    </row>
    <row r="27" spans="1:19" x14ac:dyDescent="0.25">
      <c r="A27" t="s">
        <v>34</v>
      </c>
      <c r="B27" t="s">
        <v>36</v>
      </c>
      <c r="C27" s="2">
        <v>1</v>
      </c>
      <c r="D27" s="2">
        <v>2</v>
      </c>
      <c r="E27" s="21">
        <f t="shared" si="0"/>
        <v>9910972.646938609</v>
      </c>
      <c r="F27" s="10">
        <f>Medium_Capacity!J27*Medium_Capacity!K27</f>
        <v>4955486.3234693045</v>
      </c>
      <c r="G27">
        <f t="shared" ca="1" si="1"/>
        <v>0.78888100396314265</v>
      </c>
      <c r="R27" s="10"/>
    </row>
    <row r="28" spans="1:19" x14ac:dyDescent="0.25">
      <c r="A28" t="s">
        <v>34</v>
      </c>
      <c r="B28" t="s">
        <v>49</v>
      </c>
      <c r="C28" s="2">
        <v>1</v>
      </c>
      <c r="D28" s="2">
        <v>2</v>
      </c>
      <c r="E28" s="21">
        <f t="shared" si="0"/>
        <v>2202438.3659863574</v>
      </c>
      <c r="F28" s="10">
        <f>Medium_Capacity!J28*Medium_Capacity!K28</f>
        <v>1101219.1829931787</v>
      </c>
      <c r="G28">
        <f t="shared" ca="1" si="1"/>
        <v>0.6563546955005799</v>
      </c>
      <c r="R28" s="10"/>
    </row>
    <row r="29" spans="1:19" x14ac:dyDescent="0.25">
      <c r="A29" t="s">
        <v>41</v>
      </c>
      <c r="B29" t="s">
        <v>23</v>
      </c>
      <c r="C29" s="2">
        <v>1</v>
      </c>
      <c r="D29" s="2">
        <v>2</v>
      </c>
      <c r="E29" s="21">
        <f t="shared" si="0"/>
        <v>3898923.4682316827</v>
      </c>
      <c r="F29" s="10">
        <f>Medium_Capacity!J29*Medium_Capacity!K29</f>
        <v>1949461.7341158413</v>
      </c>
      <c r="G29">
        <f t="shared" ca="1" si="1"/>
        <v>0.38840384713949938</v>
      </c>
      <c r="R29" s="10"/>
    </row>
    <row r="30" spans="1:19" x14ac:dyDescent="0.25">
      <c r="A30" t="s">
        <v>41</v>
      </c>
      <c r="B30" t="s">
        <v>20</v>
      </c>
      <c r="C30" s="2">
        <v>1</v>
      </c>
      <c r="D30" s="2">
        <v>2</v>
      </c>
      <c r="E30" s="21">
        <f t="shared" si="0"/>
        <v>468976.77281920932</v>
      </c>
      <c r="F30" s="10">
        <f>Medium_Capacity!J30*Medium_Capacity!K30</f>
        <v>234488.38640960466</v>
      </c>
      <c r="G30">
        <f t="shared" ca="1" si="1"/>
        <v>0.97464368473240415</v>
      </c>
    </row>
    <row r="31" spans="1:19" x14ac:dyDescent="0.25">
      <c r="A31" t="s">
        <v>41</v>
      </c>
      <c r="B31" t="s">
        <v>28</v>
      </c>
      <c r="C31" s="2">
        <v>1</v>
      </c>
      <c r="D31" s="2">
        <v>2</v>
      </c>
      <c r="E31" s="21">
        <f t="shared" si="0"/>
        <v>97737.011831104493</v>
      </c>
      <c r="F31" s="10">
        <f>Medium_Capacity!J31*Medium_Capacity!K31</f>
        <v>48868.505915552247</v>
      </c>
      <c r="G31">
        <f t="shared" ca="1" si="1"/>
        <v>0.31683031621759328</v>
      </c>
      <c r="R31" s="18"/>
      <c r="S31" t="s">
        <v>54</v>
      </c>
    </row>
    <row r="32" spans="1:19" x14ac:dyDescent="0.25">
      <c r="A32" t="s">
        <v>27</v>
      </c>
      <c r="B32" t="s">
        <v>23</v>
      </c>
      <c r="C32" s="2">
        <v>1</v>
      </c>
      <c r="D32" s="2">
        <v>2</v>
      </c>
      <c r="E32" s="21">
        <f t="shared" si="0"/>
        <v>148217673.40024289</v>
      </c>
      <c r="F32" s="10">
        <f>Medium_Capacity!J32*Medium_Capacity!K32</f>
        <v>74108836.700121447</v>
      </c>
      <c r="G32">
        <f t="shared" ca="1" si="1"/>
        <v>0.89544319310233889</v>
      </c>
    </row>
    <row r="33" spans="1:7" x14ac:dyDescent="0.25">
      <c r="A33" t="s">
        <v>27</v>
      </c>
      <c r="B33" t="s">
        <v>20</v>
      </c>
      <c r="C33" s="2">
        <v>1</v>
      </c>
      <c r="D33" s="2">
        <v>2</v>
      </c>
      <c r="E33" s="21">
        <f t="shared" si="0"/>
        <v>17828163.777101099</v>
      </c>
      <c r="F33" s="10">
        <f>Medium_Capacity!J33*Medium_Capacity!K33</f>
        <v>8914081.8885505497</v>
      </c>
      <c r="G33">
        <f t="shared" ca="1" si="1"/>
        <v>0.80324100620154315</v>
      </c>
    </row>
    <row r="34" spans="1:7" x14ac:dyDescent="0.25">
      <c r="A34" t="s">
        <v>27</v>
      </c>
      <c r="B34" t="s">
        <v>28</v>
      </c>
      <c r="C34" s="2">
        <v>1</v>
      </c>
      <c r="D34" s="2">
        <v>2</v>
      </c>
      <c r="E34" s="21">
        <f t="shared" si="0"/>
        <v>3715474.955262064</v>
      </c>
      <c r="F34" s="10">
        <f>Medium_Capacity!J34*Medium_Capacity!K34</f>
        <v>1857737.477631032</v>
      </c>
      <c r="G34">
        <f t="shared" ca="1" si="1"/>
        <v>0.98922134145888607</v>
      </c>
    </row>
    <row r="35" spans="1:7" x14ac:dyDescent="0.25">
      <c r="A35" t="s">
        <v>42</v>
      </c>
      <c r="B35" t="s">
        <v>23</v>
      </c>
      <c r="C35" s="2">
        <v>1</v>
      </c>
      <c r="D35" s="2">
        <v>2</v>
      </c>
      <c r="E35" s="21">
        <f t="shared" si="0"/>
        <v>37774877.613046914</v>
      </c>
      <c r="F35" s="10">
        <f>Medium_Capacity!J35*Medium_Capacity!K35</f>
        <v>18887438.806523457</v>
      </c>
      <c r="G35">
        <f t="shared" ca="1" si="1"/>
        <v>0.52809839143432613</v>
      </c>
    </row>
    <row r="36" spans="1:7" x14ac:dyDescent="0.25">
      <c r="A36" t="s">
        <v>42</v>
      </c>
      <c r="B36" t="s">
        <v>26</v>
      </c>
      <c r="C36" s="2">
        <v>1</v>
      </c>
      <c r="D36" s="2">
        <v>2</v>
      </c>
      <c r="E36" s="21">
        <f t="shared" si="0"/>
        <v>6238820.2152353404</v>
      </c>
      <c r="F36" s="10">
        <f>Medium_Capacity!J36*Medium_Capacity!K36</f>
        <v>3119410.1076176702</v>
      </c>
      <c r="G36">
        <f t="shared" ca="1" si="1"/>
        <v>0.40794493376031726</v>
      </c>
    </row>
    <row r="37" spans="1:7" x14ac:dyDescent="0.25">
      <c r="A37" t="s">
        <v>43</v>
      </c>
      <c r="B37" t="s">
        <v>23</v>
      </c>
      <c r="C37" s="2">
        <v>1</v>
      </c>
      <c r="D37" s="2">
        <v>2</v>
      </c>
      <c r="E37" s="21">
        <f t="shared" si="0"/>
        <v>3546873.5784291485</v>
      </c>
      <c r="F37" s="10">
        <f>Medium_Capacity!J37*Medium_Capacity!K37</f>
        <v>1773436.7892145743</v>
      </c>
      <c r="G37">
        <f t="shared" ca="1" si="1"/>
        <v>7.1825410299488301E-2</v>
      </c>
    </row>
    <row r="38" spans="1:7" x14ac:dyDescent="0.25">
      <c r="A38" t="s">
        <v>29</v>
      </c>
      <c r="B38" t="s">
        <v>23</v>
      </c>
      <c r="C38" s="2">
        <v>1</v>
      </c>
      <c r="D38" s="2">
        <v>2</v>
      </c>
      <c r="E38" s="21">
        <f t="shared" si="0"/>
        <v>153878658.90735054</v>
      </c>
      <c r="F38" s="10">
        <f>Medium_Capacity!J38*Medium_Capacity!K38</f>
        <v>76939329.45367527</v>
      </c>
      <c r="G38">
        <f t="shared" ca="1" si="1"/>
        <v>0.7019548579452014</v>
      </c>
    </row>
    <row r="39" spans="1:7" x14ac:dyDescent="0.25">
      <c r="A39" t="s">
        <v>29</v>
      </c>
      <c r="B39" t="s">
        <v>20</v>
      </c>
      <c r="C39" s="2">
        <v>1</v>
      </c>
      <c r="D39" s="2">
        <v>2</v>
      </c>
      <c r="E39" s="21">
        <f t="shared" si="0"/>
        <v>18509087.815680332</v>
      </c>
      <c r="F39" s="10">
        <f>Medium_Capacity!J39*Medium_Capacity!K39</f>
        <v>9254543.9078401662</v>
      </c>
      <c r="G39">
        <f t="shared" ca="1" si="1"/>
        <v>0.29860537905155371</v>
      </c>
    </row>
    <row r="40" spans="1:7" x14ac:dyDescent="0.25">
      <c r="A40" t="s">
        <v>29</v>
      </c>
      <c r="B40" t="s">
        <v>26</v>
      </c>
      <c r="C40" s="2">
        <v>1</v>
      </c>
      <c r="D40" s="2">
        <v>2</v>
      </c>
      <c r="E40" s="21">
        <f t="shared" si="0"/>
        <v>25414279.239197437</v>
      </c>
      <c r="F40" s="10">
        <f>Medium_Capacity!J40*Medium_Capacity!K40</f>
        <v>12707139.619598718</v>
      </c>
      <c r="G40">
        <f t="shared" ca="1" si="1"/>
        <v>0.4319270722200973</v>
      </c>
    </row>
    <row r="41" spans="1:7" x14ac:dyDescent="0.25">
      <c r="A41" t="s">
        <v>29</v>
      </c>
      <c r="B41" t="s">
        <v>31</v>
      </c>
      <c r="C41" s="2">
        <v>1</v>
      </c>
      <c r="D41" s="2">
        <v>2</v>
      </c>
      <c r="E41" s="21">
        <f t="shared" si="0"/>
        <v>9619645.9831065871</v>
      </c>
      <c r="F41" s="10">
        <f>Medium_Capacity!J41*Medium_Capacity!K41</f>
        <v>4809822.9915532935</v>
      </c>
      <c r="G41">
        <f t="shared" ca="1" si="1"/>
        <v>0.61363707064142503</v>
      </c>
    </row>
    <row r="42" spans="1:7" x14ac:dyDescent="0.25">
      <c r="A42" t="s">
        <v>29</v>
      </c>
      <c r="B42" t="s">
        <v>30</v>
      </c>
      <c r="C42" s="2">
        <v>1</v>
      </c>
      <c r="D42" s="2">
        <v>2</v>
      </c>
      <c r="E42" s="21">
        <f t="shared" si="0"/>
        <v>3254170.6708528879</v>
      </c>
      <c r="F42" s="10">
        <f>Medium_Capacity!J42*Medium_Capacity!K42</f>
        <v>1627085.335426444</v>
      </c>
      <c r="G42">
        <f t="shared" ca="1" si="1"/>
        <v>9.5270347599945793E-2</v>
      </c>
    </row>
    <row r="43" spans="1:7" x14ac:dyDescent="0.25">
      <c r="A43" t="s">
        <v>44</v>
      </c>
      <c r="B43" t="s">
        <v>33</v>
      </c>
      <c r="C43" s="2">
        <v>1</v>
      </c>
      <c r="D43" s="2">
        <v>2</v>
      </c>
      <c r="E43" s="21">
        <f t="shared" si="0"/>
        <v>0</v>
      </c>
      <c r="F43" s="10">
        <f>Medium_Capacity!J43*Medium_Capacity!K43</f>
        <v>0</v>
      </c>
      <c r="G43">
        <f t="shared" ca="1" si="1"/>
        <v>0.16522897829660532</v>
      </c>
    </row>
    <row r="44" spans="1:7" x14ac:dyDescent="0.25">
      <c r="A44" t="s">
        <v>9</v>
      </c>
      <c r="B44" t="s">
        <v>22</v>
      </c>
      <c r="C44" s="2">
        <v>1</v>
      </c>
      <c r="D44" s="2">
        <v>2</v>
      </c>
      <c r="E44" s="21">
        <f t="shared" si="0"/>
        <v>19631183.599143814</v>
      </c>
      <c r="F44" s="10">
        <f>Medium_Capacity!J44*Medium_Capacity!K44</f>
        <v>9815591.7995719071</v>
      </c>
      <c r="G44">
        <f t="shared" ca="1" si="1"/>
        <v>4.4050972493482776E-2</v>
      </c>
    </row>
    <row r="45" spans="1:7" x14ac:dyDescent="0.25">
      <c r="A45" t="s">
        <v>9</v>
      </c>
      <c r="B45" t="s">
        <v>24</v>
      </c>
      <c r="C45" s="2">
        <v>1</v>
      </c>
      <c r="D45" s="2">
        <v>2</v>
      </c>
      <c r="E45" s="21">
        <f t="shared" si="0"/>
        <v>36964.599968017625</v>
      </c>
      <c r="F45" s="10">
        <f>Medium_Capacity!J45*Medium_Capacity!K45</f>
        <v>18482.299984008812</v>
      </c>
      <c r="G45">
        <f t="shared" ca="1" si="1"/>
        <v>0.1426593193032869</v>
      </c>
    </row>
    <row r="46" spans="1:7" x14ac:dyDescent="0.25">
      <c r="A46" t="s">
        <v>9</v>
      </c>
      <c r="B46" t="s">
        <v>35</v>
      </c>
      <c r="C46" s="2">
        <v>1</v>
      </c>
      <c r="D46" s="2">
        <v>2</v>
      </c>
      <c r="E46" s="21">
        <f t="shared" si="0"/>
        <v>5962.0322529060686</v>
      </c>
      <c r="F46" s="10">
        <f>Medium_Capacity!J46*Medium_Capacity!K46</f>
        <v>2981.0161264530343</v>
      </c>
      <c r="G46">
        <f t="shared" ca="1" si="1"/>
        <v>0.20292478695050098</v>
      </c>
    </row>
    <row r="47" spans="1:7" x14ac:dyDescent="0.25">
      <c r="A47" t="s">
        <v>10</v>
      </c>
      <c r="B47" t="s">
        <v>23</v>
      </c>
      <c r="C47" s="2">
        <v>1</v>
      </c>
      <c r="D47" s="2">
        <v>2</v>
      </c>
      <c r="E47" s="21">
        <f t="shared" si="0"/>
        <v>86732745.238201126</v>
      </c>
      <c r="F47" s="10">
        <f>Medium_Capacity!J47*Medium_Capacity!K47</f>
        <v>43366372.619100563</v>
      </c>
      <c r="G47">
        <f t="shared" ca="1" si="1"/>
        <v>0.61864953883212725</v>
      </c>
    </row>
    <row r="48" spans="1:7" x14ac:dyDescent="0.25">
      <c r="A48" t="s">
        <v>10</v>
      </c>
      <c r="B48" t="s">
        <v>22</v>
      </c>
      <c r="C48" s="2">
        <v>1</v>
      </c>
      <c r="D48" s="2">
        <v>2</v>
      </c>
      <c r="E48" s="21">
        <f t="shared" si="0"/>
        <v>147303590.76416737</v>
      </c>
      <c r="F48" s="10">
        <f>Medium_Capacity!J48*Medium_Capacity!K48</f>
        <v>73651795.382083684</v>
      </c>
      <c r="G48">
        <f t="shared" ca="1" si="1"/>
        <v>0.79522251913334219</v>
      </c>
    </row>
    <row r="49" spans="1:7" x14ac:dyDescent="0.25">
      <c r="A49" t="s">
        <v>10</v>
      </c>
      <c r="B49" t="s">
        <v>36</v>
      </c>
      <c r="C49" s="2">
        <v>1</v>
      </c>
      <c r="D49" s="2">
        <v>2</v>
      </c>
      <c r="E49" s="21">
        <f t="shared" si="0"/>
        <v>3221021.8164485223</v>
      </c>
      <c r="F49" s="10">
        <f>Medium_Capacity!J49*Medium_Capacity!K49</f>
        <v>1610510.9082242611</v>
      </c>
      <c r="G49">
        <f t="shared" ca="1" si="1"/>
        <v>0.52439698246154198</v>
      </c>
    </row>
    <row r="50" spans="1:7" x14ac:dyDescent="0.25">
      <c r="A50" t="s">
        <v>13</v>
      </c>
      <c r="B50" t="s">
        <v>23</v>
      </c>
      <c r="C50" s="2">
        <v>1</v>
      </c>
      <c r="D50" s="2">
        <v>2</v>
      </c>
      <c r="E50" s="21">
        <f t="shared" si="0"/>
        <v>97885620.44911465</v>
      </c>
      <c r="F50" s="10">
        <f>Medium_Capacity!J50*Medium_Capacity!K50</f>
        <v>48942810.224557325</v>
      </c>
      <c r="G50">
        <f t="shared" ca="1" si="1"/>
        <v>0.12963608598244625</v>
      </c>
    </row>
    <row r="51" spans="1:7" x14ac:dyDescent="0.25">
      <c r="A51" t="s">
        <v>13</v>
      </c>
      <c r="B51" t="s">
        <v>22</v>
      </c>
      <c r="C51" s="2">
        <v>1</v>
      </c>
      <c r="D51" s="2">
        <v>2</v>
      </c>
      <c r="E51" s="21">
        <f t="shared" si="0"/>
        <v>166245209.19674805</v>
      </c>
      <c r="F51" s="10">
        <f>Medium_Capacity!J51*Medium_Capacity!K51</f>
        <v>83122604.598374024</v>
      </c>
      <c r="G51">
        <f t="shared" ca="1" si="1"/>
        <v>0.84642157663473161</v>
      </c>
    </row>
    <row r="52" spans="1:7" x14ac:dyDescent="0.25">
      <c r="A52" t="s">
        <v>13</v>
      </c>
      <c r="B52" t="s">
        <v>37</v>
      </c>
      <c r="C52" s="2">
        <v>1</v>
      </c>
      <c r="D52" s="2">
        <v>2</v>
      </c>
      <c r="E52" s="21">
        <f t="shared" si="0"/>
        <v>585672.67794888001</v>
      </c>
      <c r="F52" s="10">
        <f>Medium_Capacity!J52*Medium_Capacity!K52</f>
        <v>292836.33897444</v>
      </c>
      <c r="G52">
        <f t="shared" ca="1" si="1"/>
        <v>0.79328300225326998</v>
      </c>
    </row>
  </sheetData>
  <autoFilter ref="A1:S53" xr:uid="{86710C76-81AC-48E5-8A5F-29B3CE6BD5D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sheetPr filterMode="1"/>
  <dimension ref="A1:C18"/>
  <sheetViews>
    <sheetView workbookViewId="0">
      <selection activeCell="B2" sqref="B2:B18"/>
    </sheetView>
  </sheetViews>
  <sheetFormatPr defaultRowHeight="15.75" customHeight="1" x14ac:dyDescent="0.25"/>
  <cols>
    <col min="2" max="2" width="12" bestFit="1" customWidth="1"/>
  </cols>
  <sheetData>
    <row r="1" spans="1:3" ht="15" x14ac:dyDescent="0.25">
      <c r="A1" t="s">
        <v>14</v>
      </c>
      <c r="B1" t="s">
        <v>18</v>
      </c>
    </row>
    <row r="2" spans="1:3" ht="15.75" customHeight="1" x14ac:dyDescent="0.25">
      <c r="A2" t="s">
        <v>19</v>
      </c>
      <c r="B2">
        <f>C2</f>
        <v>3694295.5570033002</v>
      </c>
      <c r="C2">
        <f>Medium_Capacity!C49*0.25</f>
        <v>3694295.5570033002</v>
      </c>
    </row>
    <row r="3" spans="1:3" ht="15.75" customHeight="1" x14ac:dyDescent="0.25">
      <c r="A3" t="s">
        <v>25</v>
      </c>
      <c r="B3">
        <f t="shared" ref="B3:B18" si="0">C3</f>
        <v>82819787.354738995</v>
      </c>
      <c r="C3">
        <f>Medium_Capacity!C50*0.25</f>
        <v>82819787.354738995</v>
      </c>
    </row>
    <row r="4" spans="1:3" ht="15.75" customHeight="1" x14ac:dyDescent="0.25">
      <c r="A4" t="s">
        <v>21</v>
      </c>
      <c r="B4">
        <f t="shared" si="0"/>
        <v>6513038.9940517964</v>
      </c>
      <c r="C4">
        <f>Medium_Capacity!C51*0.25</f>
        <v>6513038.9940517964</v>
      </c>
    </row>
    <row r="5" spans="1:3" ht="15.75" customHeight="1" x14ac:dyDescent="0.25">
      <c r="A5" t="s">
        <v>39</v>
      </c>
      <c r="B5">
        <f t="shared" si="0"/>
        <v>1795007.6874129353</v>
      </c>
      <c r="C5">
        <f>Medium_Capacity!C52*0.25</f>
        <v>1795007.6874129353</v>
      </c>
    </row>
    <row r="6" spans="1:3" ht="15.75" customHeight="1" x14ac:dyDescent="0.25">
      <c r="A6" t="s">
        <v>27</v>
      </c>
      <c r="B6">
        <f t="shared" si="0"/>
        <v>60870627.147684671</v>
      </c>
      <c r="C6">
        <f>Medium_Capacity!C53*0.25</f>
        <v>60870627.147684671</v>
      </c>
    </row>
    <row r="7" spans="1:3" ht="15.75" customHeight="1" x14ac:dyDescent="0.25">
      <c r="A7" t="s">
        <v>41</v>
      </c>
      <c r="B7">
        <f t="shared" si="0"/>
        <v>1601225.4899671054</v>
      </c>
      <c r="C7">
        <f>Medium_Capacity!C54*0.25</f>
        <v>1601225.4899671054</v>
      </c>
    </row>
    <row r="8" spans="1:3" ht="15.75" customHeight="1" x14ac:dyDescent="0.25">
      <c r="A8" t="s">
        <v>42</v>
      </c>
      <c r="B8">
        <f t="shared" si="0"/>
        <v>15513537.879683325</v>
      </c>
      <c r="C8">
        <f>Medium_Capacity!C55*0.25</f>
        <v>15513537.879683325</v>
      </c>
    </row>
    <row r="9" spans="1:3" ht="15.75" customHeight="1" x14ac:dyDescent="0.25">
      <c r="A9" t="s">
        <v>43</v>
      </c>
      <c r="B9">
        <f t="shared" si="0"/>
        <v>1456644.232631579</v>
      </c>
      <c r="C9">
        <f>Medium_Capacity!C56*0.25</f>
        <v>1456644.232631579</v>
      </c>
    </row>
    <row r="10" spans="1:3" ht="15.75" customHeight="1" x14ac:dyDescent="0.25">
      <c r="A10" t="s">
        <v>29</v>
      </c>
      <c r="B10">
        <f t="shared" si="0"/>
        <v>63195503.325986847</v>
      </c>
      <c r="C10">
        <f>Medium_Capacity!C57*0.25</f>
        <v>63195503.325986847</v>
      </c>
    </row>
    <row r="11" spans="1:3" ht="15.75" customHeight="1" x14ac:dyDescent="0.25">
      <c r="A11" t="s">
        <v>44</v>
      </c>
      <c r="B11">
        <f t="shared" si="0"/>
        <v>0</v>
      </c>
      <c r="C11">
        <f>Medium_Capacity!C58*0.25</f>
        <v>0</v>
      </c>
    </row>
    <row r="12" spans="1:3" ht="15.75" customHeight="1" x14ac:dyDescent="0.25">
      <c r="A12" t="s">
        <v>32</v>
      </c>
      <c r="B12">
        <f t="shared" si="0"/>
        <v>20944761.71187168</v>
      </c>
      <c r="C12">
        <f>Medium_Capacity!C59*0.25</f>
        <v>20944761.71187168</v>
      </c>
    </row>
    <row r="13" spans="1:3" ht="15.75" customHeight="1" x14ac:dyDescent="0.25">
      <c r="A13" t="s">
        <v>34</v>
      </c>
      <c r="B13">
        <f t="shared" si="0"/>
        <v>109600740.51114175</v>
      </c>
      <c r="C13">
        <f>Medium_Capacity!C60*0.25</f>
        <v>109600740.51114175</v>
      </c>
    </row>
    <row r="14" spans="1:3" ht="15.75" customHeight="1" x14ac:dyDescent="0.25">
      <c r="A14" t="s">
        <v>9</v>
      </c>
      <c r="B14">
        <f t="shared" si="0"/>
        <v>4747052.4303343054</v>
      </c>
      <c r="C14">
        <f>Medium_Capacity!C61*0.25</f>
        <v>4747052.4303343054</v>
      </c>
    </row>
    <row r="15" spans="1:3" ht="15.75" customHeight="1" x14ac:dyDescent="0.25">
      <c r="A15" t="s">
        <v>40</v>
      </c>
      <c r="B15">
        <f t="shared" si="0"/>
        <v>14875638.036021562</v>
      </c>
      <c r="C15">
        <f>Medium_Capacity!C62*0.25</f>
        <v>14875638.036021562</v>
      </c>
    </row>
    <row r="16" spans="1:3" ht="15.75" customHeight="1" x14ac:dyDescent="0.25">
      <c r="A16" t="s">
        <v>7</v>
      </c>
      <c r="B16">
        <f t="shared" si="0"/>
        <v>231909.45848684211</v>
      </c>
      <c r="C16">
        <f>Medium_Capacity!C63*0.25</f>
        <v>231909.45848684211</v>
      </c>
    </row>
    <row r="17" spans="1:3" ht="15.75" customHeight="1" x14ac:dyDescent="0.25">
      <c r="A17" t="s">
        <v>10</v>
      </c>
      <c r="B17">
        <f t="shared" si="0"/>
        <v>35619750.841946572</v>
      </c>
      <c r="C17">
        <f>Medium_Capacity!C64*0.25</f>
        <v>35619750.841946572</v>
      </c>
    </row>
    <row r="18" spans="1:3" ht="15.75" customHeight="1" x14ac:dyDescent="0.25">
      <c r="A18" t="s">
        <v>13</v>
      </c>
      <c r="B18">
        <f t="shared" si="0"/>
        <v>40200058.257479519</v>
      </c>
      <c r="C18">
        <f>Medium_Capacity!C65*0.25</f>
        <v>40200058.257479519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C13"/>
  <sheetViews>
    <sheetView workbookViewId="0">
      <selection activeCell="F27" sqref="F27"/>
    </sheetView>
  </sheetViews>
  <sheetFormatPr defaultRowHeight="15" x14ac:dyDescent="0.25"/>
  <cols>
    <col min="1" max="1" width="13.140625" customWidth="1"/>
    <col min="2" max="2" width="13.5703125" bestFit="1" customWidth="1"/>
  </cols>
  <sheetData>
    <row r="1" spans="1:3" x14ac:dyDescent="0.25">
      <c r="A1" t="s">
        <v>38</v>
      </c>
      <c r="B1" s="4" t="s">
        <v>18</v>
      </c>
    </row>
    <row r="2" spans="1:3" x14ac:dyDescent="0.25">
      <c r="A2" s="1" t="s">
        <v>0</v>
      </c>
      <c r="B2" s="22">
        <f>C2</f>
        <v>37210000</v>
      </c>
      <c r="C2" s="19">
        <v>37210000</v>
      </c>
    </row>
    <row r="3" spans="1:3" x14ac:dyDescent="0.25">
      <c r="A3" s="1" t="s">
        <v>1</v>
      </c>
      <c r="B3" s="22">
        <f t="shared" ref="B3:B13" si="0">C3</f>
        <v>2610000</v>
      </c>
      <c r="C3" s="19">
        <v>2610000</v>
      </c>
    </row>
    <row r="4" spans="1:3" x14ac:dyDescent="0.25">
      <c r="A4" s="1" t="s">
        <v>2</v>
      </c>
      <c r="B4" s="22">
        <f t="shared" si="0"/>
        <v>35730000</v>
      </c>
      <c r="C4" s="19">
        <v>35730000</v>
      </c>
    </row>
    <row r="5" spans="1:3" x14ac:dyDescent="0.25">
      <c r="A5" s="1" t="s">
        <v>3</v>
      </c>
      <c r="B5" s="22">
        <f t="shared" si="0"/>
        <v>5706000</v>
      </c>
      <c r="C5" s="19">
        <v>5706000</v>
      </c>
    </row>
    <row r="6" spans="1:3" x14ac:dyDescent="0.25">
      <c r="A6" s="1" t="s">
        <v>4</v>
      </c>
      <c r="B6" s="22">
        <f t="shared" si="0"/>
        <v>5777000</v>
      </c>
      <c r="C6" s="19">
        <v>5777000</v>
      </c>
    </row>
    <row r="7" spans="1:3" x14ac:dyDescent="0.25">
      <c r="A7" s="1" t="s">
        <v>5</v>
      </c>
      <c r="B7" s="22">
        <f t="shared" si="0"/>
        <v>3207000</v>
      </c>
      <c r="C7" s="19">
        <v>3207000</v>
      </c>
    </row>
    <row r="8" spans="1:3" x14ac:dyDescent="0.25">
      <c r="A8" s="1" t="s">
        <v>7</v>
      </c>
      <c r="B8" s="22">
        <f t="shared" si="0"/>
        <v>2595000</v>
      </c>
      <c r="C8" s="19">
        <v>2595000</v>
      </c>
    </row>
    <row r="9" spans="1:3" x14ac:dyDescent="0.25">
      <c r="A9" s="1" t="s">
        <v>6</v>
      </c>
      <c r="B9" s="22">
        <f t="shared" si="0"/>
        <v>3123000</v>
      </c>
      <c r="C9" s="19">
        <v>3123000</v>
      </c>
    </row>
    <row r="10" spans="1:3" x14ac:dyDescent="0.25">
      <c r="A10" s="1" t="s">
        <v>8</v>
      </c>
      <c r="B10" s="22">
        <f t="shared" si="0"/>
        <v>5222000</v>
      </c>
      <c r="C10" s="19">
        <v>5222000</v>
      </c>
    </row>
    <row r="11" spans="1:3" x14ac:dyDescent="0.25">
      <c r="A11" t="s">
        <v>9</v>
      </c>
      <c r="B11" s="22">
        <f t="shared" si="0"/>
        <v>1900000</v>
      </c>
      <c r="C11" s="19">
        <v>1900000</v>
      </c>
    </row>
    <row r="12" spans="1:3" x14ac:dyDescent="0.25">
      <c r="A12" t="s">
        <v>10</v>
      </c>
      <c r="B12" s="22">
        <f t="shared" si="0"/>
        <v>14250000</v>
      </c>
      <c r="C12" s="19">
        <v>14250000</v>
      </c>
    </row>
    <row r="13" spans="1:3" x14ac:dyDescent="0.25">
      <c r="A13" t="s">
        <v>13</v>
      </c>
      <c r="B13" s="22">
        <f t="shared" si="0"/>
        <v>1608000</v>
      </c>
      <c r="C13" s="19">
        <v>1608000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9103-869D-47A8-B34E-4DAF7BA26C71}">
  <dimension ref="A1:AZ65"/>
  <sheetViews>
    <sheetView tabSelected="1" workbookViewId="0">
      <selection activeCell="G30" sqref="G30"/>
    </sheetView>
  </sheetViews>
  <sheetFormatPr defaultRowHeight="15" x14ac:dyDescent="0.25"/>
  <cols>
    <col min="1" max="1" width="16.28515625" bestFit="1" customWidth="1"/>
    <col min="2" max="2" width="19.5703125" bestFit="1" customWidth="1"/>
    <col min="3" max="3" width="18.42578125" customWidth="1"/>
    <col min="4" max="4" width="15.28515625" bestFit="1" customWidth="1"/>
    <col min="5" max="5" width="14.28515625" bestFit="1" customWidth="1"/>
    <col min="6" max="6" width="20.140625" customWidth="1"/>
    <col min="7" max="9" width="12.7109375" customWidth="1"/>
    <col min="10" max="10" width="13.28515625" bestFit="1" customWidth="1"/>
    <col min="11" max="11" width="15.5703125" bestFit="1" customWidth="1"/>
    <col min="12" max="12" width="12.7109375" customWidth="1"/>
    <col min="13" max="13" width="11.5703125" bestFit="1" customWidth="1"/>
    <col min="14" max="14" width="12.140625" bestFit="1" customWidth="1"/>
    <col min="15" max="15" width="11.28515625" bestFit="1" customWidth="1"/>
    <col min="16" max="16" width="10.5703125" bestFit="1" customWidth="1"/>
  </cols>
  <sheetData>
    <row r="1" spans="1:52" x14ac:dyDescent="0.25">
      <c r="A1" t="s">
        <v>15</v>
      </c>
      <c r="B1" s="12">
        <v>1</v>
      </c>
      <c r="C1" s="12" t="s">
        <v>53</v>
      </c>
      <c r="D1" s="12" t="s">
        <v>50</v>
      </c>
      <c r="E1" s="12" t="s">
        <v>51</v>
      </c>
      <c r="F1" s="12" t="s">
        <v>52</v>
      </c>
      <c r="G1" s="2"/>
      <c r="H1" s="2"/>
      <c r="I1" s="2"/>
      <c r="J1" s="2" t="s">
        <v>55</v>
      </c>
      <c r="K1" s="2" t="s">
        <v>56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14" t="s">
        <v>46</v>
      </c>
      <c r="B2" s="8">
        <v>25200000</v>
      </c>
      <c r="C2" s="17">
        <f>B2/$B$20</f>
        <v>3.9562237561659988E-3</v>
      </c>
      <c r="D2" s="16">
        <f>SUMIFS(Q_start!E:E, Q_start!B:B, Medium_Capacity!A2)</f>
        <v>662897.31081394223</v>
      </c>
      <c r="E2" s="15">
        <f>VLOOKUP(Medium_Capacity!A2, Medium_Capacity!A1:A18:B1:B18, 2, FALSE)</f>
        <v>25200000</v>
      </c>
      <c r="F2" s="20">
        <f>E2-D2</f>
        <v>24537102.689186059</v>
      </c>
      <c r="G2" s="5"/>
      <c r="H2" s="5"/>
      <c r="I2" s="5"/>
      <c r="J2">
        <f>VLOOKUP(Q_start!B2,Medium_Capacity!$B$30:$C$46,2)</f>
        <v>0.30437026926105981</v>
      </c>
      <c r="K2">
        <f>VLOOKUP(Q_start!A2,Medium_Capacity!$B$49:$C$65,2, FALSE)</f>
        <v>14777182.228013201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4" t="s">
        <v>28</v>
      </c>
      <c r="B3" s="8">
        <v>48600000</v>
      </c>
      <c r="C3" s="17">
        <f t="shared" ref="C3:C18" si="0">B3/$B$20</f>
        <v>7.6298601011772823E-3</v>
      </c>
      <c r="D3" s="16">
        <f>SUMIFS(Q_start!E:E, Q_start!B:B, Medium_Capacity!A3)</f>
        <v>3922777.2273771563</v>
      </c>
      <c r="E3" s="15">
        <f>VLOOKUP(Medium_Capacity!A3, Medium_Capacity!A2:A19:B2:B19, 2, FALSE)</f>
        <v>48600000</v>
      </c>
      <c r="F3" s="20">
        <f t="shared" ref="F3:F7" si="1">E3-D3</f>
        <v>44677222.772622846</v>
      </c>
      <c r="G3" s="5"/>
      <c r="H3" s="5"/>
      <c r="I3" s="5"/>
      <c r="J3">
        <f>VLOOKUP(Q_start!B3,Medium_Capacity!$B$30:$C$46,2)</f>
        <v>3.6610769045155193E-2</v>
      </c>
      <c r="K3">
        <f>VLOOKUP(Q_start!A3,Medium_Capacity!$B$49:$C$65,2, FALSE)</f>
        <v>14777182.228013201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14" t="s">
        <v>48</v>
      </c>
      <c r="B4" s="8">
        <v>16000000</v>
      </c>
      <c r="C4" s="17">
        <f t="shared" si="0"/>
        <v>2.5118880991530147E-3</v>
      </c>
      <c r="D4" s="16">
        <f>SUMIFS(Q_start!E:E, Q_start!B:B, Medium_Capacity!A4)</f>
        <v>2202438.3659863574</v>
      </c>
      <c r="E4" s="15">
        <f>VLOOKUP(Medium_Capacity!A4, Medium_Capacity!A3:A20:B3:B20, 2, FALSE)</f>
        <v>16000000</v>
      </c>
      <c r="F4" s="20">
        <f t="shared" si="1"/>
        <v>13797561.634013642</v>
      </c>
      <c r="G4" s="5"/>
      <c r="H4" s="5"/>
      <c r="I4" s="6"/>
      <c r="J4">
        <f>VLOOKUP(Q_start!B4,Medium_Capacity!$B$30:$C$46,2)</f>
        <v>0.30437026926105981</v>
      </c>
      <c r="K4">
        <f>VLOOKUP(Q_start!A4,Medium_Capacity!$B$49:$C$65,2, FALSE)</f>
        <v>331279149.41895598</v>
      </c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14" t="s">
        <v>36</v>
      </c>
      <c r="B5" s="8">
        <v>72000000</v>
      </c>
      <c r="C5" s="17">
        <f t="shared" si="0"/>
        <v>1.1303496446188567E-2</v>
      </c>
      <c r="D5" s="16">
        <f>SUMIFS(Q_start!E:E, Q_start!B:B, Medium_Capacity!A5)</f>
        <v>13131994.463387132</v>
      </c>
      <c r="E5" s="15">
        <f>VLOOKUP(Medium_Capacity!A5, Medium_Capacity!A4:A21:B4:B21, 2, FALSE)</f>
        <v>72000000</v>
      </c>
      <c r="F5" s="20">
        <f t="shared" si="1"/>
        <v>58868005.536612868</v>
      </c>
      <c r="G5" s="5"/>
      <c r="H5" s="5"/>
      <c r="I5" s="6"/>
      <c r="J5">
        <f>VLOOKUP(Q_start!B5,Medium_Capacity!$B$30:$C$46,2)</f>
        <v>5.0269160584299713E-2</v>
      </c>
      <c r="K5">
        <f>VLOOKUP(Q_start!A5,Medium_Capacity!$B$49:$C$65,2, FALSE)</f>
        <v>331279149.41895598</v>
      </c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14" t="s">
        <v>47</v>
      </c>
      <c r="B6" s="8">
        <v>16800000</v>
      </c>
      <c r="C6" s="17">
        <f t="shared" si="0"/>
        <v>2.6374825041106656E-3</v>
      </c>
      <c r="D6" s="16">
        <f>SUMIFS(Q_start!E:E, Q_start!B:B, Medium_Capacity!A6)</f>
        <v>441931.54054262809</v>
      </c>
      <c r="E6" s="15">
        <f>VLOOKUP(Medium_Capacity!A6, Medium_Capacity!A5:A22:B5:B22, 2, FALSE)</f>
        <v>16800000</v>
      </c>
      <c r="F6" s="20">
        <f t="shared" si="1"/>
        <v>16358068.459457371</v>
      </c>
      <c r="G6" s="5"/>
      <c r="H6" s="5"/>
      <c r="I6" s="5"/>
      <c r="J6">
        <f>VLOOKUP(Q_start!B6,Medium_Capacity!$B$30:$C$46,2)</f>
        <v>0.30437026926105981</v>
      </c>
      <c r="K6">
        <f>VLOOKUP(Q_start!A6,Medium_Capacity!$B$49:$C$65,2, FALSE)</f>
        <v>26052155.976207186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14" t="s">
        <v>26</v>
      </c>
      <c r="B7" s="8">
        <v>320200000</v>
      </c>
      <c r="C7" s="17">
        <f t="shared" si="0"/>
        <v>5.0269160584299713E-2</v>
      </c>
      <c r="D7" s="16">
        <f>SUMIFS(Q_start!E:E, Q_start!B:B, Medium_Capacity!A7)</f>
        <v>64959348.975176215</v>
      </c>
      <c r="E7" s="15">
        <f>VLOOKUP(Medium_Capacity!A7, Medium_Capacity!A6:A23:B6:B23, 2, FALSE)</f>
        <v>320200000</v>
      </c>
      <c r="F7" s="20">
        <f t="shared" si="1"/>
        <v>255240651.02482378</v>
      </c>
      <c r="G7" s="5"/>
      <c r="H7" s="5"/>
      <c r="I7" s="5"/>
      <c r="J7">
        <f>VLOOKUP(Q_start!B7,Medium_Capacity!$B$30:$C$46,2)</f>
        <v>0.51693087150507078</v>
      </c>
      <c r="K7">
        <f>VLOOKUP(Q_start!A7,Medium_Capacity!$B$49:$C$65,2, FALSE)</f>
        <v>26052155.976207186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14" t="s">
        <v>45</v>
      </c>
      <c r="B8" s="8">
        <v>60000</v>
      </c>
      <c r="C8" s="17">
        <f t="shared" si="0"/>
        <v>9.4195803718238052E-6</v>
      </c>
      <c r="D8" s="16">
        <f>SUMIFS(Q_start!E:E, Q_start!B:B, Medium_Capacity!A8)</f>
        <v>17.475918265623562</v>
      </c>
      <c r="E8" s="15">
        <f>VLOOKUP(Medium_Capacity!A8, Medium_Capacity!A7:A24:B7:B24, 2, FALSE)</f>
        <v>60000</v>
      </c>
      <c r="F8" s="20">
        <f t="shared" ref="F8:F18" si="2">E8-D8</f>
        <v>59982.524081734373</v>
      </c>
      <c r="G8" s="6"/>
      <c r="H8" s="6"/>
      <c r="I8" s="6"/>
      <c r="J8">
        <f>VLOOKUP(Q_start!B8,Medium_Capacity!$B$30:$C$46,2)</f>
        <v>9.7335663842179328E-4</v>
      </c>
      <c r="K8">
        <f>VLOOKUP(Q_start!A8,Medium_Capacity!$B$49:$C$65,2, FALSE)</f>
        <v>26052155.976207186</v>
      </c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14" t="s">
        <v>22</v>
      </c>
      <c r="B9" s="8">
        <v>3292700000</v>
      </c>
      <c r="C9" s="17">
        <f t="shared" si="0"/>
        <v>0.51693087150507078</v>
      </c>
      <c r="D9" s="16">
        <f>SUMIFS(Q_start!E:E, Q_start!B:B, Medium_Capacity!A9)</f>
        <v>813362361.42699778</v>
      </c>
      <c r="E9" s="15">
        <f>VLOOKUP(Medium_Capacity!A9, Medium_Capacity!A8:A25:B8:B25, 2, FALSE)</f>
        <v>3292700000</v>
      </c>
      <c r="F9" s="20">
        <f>E9-D9</f>
        <v>2479337638.5730023</v>
      </c>
      <c r="G9" s="5"/>
      <c r="H9" s="5"/>
      <c r="I9" s="5"/>
      <c r="J9">
        <f>VLOOKUP(Q_start!B9,Medium_Capacity!$B$30:$C$46,2)</f>
        <v>0.30437026926105981</v>
      </c>
      <c r="K9">
        <f>VLOOKUP(Q_start!A9,Medium_Capacity!$B$49:$C$65,2, FALSE)</f>
        <v>7180030.7496517412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14" t="s">
        <v>49</v>
      </c>
      <c r="B10" s="8">
        <v>16000000</v>
      </c>
      <c r="C10" s="17">
        <f t="shared" si="0"/>
        <v>2.5118880991530147E-3</v>
      </c>
      <c r="D10" s="16">
        <f>SUMIFS(Q_start!E:E, Q_start!B:B, Medium_Capacity!A10)</f>
        <v>2202438.3659863574</v>
      </c>
      <c r="E10" s="15">
        <f>VLOOKUP(Medium_Capacity!A10, Medium_Capacity!A9:A26:B9:B26, 2, FALSE)</f>
        <v>16000000</v>
      </c>
      <c r="F10" s="20">
        <f t="shared" si="2"/>
        <v>13797561.634013642</v>
      </c>
      <c r="G10" s="5"/>
      <c r="H10" s="5"/>
      <c r="I10" s="5"/>
      <c r="J10">
        <f>VLOOKUP(Q_start!B10,Medium_Capacity!$B$30:$C$46,2)</f>
        <v>3.6610769045155193E-2</v>
      </c>
      <c r="K10">
        <f>VLOOKUP(Q_start!A10,Medium_Capacity!$B$49:$C$65,2, FALSE)</f>
        <v>7180030.7496517412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14" t="s">
        <v>31</v>
      </c>
      <c r="B11" s="8">
        <v>121200000</v>
      </c>
      <c r="C11" s="17">
        <f t="shared" si="0"/>
        <v>1.9027552351084089E-2</v>
      </c>
      <c r="D11" s="16">
        <f>SUMIFS(Q_start!E:E, Q_start!B:B, Medium_Capacity!A11)</f>
        <v>15072242.234624971</v>
      </c>
      <c r="E11" s="15">
        <f>VLOOKUP(Medium_Capacity!A11, Medium_Capacity!A10:A27:B10:B27, 2, FALSE)</f>
        <v>121200000</v>
      </c>
      <c r="F11" s="20">
        <f t="shared" si="2"/>
        <v>106127757.76537503</v>
      </c>
      <c r="G11" s="5"/>
      <c r="H11" s="5"/>
      <c r="I11" s="5"/>
      <c r="J11">
        <f>VLOOKUP(Q_start!B11,Medium_Capacity!$B$30:$C$46,2)</f>
        <v>7.6298601011772823E-3</v>
      </c>
      <c r="K11">
        <f>VLOOKUP(Q_start!A11,Medium_Capacity!$B$49:$C$65,2, FALSE)</f>
        <v>7180030.7496517412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14" t="s">
        <v>24</v>
      </c>
      <c r="B12" s="8">
        <v>6200000</v>
      </c>
      <c r="C12" s="17">
        <f t="shared" si="0"/>
        <v>9.7335663842179328E-4</v>
      </c>
      <c r="D12" s="16">
        <f>SUMIFS(Q_start!E:E, Q_start!B:B, Medium_Capacity!A12)</f>
        <v>87680.677897300135</v>
      </c>
      <c r="E12" s="15">
        <f>VLOOKUP(Medium_Capacity!A12, Medium_Capacity!A11:A28:B11:B28, 2, FALSE)</f>
        <v>6200000</v>
      </c>
      <c r="F12" s="20">
        <f t="shared" si="2"/>
        <v>6112319.3221026994</v>
      </c>
      <c r="G12" s="5"/>
      <c r="H12" s="5"/>
      <c r="I12" s="5"/>
      <c r="J12">
        <f>VLOOKUP(Q_start!B12,Medium_Capacity!$B$30:$C$46,2)</f>
        <v>0.30437026926105981</v>
      </c>
      <c r="K12">
        <f>VLOOKUP(Q_start!A12,Medium_Capacity!$B$49:$C$65,2, FALSE)</f>
        <v>59502552.144086249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14" t="s">
        <v>30</v>
      </c>
      <c r="B13" s="8">
        <v>41000000</v>
      </c>
      <c r="C13" s="17">
        <f t="shared" si="0"/>
        <v>6.4367132540796004E-3</v>
      </c>
      <c r="D13" s="16">
        <f>SUMIFS(Q_start!E:E, Q_start!B:B, Medium_Capacity!A13)</f>
        <v>8897918.9836929291</v>
      </c>
      <c r="E13" s="15">
        <f>VLOOKUP(Medium_Capacity!A13, Medium_Capacity!A12:A29:B12:B29, 2, FALSE)</f>
        <v>41000000</v>
      </c>
      <c r="F13" s="20">
        <f t="shared" si="2"/>
        <v>32102081.016307071</v>
      </c>
      <c r="G13" s="5"/>
      <c r="H13" s="5"/>
      <c r="I13" s="5"/>
      <c r="J13">
        <f>VLOOKUP(Q_start!B13,Medium_Capacity!$B$30:$C$46,2)</f>
        <v>1.9027552351084089E-2</v>
      </c>
      <c r="K13">
        <f>VLOOKUP(Q_start!A13,Medium_Capacity!$B$49:$C$65,2, FALSE)</f>
        <v>59502552.144086249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14" t="s">
        <v>37</v>
      </c>
      <c r="B14" s="8">
        <v>11600000</v>
      </c>
      <c r="C14" s="17">
        <f t="shared" si="0"/>
        <v>1.8211188718859359E-3</v>
      </c>
      <c r="D14" s="16">
        <f>SUMIFS(Q_start!E:E, Q_start!B:B, Medium_Capacity!A14)</f>
        <v>585672.67794888001</v>
      </c>
      <c r="E14" s="15">
        <f>VLOOKUP(Medium_Capacity!A14, Medium_Capacity!A13:A30:B13:B30, 2, FALSE)</f>
        <v>11600000</v>
      </c>
      <c r="F14" s="20">
        <f t="shared" si="2"/>
        <v>11014327.322051119</v>
      </c>
      <c r="G14" s="5"/>
      <c r="H14" s="5"/>
      <c r="I14" s="5"/>
      <c r="J14">
        <f>VLOOKUP(Q_start!B14,Medium_Capacity!$B$30:$C$46,2)</f>
        <v>0.30437026926105981</v>
      </c>
      <c r="K14">
        <f>VLOOKUP(Q_start!A14,Medium_Capacity!$B$49:$C$65,2, FALSE)</f>
        <v>927637.83394736843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14" t="s">
        <v>20</v>
      </c>
      <c r="B15" s="8">
        <v>233200000</v>
      </c>
      <c r="C15" s="17">
        <f t="shared" si="0"/>
        <v>3.6610769045155193E-2</v>
      </c>
      <c r="D15" s="16">
        <f>SUMIFS(Q_start!E:E, Q_start!B:B, Medium_Capacity!A15)</f>
        <v>70514508.456252947</v>
      </c>
      <c r="E15" s="15">
        <f>VLOOKUP(Medium_Capacity!A15, Medium_Capacity!A14:A31:B14:B31, 2, FALSE)</f>
        <v>233200000</v>
      </c>
      <c r="F15" s="20">
        <f t="shared" si="2"/>
        <v>162685491.54374707</v>
      </c>
      <c r="G15" s="5"/>
      <c r="H15" s="5"/>
      <c r="I15" s="5"/>
      <c r="J15">
        <f>VLOOKUP(Q_start!B15,Medium_Capacity!$B$30:$C$46,2)</f>
        <v>3.2842936896425673E-2</v>
      </c>
      <c r="K15">
        <f>VLOOKUP(Q_start!A15,Medium_Capacity!$B$49:$C$65,2, FALSE)</f>
        <v>927637.83394736843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14" t="s">
        <v>33</v>
      </c>
      <c r="B16" s="8">
        <v>209200000</v>
      </c>
      <c r="C16" s="17">
        <f t="shared" si="0"/>
        <v>3.2842936896425673E-2</v>
      </c>
      <c r="D16" s="16">
        <f>SUMIFS(Q_start!E:E, Q_start!B:B, Medium_Capacity!A16)</f>
        <v>34360914.23466716</v>
      </c>
      <c r="E16" s="15">
        <f>VLOOKUP(Medium_Capacity!A16, Medium_Capacity!A15:A32:B15:B32, 2, FALSE)</f>
        <v>209200000</v>
      </c>
      <c r="F16" s="20">
        <f t="shared" si="2"/>
        <v>174839085.76533285</v>
      </c>
      <c r="G16" s="5"/>
      <c r="H16" s="5"/>
      <c r="I16" s="5"/>
      <c r="J16">
        <f>VLOOKUP(Q_start!B16,Medium_Capacity!$B$30:$C$46,2)</f>
        <v>9.4195803718238052E-6</v>
      </c>
      <c r="K16">
        <f>VLOOKUP(Q_start!A16,Medium_Capacity!$B$49:$C$65,2, FALSE)</f>
        <v>927637.83394736843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14" t="s">
        <v>23</v>
      </c>
      <c r="B17" s="8">
        <v>1938750500</v>
      </c>
      <c r="C17" s="17">
        <f t="shared" si="0"/>
        <v>0.30437026926105981</v>
      </c>
      <c r="D17" s="16">
        <f>SUMIFS(Q_start!E:E, Q_start!B:B, Medium_Capacity!A17)</f>
        <v>1066483631.1790735</v>
      </c>
      <c r="E17" s="15">
        <f>VLOOKUP(Medium_Capacity!A17, Medium_Capacity!A16:A33:B16:B33, 2, FALSE)</f>
        <v>1938750500</v>
      </c>
      <c r="F17" s="20">
        <f t="shared" si="2"/>
        <v>872266868.82092655</v>
      </c>
      <c r="J17">
        <f>VLOOKUP(Q_start!B17,Medium_Capacity!$B$30:$C$46,2)</f>
        <v>1.9027552351084089E-2</v>
      </c>
      <c r="K17">
        <f>VLOOKUP(Q_start!A17,Medium_Capacity!$B$49:$C$65,2, FALSE)</f>
        <v>83779046.847486719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14" t="s">
        <v>35</v>
      </c>
      <c r="B18" s="8">
        <v>1000000</v>
      </c>
      <c r="C18" s="17">
        <f t="shared" si="0"/>
        <v>1.5699300619706342E-4</v>
      </c>
      <c r="D18" s="16">
        <f>SUMIFS(Q_start!E:E, Q_start!B:B, Medium_Capacity!A18)</f>
        <v>5962.0322529060686</v>
      </c>
      <c r="E18" s="15">
        <f>VLOOKUP(Medium_Capacity!A18, Medium_Capacity!A17:A34:B17:B34, 2, FALSE)</f>
        <v>1000000</v>
      </c>
      <c r="F18" s="20">
        <f t="shared" si="2"/>
        <v>994037.96774709388</v>
      </c>
      <c r="G18" s="8"/>
      <c r="H18" s="8"/>
      <c r="I18" s="8"/>
      <c r="J18">
        <f>VLOOKUP(Q_start!B18,Medium_Capacity!$B$30:$C$46,2)</f>
        <v>3.9562237561659988E-3</v>
      </c>
      <c r="K18">
        <f>VLOOKUP(Q_start!A18,Medium_Capacity!$B$49:$C$65,2, FALSE)</f>
        <v>83779046.847486719</v>
      </c>
      <c r="L18" s="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B19" s="13"/>
      <c r="C19" s="13"/>
      <c r="D19" s="13"/>
      <c r="E19" s="13"/>
      <c r="F19" s="13"/>
      <c r="G19" s="8"/>
      <c r="H19" s="8"/>
      <c r="I19" s="8"/>
      <c r="J19">
        <f>VLOOKUP(Q_start!B19,Medium_Capacity!$B$30:$C$46,2)</f>
        <v>2.6374825041106656E-3</v>
      </c>
      <c r="K19">
        <f>VLOOKUP(Q_start!A19,Medium_Capacity!$B$49:$C$65,2, FALSE)</f>
        <v>83779046.847486719</v>
      </c>
    </row>
    <row r="20" spans="1:52" x14ac:dyDescent="0.25">
      <c r="B20" s="9">
        <f>SUM(B2:B18)</f>
        <v>6369710500</v>
      </c>
      <c r="C20" s="9"/>
      <c r="D20" s="9"/>
      <c r="E20" s="9"/>
      <c r="F20" s="9"/>
      <c r="G20" s="9"/>
      <c r="H20" s="9"/>
      <c r="I20" s="9"/>
      <c r="J20">
        <f>VLOOKUP(Q_start!B20,Medium_Capacity!$B$30:$C$46,2)</f>
        <v>3.2842936896425673E-2</v>
      </c>
      <c r="K20">
        <f>VLOOKUP(Q_start!A20,Medium_Capacity!$B$49:$C$65,2, FALSE)</f>
        <v>83779046.847486719</v>
      </c>
    </row>
    <row r="21" spans="1:52" x14ac:dyDescent="0.25">
      <c r="B21" s="7"/>
      <c r="C21" s="7"/>
      <c r="D21" s="7"/>
      <c r="E21" s="8"/>
      <c r="F21" s="8"/>
      <c r="G21" s="8"/>
      <c r="H21" s="8"/>
      <c r="I21" s="8"/>
      <c r="J21">
        <f>VLOOKUP(Q_start!B21,Medium_Capacity!$B$30:$C$46,2)</f>
        <v>0.30437026926105981</v>
      </c>
      <c r="K21">
        <f>VLOOKUP(Q_start!A21,Medium_Capacity!$B$49:$C$65,2, FALSE)</f>
        <v>438402962.04456699</v>
      </c>
    </row>
    <row r="22" spans="1:52" x14ac:dyDescent="0.25">
      <c r="B22" s="7"/>
      <c r="C22" s="7"/>
      <c r="D22" s="7"/>
      <c r="E22" s="8"/>
      <c r="F22" s="8"/>
      <c r="G22" s="8"/>
      <c r="H22" s="8"/>
      <c r="I22" s="8"/>
      <c r="J22">
        <f>VLOOKUP(Q_start!B22,Medium_Capacity!$B$30:$C$46,2)</f>
        <v>3.6610769045155193E-2</v>
      </c>
      <c r="K22">
        <f>VLOOKUP(Q_start!A22,Medium_Capacity!$B$49:$C$65,2, FALSE)</f>
        <v>438402962.04456699</v>
      </c>
    </row>
    <row r="23" spans="1:52" x14ac:dyDescent="0.25">
      <c r="B23" s="8"/>
      <c r="C23" s="8"/>
      <c r="D23" s="8"/>
      <c r="E23" s="8"/>
      <c r="F23" s="11"/>
      <c r="G23" s="8"/>
      <c r="H23" s="8"/>
      <c r="I23" s="8"/>
      <c r="J23">
        <f>VLOOKUP(Q_start!B23,Medium_Capacity!$B$30:$C$46,2)</f>
        <v>0.51693087150507078</v>
      </c>
      <c r="K23">
        <f>VLOOKUP(Q_start!A23,Medium_Capacity!$B$49:$C$65,2, FALSE)</f>
        <v>438402962.04456699</v>
      </c>
      <c r="L23" s="8"/>
    </row>
    <row r="24" spans="1:52" x14ac:dyDescent="0.25">
      <c r="B24" s="8"/>
      <c r="C24" s="8"/>
      <c r="D24" s="8"/>
      <c r="E24" s="8"/>
      <c r="F24" s="8"/>
      <c r="G24" s="8"/>
      <c r="H24" s="8"/>
      <c r="I24" s="8"/>
      <c r="J24">
        <f>VLOOKUP(Q_start!B24,Medium_Capacity!$B$30:$C$46,2)</f>
        <v>3.2842936896425673E-2</v>
      </c>
      <c r="K24">
        <f>VLOOKUP(Q_start!A24,Medium_Capacity!$B$49:$C$65,2, FALSE)</f>
        <v>438402962.04456699</v>
      </c>
      <c r="L24" s="8"/>
    </row>
    <row r="25" spans="1:52" x14ac:dyDescent="0.25">
      <c r="B25" s="8"/>
      <c r="C25" s="8"/>
      <c r="D25" s="8"/>
      <c r="E25" s="8"/>
      <c r="F25" s="8"/>
      <c r="G25" s="8"/>
      <c r="H25" s="8"/>
      <c r="I25" s="8"/>
      <c r="J25">
        <f>VLOOKUP(Q_start!B25,Medium_Capacity!$B$30:$C$46,2)</f>
        <v>6.4367132540796004E-3</v>
      </c>
      <c r="K25">
        <f>VLOOKUP(Q_start!A25,Medium_Capacity!$B$49:$C$65,2, FALSE)</f>
        <v>438402962.04456699</v>
      </c>
      <c r="L25" s="8"/>
    </row>
    <row r="26" spans="1:52" x14ac:dyDescent="0.25">
      <c r="B26" s="8"/>
      <c r="C26" s="8"/>
      <c r="D26" s="8"/>
      <c r="E26" s="8"/>
      <c r="F26" s="8"/>
      <c r="G26" s="8"/>
      <c r="H26" s="8"/>
      <c r="I26" s="8"/>
      <c r="J26">
        <f>VLOOKUP(Q_start!B26,Medium_Capacity!$B$30:$C$46,2)</f>
        <v>2.5118880991530147E-3</v>
      </c>
      <c r="K26">
        <f>VLOOKUP(Q_start!A26,Medium_Capacity!$B$49:$C$65,2, FALSE)</f>
        <v>438402962.04456699</v>
      </c>
      <c r="L26" s="8"/>
    </row>
    <row r="27" spans="1:52" x14ac:dyDescent="0.25">
      <c r="B27" s="8"/>
      <c r="C27" s="8"/>
      <c r="D27" s="8"/>
      <c r="E27" s="8"/>
      <c r="F27" s="8"/>
      <c r="G27" s="8"/>
      <c r="H27" s="8"/>
      <c r="I27" s="8"/>
      <c r="J27">
        <f>VLOOKUP(Q_start!B27,Medium_Capacity!$B$30:$C$46,2)</f>
        <v>1.1303496446188567E-2</v>
      </c>
      <c r="K27">
        <f>VLOOKUP(Q_start!A27,Medium_Capacity!$B$49:$C$65,2, FALSE)</f>
        <v>438402962.04456699</v>
      </c>
      <c r="L27" s="8"/>
    </row>
    <row r="28" spans="1:52" x14ac:dyDescent="0.25">
      <c r="E28" s="8"/>
      <c r="F28" s="8"/>
      <c r="G28" s="8"/>
      <c r="H28" s="8"/>
      <c r="I28" s="8"/>
      <c r="J28">
        <f>VLOOKUP(Q_start!B28,Medium_Capacity!$B$30:$C$46,2)</f>
        <v>2.5118880991530147E-3</v>
      </c>
      <c r="K28">
        <f>VLOOKUP(Q_start!A28,Medium_Capacity!$B$49:$C$65,2, FALSE)</f>
        <v>438402962.04456699</v>
      </c>
      <c r="L28" s="8"/>
    </row>
    <row r="29" spans="1:52" x14ac:dyDescent="0.25">
      <c r="E29" s="8"/>
      <c r="F29" s="8"/>
      <c r="G29" s="8"/>
      <c r="H29" s="8"/>
      <c r="I29" s="8"/>
      <c r="J29">
        <f>VLOOKUP(Q_start!B29,Medium_Capacity!$B$30:$C$46,2)</f>
        <v>0.30437026926105981</v>
      </c>
      <c r="K29">
        <f>VLOOKUP(Q_start!A29,Medium_Capacity!$B$49:$C$65,2, FALSE)</f>
        <v>6404901.9598684218</v>
      </c>
      <c r="L29" s="8"/>
    </row>
    <row r="30" spans="1:52" x14ac:dyDescent="0.25">
      <c r="B30" t="s">
        <v>46</v>
      </c>
      <c r="C30" s="2">
        <v>3.9562237561659988E-3</v>
      </c>
      <c r="E30" s="8"/>
      <c r="F30" s="8"/>
      <c r="G30" s="8"/>
      <c r="H30" s="8"/>
      <c r="I30" s="8"/>
      <c r="J30">
        <f>VLOOKUP(Q_start!B30,Medium_Capacity!$B$30:$C$46,2)</f>
        <v>3.6610769045155193E-2</v>
      </c>
      <c r="K30">
        <f>VLOOKUP(Q_start!A30,Medium_Capacity!$B$49:$C$65,2, FALSE)</f>
        <v>6404901.9598684218</v>
      </c>
      <c r="L30" s="8"/>
    </row>
    <row r="31" spans="1:52" x14ac:dyDescent="0.25">
      <c r="B31" t="s">
        <v>28</v>
      </c>
      <c r="C31" s="2">
        <v>7.6298601011772823E-3</v>
      </c>
      <c r="E31" s="8"/>
      <c r="F31" s="8"/>
      <c r="G31" s="8"/>
      <c r="H31" s="8"/>
      <c r="I31" s="8"/>
      <c r="J31">
        <f>VLOOKUP(Q_start!B31,Medium_Capacity!$B$30:$C$46,2)</f>
        <v>7.6298601011772823E-3</v>
      </c>
      <c r="K31">
        <f>VLOOKUP(Q_start!A31,Medium_Capacity!$B$49:$C$65,2, FALSE)</f>
        <v>6404901.9598684218</v>
      </c>
      <c r="L31" s="8"/>
    </row>
    <row r="32" spans="1:52" x14ac:dyDescent="0.25">
      <c r="B32" t="s">
        <v>48</v>
      </c>
      <c r="C32" s="2">
        <v>2.5118880991530147E-3</v>
      </c>
      <c r="E32" s="8"/>
      <c r="F32" s="8"/>
      <c r="G32" s="8"/>
      <c r="H32" s="8"/>
      <c r="I32" s="8"/>
      <c r="J32">
        <f>VLOOKUP(Q_start!B32,Medium_Capacity!$B$30:$C$46,2)</f>
        <v>0.30437026926105981</v>
      </c>
      <c r="K32">
        <f>VLOOKUP(Q_start!A32,Medium_Capacity!$B$49:$C$65,2, FALSE)</f>
        <v>243482508.59073868</v>
      </c>
      <c r="L32" s="8"/>
    </row>
    <row r="33" spans="2:12" x14ac:dyDescent="0.25">
      <c r="B33" t="s">
        <v>36</v>
      </c>
      <c r="C33" s="2">
        <v>1.1303496446188567E-2</v>
      </c>
      <c r="E33" s="8"/>
      <c r="F33" s="8"/>
      <c r="G33" s="8"/>
      <c r="H33" s="8"/>
      <c r="I33" s="8"/>
      <c r="J33">
        <f>VLOOKUP(Q_start!B33,Medium_Capacity!$B$30:$C$46,2)</f>
        <v>3.6610769045155193E-2</v>
      </c>
      <c r="K33">
        <f>VLOOKUP(Q_start!A33,Medium_Capacity!$B$49:$C$65,2, FALSE)</f>
        <v>243482508.59073868</v>
      </c>
      <c r="L33" s="8"/>
    </row>
    <row r="34" spans="2:12" x14ac:dyDescent="0.25">
      <c r="B34" t="s">
        <v>47</v>
      </c>
      <c r="C34" s="2">
        <v>2.6374825041106656E-3</v>
      </c>
      <c r="E34" s="8"/>
      <c r="F34" s="8"/>
      <c r="G34" s="8"/>
      <c r="H34" s="8"/>
      <c r="I34" s="8"/>
      <c r="J34">
        <f>VLOOKUP(Q_start!B34,Medium_Capacity!$B$30:$C$46,2)</f>
        <v>7.6298601011772823E-3</v>
      </c>
      <c r="K34">
        <f>VLOOKUP(Q_start!A34,Medium_Capacity!$B$49:$C$65,2, FALSE)</f>
        <v>243482508.59073868</v>
      </c>
      <c r="L34" s="8"/>
    </row>
    <row r="35" spans="2:12" x14ac:dyDescent="0.25">
      <c r="B35" t="s">
        <v>26</v>
      </c>
      <c r="C35" s="2">
        <v>5.0269160584299713E-2</v>
      </c>
      <c r="E35" s="8"/>
      <c r="F35" s="8"/>
      <c r="G35" s="8"/>
      <c r="H35" s="8"/>
      <c r="I35" s="8"/>
      <c r="J35">
        <f>VLOOKUP(Q_start!B35,Medium_Capacity!$B$30:$C$46,2)</f>
        <v>0.30437026926105981</v>
      </c>
      <c r="K35">
        <f>VLOOKUP(Q_start!A35,Medium_Capacity!$B$49:$C$65,2, FALSE)</f>
        <v>62054151.5187333</v>
      </c>
      <c r="L35" s="8"/>
    </row>
    <row r="36" spans="2:12" x14ac:dyDescent="0.25">
      <c r="B36" t="s">
        <v>45</v>
      </c>
      <c r="C36" s="2">
        <v>9.4195803718238052E-6</v>
      </c>
      <c r="E36" s="8"/>
      <c r="F36" s="8"/>
      <c r="G36" s="8"/>
      <c r="H36" s="8"/>
      <c r="I36" s="8"/>
      <c r="J36">
        <f>VLOOKUP(Q_start!B36,Medium_Capacity!$B$30:$C$46,2)</f>
        <v>5.0269160584299713E-2</v>
      </c>
      <c r="K36">
        <f>VLOOKUP(Q_start!A36,Medium_Capacity!$B$49:$C$65,2, FALSE)</f>
        <v>62054151.5187333</v>
      </c>
      <c r="L36" s="8"/>
    </row>
    <row r="37" spans="2:12" x14ac:dyDescent="0.25">
      <c r="B37" t="s">
        <v>22</v>
      </c>
      <c r="C37" s="2">
        <v>0.51693087150507078</v>
      </c>
      <c r="E37" s="8"/>
      <c r="F37" s="8"/>
      <c r="G37" s="8"/>
      <c r="H37" s="8"/>
      <c r="I37" s="8"/>
      <c r="J37">
        <f>VLOOKUP(Q_start!B37,Medium_Capacity!$B$30:$C$46,2)</f>
        <v>0.30437026926105981</v>
      </c>
      <c r="K37">
        <f>VLOOKUP(Q_start!A37,Medium_Capacity!$B$49:$C$65,2, FALSE)</f>
        <v>5826576.9305263162</v>
      </c>
      <c r="L37" s="8"/>
    </row>
    <row r="38" spans="2:12" x14ac:dyDescent="0.25">
      <c r="B38" t="s">
        <v>49</v>
      </c>
      <c r="C38" s="2">
        <v>2.5118880991530147E-3</v>
      </c>
      <c r="E38" s="8"/>
      <c r="F38" s="8"/>
      <c r="G38" s="8"/>
      <c r="H38" s="8"/>
      <c r="I38" s="8"/>
      <c r="J38">
        <f>VLOOKUP(Q_start!B38,Medium_Capacity!$B$30:$C$46,2)</f>
        <v>0.30437026926105981</v>
      </c>
      <c r="K38">
        <f>VLOOKUP(Q_start!A38,Medium_Capacity!$B$49:$C$65,2, FALSE)</f>
        <v>252782013.30394739</v>
      </c>
      <c r="L38" s="8"/>
    </row>
    <row r="39" spans="2:12" x14ac:dyDescent="0.25">
      <c r="B39" t="s">
        <v>31</v>
      </c>
      <c r="C39" s="2">
        <v>1.9027552351084089E-2</v>
      </c>
      <c r="E39" s="8"/>
      <c r="F39" s="8"/>
      <c r="G39" s="8"/>
      <c r="H39" s="8"/>
      <c r="I39" s="8"/>
      <c r="J39">
        <f>VLOOKUP(Q_start!B39,Medium_Capacity!$B$30:$C$46,2)</f>
        <v>3.6610769045155193E-2</v>
      </c>
      <c r="K39">
        <f>VLOOKUP(Q_start!A39,Medium_Capacity!$B$49:$C$65,2, FALSE)</f>
        <v>252782013.30394739</v>
      </c>
      <c r="L39" s="8"/>
    </row>
    <row r="40" spans="2:12" x14ac:dyDescent="0.25">
      <c r="B40" t="s">
        <v>24</v>
      </c>
      <c r="C40" s="2">
        <v>9.7335663842179328E-4</v>
      </c>
      <c r="E40" s="8"/>
      <c r="F40" s="8"/>
      <c r="G40" s="8"/>
      <c r="H40" s="8"/>
      <c r="I40" s="8"/>
      <c r="J40">
        <f>VLOOKUP(Q_start!B40,Medium_Capacity!$B$30:$C$46,2)</f>
        <v>5.0269160584299713E-2</v>
      </c>
      <c r="K40">
        <f>VLOOKUP(Q_start!A40,Medium_Capacity!$B$49:$C$65,2, FALSE)</f>
        <v>252782013.30394739</v>
      </c>
      <c r="L40" s="8"/>
    </row>
    <row r="41" spans="2:12" x14ac:dyDescent="0.25">
      <c r="B41" t="s">
        <v>30</v>
      </c>
      <c r="C41" s="2">
        <v>6.4367132540796004E-3</v>
      </c>
      <c r="E41" s="8"/>
      <c r="F41" s="8"/>
      <c r="G41" s="8"/>
      <c r="H41" s="8"/>
      <c r="I41" s="8"/>
      <c r="J41">
        <f>VLOOKUP(Q_start!B41,Medium_Capacity!$B$30:$C$46,2)</f>
        <v>1.9027552351084089E-2</v>
      </c>
      <c r="K41">
        <f>VLOOKUP(Q_start!A41,Medium_Capacity!$B$49:$C$65,2, FALSE)</f>
        <v>252782013.30394739</v>
      </c>
      <c r="L41" s="8"/>
    </row>
    <row r="42" spans="2:12" x14ac:dyDescent="0.25">
      <c r="B42" t="s">
        <v>37</v>
      </c>
      <c r="C42" s="2">
        <v>1.8211188718859359E-3</v>
      </c>
      <c r="E42" s="8"/>
      <c r="F42" s="8"/>
      <c r="G42" s="8"/>
      <c r="H42" s="8"/>
      <c r="I42" s="8"/>
      <c r="J42">
        <f>VLOOKUP(Q_start!B42,Medium_Capacity!$B$30:$C$46,2)</f>
        <v>6.4367132540796004E-3</v>
      </c>
      <c r="K42">
        <f>VLOOKUP(Q_start!A42,Medium_Capacity!$B$49:$C$65,2, FALSE)</f>
        <v>252782013.30394739</v>
      </c>
      <c r="L42" s="8"/>
    </row>
    <row r="43" spans="2:12" x14ac:dyDescent="0.25">
      <c r="B43" t="s">
        <v>20</v>
      </c>
      <c r="C43" s="2">
        <v>3.6610769045155193E-2</v>
      </c>
      <c r="E43" s="8"/>
      <c r="F43" s="8"/>
      <c r="G43" s="8"/>
      <c r="H43" s="8"/>
      <c r="I43" s="8"/>
      <c r="J43">
        <f>VLOOKUP(Q_start!B43,Medium_Capacity!$B$30:$C$46,2)</f>
        <v>3.2842936896425673E-2</v>
      </c>
      <c r="K43">
        <f>VLOOKUP(Q_start!A43,Medium_Capacity!$B$49:$C$65,2, FALSE)</f>
        <v>0</v>
      </c>
      <c r="L43" s="8"/>
    </row>
    <row r="44" spans="2:12" x14ac:dyDescent="0.25">
      <c r="B44" t="s">
        <v>33</v>
      </c>
      <c r="C44" s="2">
        <v>3.2842936896425673E-2</v>
      </c>
      <c r="E44" s="8"/>
      <c r="F44" s="8"/>
      <c r="G44" s="8"/>
      <c r="H44" s="8"/>
      <c r="I44" s="8"/>
      <c r="J44">
        <f>VLOOKUP(Q_start!B44,Medium_Capacity!$B$30:$C$46,2)</f>
        <v>0.51693087150507078</v>
      </c>
      <c r="K44">
        <f>VLOOKUP(Q_start!A44,Medium_Capacity!$B$49:$C$65,2, FALSE)</f>
        <v>18988209.721337222</v>
      </c>
      <c r="L44" s="8"/>
    </row>
    <row r="45" spans="2:12" x14ac:dyDescent="0.25">
      <c r="B45" t="s">
        <v>23</v>
      </c>
      <c r="C45" s="2">
        <v>0.30437026926105981</v>
      </c>
      <c r="J45">
        <f>VLOOKUP(Q_start!B45,Medium_Capacity!$B$30:$C$46,2)</f>
        <v>9.7335663842179328E-4</v>
      </c>
      <c r="K45">
        <f>VLOOKUP(Q_start!A45,Medium_Capacity!$B$49:$C$65,2, FALSE)</f>
        <v>18988209.721337222</v>
      </c>
    </row>
    <row r="46" spans="2:12" x14ac:dyDescent="0.25">
      <c r="B46" t="s">
        <v>35</v>
      </c>
      <c r="C46" s="2">
        <v>1.5699300619706342E-4</v>
      </c>
      <c r="J46">
        <f>VLOOKUP(Q_start!B46,Medium_Capacity!$B$30:$C$46,2)</f>
        <v>1.5699300619706342E-4</v>
      </c>
      <c r="K46">
        <f>VLOOKUP(Q_start!A46,Medium_Capacity!$B$49:$C$65,2, FALSE)</f>
        <v>18988209.721337222</v>
      </c>
    </row>
    <row r="47" spans="2:12" x14ac:dyDescent="0.25">
      <c r="J47">
        <f>VLOOKUP(Q_start!B47,Medium_Capacity!$B$30:$C$46,2)</f>
        <v>0.30437026926105981</v>
      </c>
      <c r="K47">
        <f>VLOOKUP(Q_start!A47,Medium_Capacity!$B$49:$C$65,2, FALSE)</f>
        <v>142479003.36778629</v>
      </c>
    </row>
    <row r="48" spans="2:12" x14ac:dyDescent="0.25">
      <c r="C48" s="2"/>
      <c r="D48" s="2"/>
      <c r="J48">
        <f>VLOOKUP(Q_start!B48,Medium_Capacity!$B$30:$C$46,2)</f>
        <v>0.51693087150507078</v>
      </c>
      <c r="K48">
        <f>VLOOKUP(Q_start!A48,Medium_Capacity!$B$49:$C$65,2, FALSE)</f>
        <v>142479003.36778629</v>
      </c>
    </row>
    <row r="49" spans="2:11" x14ac:dyDescent="0.25">
      <c r="B49" t="s">
        <v>19</v>
      </c>
      <c r="C49" s="2">
        <v>14777182.228013201</v>
      </c>
      <c r="D49" s="2"/>
      <c r="J49">
        <f>VLOOKUP(Q_start!B49,Medium_Capacity!$B$30:$C$46,2)</f>
        <v>1.1303496446188567E-2</v>
      </c>
      <c r="K49">
        <f>VLOOKUP(Q_start!A49,Medium_Capacity!$B$49:$C$65,2, FALSE)</f>
        <v>142479003.36778629</v>
      </c>
    </row>
    <row r="50" spans="2:11" x14ac:dyDescent="0.25">
      <c r="B50" t="s">
        <v>25</v>
      </c>
      <c r="C50" s="2">
        <v>331279149.41895598</v>
      </c>
      <c r="D50" s="2"/>
      <c r="J50">
        <f>VLOOKUP(Q_start!B50,Medium_Capacity!$B$30:$C$46,2)</f>
        <v>0.30437026926105981</v>
      </c>
      <c r="K50">
        <f>VLOOKUP(Q_start!A50,Medium_Capacity!$B$49:$C$65,2, FALSE)</f>
        <v>160800233.02991807</v>
      </c>
    </row>
    <row r="51" spans="2:11" x14ac:dyDescent="0.25">
      <c r="B51" t="s">
        <v>21</v>
      </c>
      <c r="C51" s="2">
        <v>26052155.976207186</v>
      </c>
      <c r="D51" s="2"/>
      <c r="J51">
        <f>VLOOKUP(Q_start!B51,Medium_Capacity!$B$30:$C$46,2)</f>
        <v>0.51693087150507078</v>
      </c>
      <c r="K51">
        <f>VLOOKUP(Q_start!A51,Medium_Capacity!$B$49:$C$65,2, FALSE)</f>
        <v>160800233.02991807</v>
      </c>
    </row>
    <row r="52" spans="2:11" x14ac:dyDescent="0.25">
      <c r="B52" t="s">
        <v>39</v>
      </c>
      <c r="C52" s="2">
        <v>7180030.7496517412</v>
      </c>
      <c r="D52" s="2"/>
      <c r="J52">
        <f>VLOOKUP(Q_start!B52,Medium_Capacity!$B$30:$C$46,2)</f>
        <v>1.8211188718859359E-3</v>
      </c>
      <c r="K52">
        <f>VLOOKUP(Q_start!A52,Medium_Capacity!$B$49:$C$65,2, FALSE)</f>
        <v>160800233.02991807</v>
      </c>
    </row>
    <row r="53" spans="2:11" x14ac:dyDescent="0.25">
      <c r="B53" t="s">
        <v>27</v>
      </c>
      <c r="C53" s="2">
        <v>243482508.59073868</v>
      </c>
      <c r="D53" s="2"/>
    </row>
    <row r="54" spans="2:11" x14ac:dyDescent="0.25">
      <c r="B54" t="s">
        <v>41</v>
      </c>
      <c r="C54" s="2">
        <v>6404901.9598684218</v>
      </c>
      <c r="D54" s="2"/>
    </row>
    <row r="55" spans="2:11" x14ac:dyDescent="0.25">
      <c r="B55" t="s">
        <v>42</v>
      </c>
      <c r="C55" s="2">
        <v>62054151.5187333</v>
      </c>
      <c r="D55" s="2"/>
    </row>
    <row r="56" spans="2:11" x14ac:dyDescent="0.25">
      <c r="B56" t="s">
        <v>43</v>
      </c>
      <c r="C56">
        <v>5826576.9305263162</v>
      </c>
    </row>
    <row r="57" spans="2:11" x14ac:dyDescent="0.25">
      <c r="B57" t="s">
        <v>29</v>
      </c>
      <c r="C57">
        <v>252782013.30394739</v>
      </c>
    </row>
    <row r="58" spans="2:11" x14ac:dyDescent="0.25">
      <c r="B58" t="s">
        <v>44</v>
      </c>
      <c r="C58">
        <v>0</v>
      </c>
    </row>
    <row r="59" spans="2:11" x14ac:dyDescent="0.25">
      <c r="B59" t="s">
        <v>32</v>
      </c>
      <c r="C59">
        <v>83779046.847486719</v>
      </c>
    </row>
    <row r="60" spans="2:11" x14ac:dyDescent="0.25">
      <c r="B60" t="s">
        <v>34</v>
      </c>
      <c r="C60">
        <v>438402962.04456699</v>
      </c>
    </row>
    <row r="61" spans="2:11" x14ac:dyDescent="0.25">
      <c r="B61" t="s">
        <v>9</v>
      </c>
      <c r="C61">
        <v>18988209.721337222</v>
      </c>
    </row>
    <row r="62" spans="2:11" x14ac:dyDescent="0.25">
      <c r="B62" t="s">
        <v>40</v>
      </c>
      <c r="C62">
        <v>59502552.144086249</v>
      </c>
    </row>
    <row r="63" spans="2:11" x14ac:dyDescent="0.25">
      <c r="B63" t="s">
        <v>7</v>
      </c>
      <c r="C63">
        <v>927637.83394736843</v>
      </c>
    </row>
    <row r="64" spans="2:11" x14ac:dyDescent="0.25">
      <c r="B64" t="s">
        <v>10</v>
      </c>
      <c r="C64">
        <v>142479003.36778629</v>
      </c>
    </row>
    <row r="65" spans="2:3" x14ac:dyDescent="0.25">
      <c r="B65" t="s">
        <v>13</v>
      </c>
      <c r="C65">
        <v>160800233.02991807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F_start</vt:lpstr>
      <vt:lpstr>Q_start</vt:lpstr>
      <vt:lpstr>I_start</vt:lpstr>
      <vt:lpstr>S_start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2024-02-29T21:41:13Z</dcterms:modified>
</cp:coreProperties>
</file>