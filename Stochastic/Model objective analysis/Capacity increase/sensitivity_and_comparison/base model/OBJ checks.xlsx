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objective analysis/Capacity increase/sensitivity_and_comparison/base model/"/>
    </mc:Choice>
  </mc:AlternateContent>
  <xr:revisionPtr revIDLastSave="149" documentId="8_{E674F780-A585-4B75-967A-46AEC445807B}" xr6:coauthVersionLast="47" xr6:coauthVersionMax="47" xr10:uidLastSave="{2189A7EE-82EF-4D43-8BBB-AE755B21C475}"/>
  <bookViews>
    <workbookView xWindow="-120" yWindow="-120" windowWidth="20730" windowHeight="11040" xr2:uid="{78A32989-B2C1-42F8-BA27-7E24CBC9B153}"/>
  </bookViews>
  <sheets>
    <sheet name="Sheet1" sheetId="1" r:id="rId1"/>
    <sheet name="cap inc check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E17" i="2" l="1"/>
</calcChain>
</file>

<file path=xl/sharedStrings.xml><?xml version="1.0" encoding="utf-8"?>
<sst xmlns="http://schemas.openxmlformats.org/spreadsheetml/2006/main" count="32" uniqueCount="28">
  <si>
    <t>Social Surplus</t>
  </si>
  <si>
    <t>Min Missed Dose</t>
  </si>
  <si>
    <t>Missed Doses</t>
  </si>
  <si>
    <t>Calculated OBJ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</si>
  <si>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</si>
  <si>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Sanofi'</t>
  </si>
  <si>
    <t xml:space="preserve"> 'Pfizer'</t>
  </si>
  <si>
    <t xml:space="preserve"> 'AJ_Vaccines'</t>
  </si>
  <si>
    <t>Serum_Institute'</t>
  </si>
  <si>
    <t xml:space="preserve"> 'China_National'</t>
  </si>
  <si>
    <t>BB_NCIPD'</t>
  </si>
  <si>
    <t>Merck_Sharp'</t>
  </si>
  <si>
    <t>Bilthoven'</t>
  </si>
  <si>
    <t>Haffkine_Bio'</t>
  </si>
  <si>
    <t>Biological_E'</t>
  </si>
  <si>
    <t>LG_Chem'</t>
  </si>
  <si>
    <t>Panacea_Biotec'</t>
  </si>
  <si>
    <t xml:space="preserve"> 'Bharat_Biotech'</t>
  </si>
  <si>
    <t xml:space="preserve"> 'GSK'</t>
  </si>
  <si>
    <t xml:space="preserve"> 'PT_Bio'</t>
  </si>
  <si>
    <t>delta[5]</t>
  </si>
  <si>
    <t>delta[4]</t>
  </si>
  <si>
    <t>delta[1]</t>
  </si>
  <si>
    <t>NUMBERS WORK</t>
  </si>
  <si>
    <t>F Only</t>
  </si>
  <si>
    <t>L Only</t>
  </si>
  <si>
    <t>X only</t>
  </si>
  <si>
    <t>Model 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</si>
</sst>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E+00"/>
  </numFmts>
  <fonts count="2" x14ac:knownFonts="1">
    <font>
      <sz val="11"/>
      <color theme="1"/>
      <name val="Aptos Narrow"/>
      <family val="2"/>
      <scheme val="minor"/>
    </font>
    <font>
      <sz val="11"/>
      <color rgb="FFBBBBB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quotePrefix="1"/>
    <xf numFmtId="168" fontId="0" fillId="2" borderId="0" xfId="0" applyNumberFormat="1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7354-5509-4BEC-9490-B8DE01860E56}">
  <dimension ref="A2:H13"/>
  <sheetViews>
    <sheetView tabSelected="1" workbookViewId="0">
      <selection activeCell="B3" sqref="B3:E5"/>
    </sheetView>
  </sheetViews>
  <sheetFormatPr defaultRowHeight="15" x14ac:dyDescent="0.25"/>
  <cols>
    <col min="1" max="1" width="13.28515625" bestFit="1" customWidth="1"/>
    <col min="2" max="2" width="16" bestFit="1" customWidth="1"/>
    <col min="3" max="3" width="12.5703125" bestFit="1" customWidth="1"/>
    <col min="4" max="4" width="13.7109375" bestFit="1" customWidth="1"/>
    <col min="5" max="5" width="13.28515625" bestFit="1" customWidth="1"/>
    <col min="6" max="6" width="12.28515625" bestFit="1" customWidth="1"/>
  </cols>
  <sheetData>
    <row r="2" spans="1:8" x14ac:dyDescent="0.25">
      <c r="C2" s="1"/>
    </row>
    <row r="3" spans="1:8" x14ac:dyDescent="0.25">
      <c r="C3" t="s">
        <v>27</v>
      </c>
      <c r="D3" t="s">
        <v>3</v>
      </c>
      <c r="E3" t="s">
        <v>2</v>
      </c>
    </row>
    <row r="4" spans="1:8" x14ac:dyDescent="0.25">
      <c r="A4" t="s">
        <v>2</v>
      </c>
      <c r="B4" t="s">
        <v>0</v>
      </c>
      <c r="C4" s="4">
        <v>181230089.07959801</v>
      </c>
      <c r="D4" s="4">
        <v>163189777.36279899</v>
      </c>
      <c r="E4" s="5">
        <v>151660459.356224</v>
      </c>
      <c r="F4" s="2"/>
      <c r="G4" s="2"/>
    </row>
    <row r="5" spans="1:8" x14ac:dyDescent="0.25">
      <c r="B5" t="s">
        <v>1</v>
      </c>
      <c r="C5" s="5">
        <v>152453048.75843799</v>
      </c>
      <c r="D5" s="5">
        <v>152453048.75843799</v>
      </c>
      <c r="E5" s="5">
        <v>152453048.75843799</v>
      </c>
    </row>
    <row r="6" spans="1:8" x14ac:dyDescent="0.25">
      <c r="D6" s="2">
        <v>171246321.94958299</v>
      </c>
    </row>
    <row r="8" spans="1:8" x14ac:dyDescent="0.25">
      <c r="H8" t="s">
        <v>4</v>
      </c>
    </row>
    <row r="9" spans="1:8" x14ac:dyDescent="0.25">
      <c r="A9" t="s">
        <v>24</v>
      </c>
      <c r="B9" t="s">
        <v>0</v>
      </c>
      <c r="C9" s="2">
        <v>1974691.1321060001</v>
      </c>
      <c r="D9" s="2">
        <v>1974691.1321060001</v>
      </c>
    </row>
    <row r="11" spans="1:8" x14ac:dyDescent="0.25">
      <c r="A11" t="s">
        <v>25</v>
      </c>
      <c r="B11" t="s">
        <v>0</v>
      </c>
    </row>
    <row r="13" spans="1:8" x14ac:dyDescent="0.25">
      <c r="A13" t="s">
        <v>26</v>
      </c>
      <c r="B1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AB5D-2464-4E10-BAF7-C61C9194EBC1}">
  <dimension ref="A1:K17"/>
  <sheetViews>
    <sheetView workbookViewId="0">
      <selection activeCell="K6" sqref="K6"/>
    </sheetView>
  </sheetViews>
  <sheetFormatPr defaultRowHeight="15" x14ac:dyDescent="0.25"/>
  <cols>
    <col min="3" max="3" width="25.140625" bestFit="1" customWidth="1"/>
  </cols>
  <sheetData>
    <row r="1" spans="1:11" x14ac:dyDescent="0.25">
      <c r="A1" t="s">
        <v>20</v>
      </c>
      <c r="B1" s="1">
        <v>1.1592740743000001</v>
      </c>
      <c r="C1">
        <v>5</v>
      </c>
      <c r="F1">
        <v>1</v>
      </c>
      <c r="H1">
        <v>4</v>
      </c>
    </row>
    <row r="2" spans="1:11" x14ac:dyDescent="0.25">
      <c r="A2" t="s">
        <v>21</v>
      </c>
      <c r="B2">
        <v>1.1255088099999999</v>
      </c>
      <c r="C2" t="s">
        <v>5</v>
      </c>
      <c r="D2">
        <v>100000</v>
      </c>
      <c r="E2">
        <f t="shared" ref="E2:E16" si="0">D2/$B$1</f>
        <v>86260.878438416388</v>
      </c>
      <c r="F2">
        <v>1</v>
      </c>
      <c r="G2">
        <f>F2*100000/1.03</f>
        <v>97087.378640776689</v>
      </c>
      <c r="H2">
        <v>1</v>
      </c>
      <c r="I2">
        <f>H2*100000/$B$2</f>
        <v>88848.704791568904</v>
      </c>
    </row>
    <row r="3" spans="1:11" x14ac:dyDescent="0.25">
      <c r="A3" t="s">
        <v>22</v>
      </c>
      <c r="C3" t="s">
        <v>6</v>
      </c>
      <c r="D3">
        <v>0</v>
      </c>
      <c r="E3">
        <f t="shared" si="0"/>
        <v>0</v>
      </c>
      <c r="F3">
        <v>1</v>
      </c>
      <c r="G3">
        <f t="shared" ref="G3:G16" si="1">F3*10000/1.03</f>
        <v>9708.7378640776697</v>
      </c>
      <c r="H3">
        <v>0</v>
      </c>
      <c r="I3">
        <f t="shared" ref="I3:I16" si="2">H3*100000/$B$2</f>
        <v>0</v>
      </c>
    </row>
    <row r="4" spans="1:11" x14ac:dyDescent="0.25">
      <c r="C4" s="1" t="s">
        <v>7</v>
      </c>
      <c r="D4">
        <v>0</v>
      </c>
      <c r="E4">
        <f t="shared" si="0"/>
        <v>0</v>
      </c>
      <c r="F4">
        <v>1</v>
      </c>
      <c r="G4">
        <f t="shared" si="1"/>
        <v>9708.7378640776697</v>
      </c>
      <c r="H4">
        <v>0</v>
      </c>
      <c r="I4">
        <f t="shared" si="2"/>
        <v>0</v>
      </c>
    </row>
    <row r="5" spans="1:11" x14ac:dyDescent="0.25">
      <c r="C5" s="3" t="s">
        <v>8</v>
      </c>
      <c r="D5">
        <v>100000</v>
      </c>
      <c r="E5">
        <f t="shared" si="0"/>
        <v>86260.878438416388</v>
      </c>
      <c r="F5">
        <v>1</v>
      </c>
      <c r="G5">
        <f t="shared" si="1"/>
        <v>9708.7378640776697</v>
      </c>
      <c r="H5">
        <v>1</v>
      </c>
      <c r="I5">
        <f t="shared" si="2"/>
        <v>88848.704791568904</v>
      </c>
      <c r="K5" t="s">
        <v>23</v>
      </c>
    </row>
    <row r="6" spans="1:11" x14ac:dyDescent="0.25">
      <c r="C6" t="s">
        <v>9</v>
      </c>
      <c r="D6">
        <v>0</v>
      </c>
      <c r="E6">
        <f t="shared" si="0"/>
        <v>0</v>
      </c>
      <c r="F6">
        <v>1</v>
      </c>
      <c r="G6">
        <f t="shared" si="1"/>
        <v>9708.7378640776697</v>
      </c>
      <c r="H6">
        <v>0</v>
      </c>
      <c r="I6">
        <f t="shared" si="2"/>
        <v>0</v>
      </c>
    </row>
    <row r="7" spans="1:11" x14ac:dyDescent="0.25">
      <c r="C7" t="s">
        <v>10</v>
      </c>
      <c r="D7">
        <v>100000</v>
      </c>
      <c r="E7">
        <f t="shared" si="0"/>
        <v>86260.878438416388</v>
      </c>
      <c r="F7">
        <v>1</v>
      </c>
      <c r="G7">
        <f t="shared" si="1"/>
        <v>9708.7378640776697</v>
      </c>
      <c r="H7">
        <v>1</v>
      </c>
      <c r="I7">
        <f t="shared" si="2"/>
        <v>88848.704791568904</v>
      </c>
    </row>
    <row r="8" spans="1:11" x14ac:dyDescent="0.25">
      <c r="C8" s="3" t="s">
        <v>11</v>
      </c>
      <c r="D8">
        <v>0</v>
      </c>
      <c r="E8">
        <f t="shared" si="0"/>
        <v>0</v>
      </c>
      <c r="F8">
        <v>0</v>
      </c>
      <c r="G8">
        <f t="shared" si="1"/>
        <v>0</v>
      </c>
      <c r="H8">
        <v>0</v>
      </c>
      <c r="I8">
        <f t="shared" si="2"/>
        <v>0</v>
      </c>
    </row>
    <row r="9" spans="1:11" x14ac:dyDescent="0.25">
      <c r="C9" t="s">
        <v>12</v>
      </c>
      <c r="D9">
        <v>0</v>
      </c>
      <c r="E9">
        <f t="shared" si="0"/>
        <v>0</v>
      </c>
      <c r="F9">
        <v>0</v>
      </c>
      <c r="G9">
        <f t="shared" si="1"/>
        <v>0</v>
      </c>
      <c r="H9">
        <v>0</v>
      </c>
      <c r="I9">
        <f t="shared" si="2"/>
        <v>0</v>
      </c>
    </row>
    <row r="10" spans="1:11" x14ac:dyDescent="0.25">
      <c r="C10" s="3" t="s">
        <v>13</v>
      </c>
      <c r="D10">
        <v>0</v>
      </c>
      <c r="E10">
        <f t="shared" si="0"/>
        <v>0</v>
      </c>
      <c r="F10">
        <v>1</v>
      </c>
      <c r="G10">
        <f t="shared" si="1"/>
        <v>9708.7378640776697</v>
      </c>
      <c r="H10">
        <v>0</v>
      </c>
      <c r="I10">
        <f t="shared" si="2"/>
        <v>0</v>
      </c>
    </row>
    <row r="11" spans="1:11" x14ac:dyDescent="0.25">
      <c r="C11" s="3" t="s">
        <v>14</v>
      </c>
      <c r="D11">
        <v>100000</v>
      </c>
      <c r="E11">
        <f t="shared" si="0"/>
        <v>86260.878438416388</v>
      </c>
      <c r="F11">
        <v>1</v>
      </c>
      <c r="G11">
        <f t="shared" si="1"/>
        <v>9708.7378640776697</v>
      </c>
      <c r="H11">
        <v>1</v>
      </c>
      <c r="I11">
        <f t="shared" si="2"/>
        <v>88848.704791568904</v>
      </c>
    </row>
    <row r="12" spans="1:11" x14ac:dyDescent="0.25">
      <c r="C12" s="3" t="s">
        <v>15</v>
      </c>
      <c r="D12">
        <v>100000</v>
      </c>
      <c r="E12">
        <f t="shared" si="0"/>
        <v>86260.878438416388</v>
      </c>
      <c r="F12">
        <v>1</v>
      </c>
      <c r="G12">
        <f t="shared" si="1"/>
        <v>9708.7378640776697</v>
      </c>
      <c r="H12">
        <v>1</v>
      </c>
      <c r="I12">
        <f t="shared" si="2"/>
        <v>88848.704791568904</v>
      </c>
    </row>
    <row r="13" spans="1:11" x14ac:dyDescent="0.25">
      <c r="C13" s="3" t="s">
        <v>16</v>
      </c>
      <c r="D13">
        <v>100000</v>
      </c>
      <c r="E13">
        <f t="shared" si="0"/>
        <v>86260.878438416388</v>
      </c>
      <c r="F13">
        <v>1</v>
      </c>
      <c r="G13">
        <f t="shared" si="1"/>
        <v>9708.7378640776697</v>
      </c>
      <c r="H13">
        <v>1</v>
      </c>
      <c r="I13">
        <f t="shared" si="2"/>
        <v>88848.704791568904</v>
      </c>
    </row>
    <row r="14" spans="1:11" x14ac:dyDescent="0.25">
      <c r="C14" s="3" t="s">
        <v>17</v>
      </c>
      <c r="D14">
        <v>100000</v>
      </c>
      <c r="E14">
        <f t="shared" si="0"/>
        <v>86260.878438416388</v>
      </c>
      <c r="F14">
        <v>1</v>
      </c>
      <c r="G14">
        <f t="shared" si="1"/>
        <v>9708.7378640776697</v>
      </c>
      <c r="H14">
        <v>1</v>
      </c>
      <c r="I14">
        <f t="shared" si="2"/>
        <v>88848.704791568904</v>
      </c>
    </row>
    <row r="15" spans="1:11" x14ac:dyDescent="0.25">
      <c r="C15" s="3" t="s">
        <v>18</v>
      </c>
      <c r="D15">
        <v>100000</v>
      </c>
      <c r="E15">
        <f t="shared" si="0"/>
        <v>86260.878438416388</v>
      </c>
      <c r="F15">
        <v>1</v>
      </c>
      <c r="G15">
        <f t="shared" si="1"/>
        <v>9708.7378640776697</v>
      </c>
      <c r="H15">
        <v>1</v>
      </c>
      <c r="I15">
        <f t="shared" si="2"/>
        <v>88848.704791568904</v>
      </c>
    </row>
    <row r="16" spans="1:11" x14ac:dyDescent="0.25">
      <c r="C16" t="s">
        <v>19</v>
      </c>
      <c r="D16">
        <v>100000</v>
      </c>
      <c r="E16">
        <f t="shared" si="0"/>
        <v>86260.878438416388</v>
      </c>
      <c r="F16">
        <v>1</v>
      </c>
      <c r="G16">
        <f t="shared" si="1"/>
        <v>9708.7378640776697</v>
      </c>
      <c r="H16">
        <v>1</v>
      </c>
      <c r="I16">
        <f t="shared" si="2"/>
        <v>88848.704791568904</v>
      </c>
    </row>
    <row r="17" spans="5:5" x14ac:dyDescent="0.25">
      <c r="E17">
        <f>SUM(E2:E16)</f>
        <v>776347.90594574751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2E4E-5384-48D5-9A9A-A6BCE1C3F21C}">
  <dimension ref="A1"/>
  <sheetViews>
    <sheetView workbookViewId="0">
      <selection activeCell="J11" sqref="J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cap inc check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2024-12-12T20:51:23Z</dcterms:created>
  <dcterms:modified xsi:type="dcterms:W3CDTF">2024-12-17T15:27:38Z</dcterms:modified>
</cp:coreProperties>
</file>