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124" documentId="8_{90B69A98-A806-4331-9DFD-B75E3626E765}" xr6:coauthVersionLast="47" xr6:coauthVersionMax="47" xr10:uidLastSave="{F925C3EE-A2F7-40AB-A0D9-99C349ADA3CD}"/>
  <bookViews>
    <workbookView xWindow="-120" yWindow="-120" windowWidth="20730" windowHeight="11040" xr2:uid="{ADCB78BC-AF59-4031-B361-4F9BE8F7CC28}"/>
  </bookViews>
  <sheets>
    <sheet name="Demand" sheetId="2" r:id="rId1"/>
    <sheet name="antigen demand calcs" sheetId="1" r:id="rId2"/>
  </sheets>
  <definedNames>
    <definedName name="_xlnm._FilterDatabase" localSheetId="1" hidden="1">'antigen demand calcs'!$A$1:$AG$38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C48" i="1"/>
  <c r="D48" i="1"/>
  <c r="E48" i="1"/>
  <c r="F48" i="1"/>
  <c r="G48" i="1"/>
  <c r="H48" i="1"/>
  <c r="I48" i="1"/>
  <c r="J48" i="1"/>
  <c r="K48" i="1"/>
  <c r="L48" i="1"/>
  <c r="M48" i="1"/>
  <c r="N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O48" i="1"/>
  <c r="AA40" i="1"/>
  <c r="AB40" i="1"/>
  <c r="AC40" i="1"/>
  <c r="AD40" i="1"/>
  <c r="AE40" i="1"/>
  <c r="AF40" i="1"/>
  <c r="AG40" i="1"/>
  <c r="AA41" i="1"/>
  <c r="AB41" i="1"/>
  <c r="AC41" i="1"/>
  <c r="AD41" i="1"/>
  <c r="AE41" i="1"/>
  <c r="AF41" i="1"/>
  <c r="AG41" i="1"/>
  <c r="AA42" i="1"/>
  <c r="AB42" i="1"/>
  <c r="AC42" i="1"/>
  <c r="AD42" i="1"/>
  <c r="AE42" i="1"/>
  <c r="AF42" i="1"/>
  <c r="AG42" i="1"/>
  <c r="AA43" i="1"/>
  <c r="AB43" i="1"/>
  <c r="AC43" i="1"/>
  <c r="AD43" i="1"/>
  <c r="AE43" i="1"/>
  <c r="AF43" i="1"/>
  <c r="AG43" i="1"/>
  <c r="AA44" i="1"/>
  <c r="AB44" i="1"/>
  <c r="AC44" i="1"/>
  <c r="AD44" i="1"/>
  <c r="AE44" i="1"/>
  <c r="AF44" i="1"/>
  <c r="AG44" i="1"/>
  <c r="AA45" i="1"/>
  <c r="AB45" i="1"/>
  <c r="AC45" i="1"/>
  <c r="AD45" i="1"/>
  <c r="AE45" i="1"/>
  <c r="AF45" i="1"/>
  <c r="AG45" i="1"/>
  <c r="AA46" i="1"/>
  <c r="AB46" i="1"/>
  <c r="AC46" i="1"/>
  <c r="AD46" i="1"/>
  <c r="AE46" i="1"/>
  <c r="AF46" i="1"/>
  <c r="AG46" i="1"/>
  <c r="AA47" i="1"/>
  <c r="AB47" i="1"/>
  <c r="AC47" i="1"/>
  <c r="AD47" i="1"/>
  <c r="AE47" i="1"/>
  <c r="AF47" i="1"/>
  <c r="AG47" i="1"/>
  <c r="AA49" i="1"/>
  <c r="AB49" i="1"/>
  <c r="AC49" i="1"/>
  <c r="AD49" i="1"/>
  <c r="AE49" i="1"/>
  <c r="AF49" i="1"/>
  <c r="AG49" i="1"/>
  <c r="AA50" i="1"/>
  <c r="AB50" i="1"/>
  <c r="AC50" i="1"/>
  <c r="AD50" i="1"/>
  <c r="AE50" i="1"/>
  <c r="AF50" i="1"/>
  <c r="AG50" i="1"/>
  <c r="AA51" i="1"/>
  <c r="AB51" i="1"/>
  <c r="AC51" i="1"/>
  <c r="AD51" i="1"/>
  <c r="AE51" i="1"/>
  <c r="AF51" i="1"/>
  <c r="AG51" i="1"/>
  <c r="W40" i="1"/>
  <c r="Z51" i="1"/>
  <c r="Y13" i="2"/>
  <c r="Y51" i="1"/>
  <c r="X13" i="2"/>
  <c r="X51" i="1"/>
  <c r="W13" i="2"/>
  <c r="W51" i="1"/>
  <c r="V13" i="2"/>
  <c r="V51" i="1"/>
  <c r="U13" i="2"/>
  <c r="U51" i="1"/>
  <c r="T13" i="2"/>
  <c r="T51" i="1"/>
  <c r="S13" i="2"/>
  <c r="S51" i="1"/>
  <c r="R13" i="2"/>
  <c r="R51" i="1"/>
  <c r="Q13" i="2"/>
  <c r="Q51" i="1"/>
  <c r="P13" i="2"/>
  <c r="P51" i="1"/>
  <c r="O13" i="2"/>
  <c r="O51" i="1"/>
  <c r="N13" i="2"/>
  <c r="N51" i="1"/>
  <c r="M13" i="2"/>
  <c r="M51" i="1"/>
  <c r="L13" i="2"/>
  <c r="L51" i="1"/>
  <c r="K13" i="2"/>
  <c r="K51" i="1"/>
  <c r="J13" i="2"/>
  <c r="J51" i="1"/>
  <c r="I13" i="2"/>
  <c r="I51" i="1"/>
  <c r="H13" i="2"/>
  <c r="H51" i="1"/>
  <c r="G13" i="2"/>
  <c r="G51" i="1"/>
  <c r="F13" i="2"/>
  <c r="F51" i="1"/>
  <c r="E13" i="2"/>
  <c r="E51" i="1"/>
  <c r="D13" i="2"/>
  <c r="D51" i="1"/>
  <c r="C13" i="2"/>
  <c r="C51" i="1"/>
  <c r="B13" i="2"/>
  <c r="Z50" i="1"/>
  <c r="Y12" i="2"/>
  <c r="Y50" i="1"/>
  <c r="X12" i="2"/>
  <c r="X50" i="1"/>
  <c r="W12" i="2"/>
  <c r="W50" i="1"/>
  <c r="V12" i="2"/>
  <c r="V50" i="1"/>
  <c r="U12" i="2"/>
  <c r="U50" i="1"/>
  <c r="T12" i="2"/>
  <c r="T50" i="1"/>
  <c r="S12" i="2"/>
  <c r="S50" i="1"/>
  <c r="R12" i="2"/>
  <c r="R50" i="1"/>
  <c r="Q12" i="2"/>
  <c r="Q50" i="1"/>
  <c r="P12" i="2"/>
  <c r="P50" i="1"/>
  <c r="O12" i="2"/>
  <c r="O50" i="1"/>
  <c r="N12" i="2"/>
  <c r="N50" i="1"/>
  <c r="M12" i="2"/>
  <c r="M50" i="1"/>
  <c r="L12" i="2"/>
  <c r="L50" i="1"/>
  <c r="K12" i="2"/>
  <c r="K50" i="1"/>
  <c r="J12" i="2"/>
  <c r="J50" i="1"/>
  <c r="I12" i="2"/>
  <c r="I50" i="1"/>
  <c r="H12" i="2"/>
  <c r="H50" i="1"/>
  <c r="G12" i="2"/>
  <c r="G50" i="1"/>
  <c r="F12" i="2"/>
  <c r="F50" i="1"/>
  <c r="E12" i="2"/>
  <c r="E50" i="1"/>
  <c r="D12" i="2"/>
  <c r="D50" i="1"/>
  <c r="C12" i="2"/>
  <c r="C50" i="1"/>
  <c r="B12" i="2"/>
  <c r="Z49" i="1"/>
  <c r="Y11" i="2"/>
  <c r="Y49" i="1"/>
  <c r="X11" i="2"/>
  <c r="X49" i="1"/>
  <c r="W11" i="2"/>
  <c r="W49" i="1"/>
  <c r="V11" i="2"/>
  <c r="V49" i="1"/>
  <c r="U11" i="2"/>
  <c r="U49" i="1"/>
  <c r="T11" i="2"/>
  <c r="T49" i="1"/>
  <c r="S11" i="2"/>
  <c r="S49" i="1"/>
  <c r="R11" i="2"/>
  <c r="R49" i="1"/>
  <c r="Q11" i="2"/>
  <c r="Q49" i="1"/>
  <c r="P11" i="2"/>
  <c r="P49" i="1"/>
  <c r="O11" i="2"/>
  <c r="O49" i="1"/>
  <c r="N11" i="2"/>
  <c r="N49" i="1"/>
  <c r="M11" i="2"/>
  <c r="M49" i="1"/>
  <c r="L11" i="2"/>
  <c r="L49" i="1"/>
  <c r="K11" i="2"/>
  <c r="K49" i="1"/>
  <c r="J11" i="2"/>
  <c r="J49" i="1"/>
  <c r="I11" i="2"/>
  <c r="I49" i="1"/>
  <c r="H11" i="2"/>
  <c r="H49" i="1"/>
  <c r="G11" i="2"/>
  <c r="G49" i="1"/>
  <c r="F11" i="2"/>
  <c r="F49" i="1"/>
  <c r="E11" i="2"/>
  <c r="E49" i="1"/>
  <c r="D11" i="2"/>
  <c r="D49" i="1"/>
  <c r="C11" i="2"/>
  <c r="C49" i="1"/>
  <c r="B11" i="2"/>
  <c r="Z47" i="1"/>
  <c r="Y9" i="2"/>
  <c r="Y47" i="1"/>
  <c r="X9" i="2"/>
  <c r="X47" i="1"/>
  <c r="W9" i="2"/>
  <c r="W47" i="1"/>
  <c r="V9" i="2"/>
  <c r="V47" i="1"/>
  <c r="U9" i="2"/>
  <c r="U47" i="1"/>
  <c r="T9" i="2"/>
  <c r="T47" i="1"/>
  <c r="S9" i="2"/>
  <c r="S47" i="1"/>
  <c r="R9" i="2"/>
  <c r="R47" i="1"/>
  <c r="Q9" i="2"/>
  <c r="Q47" i="1"/>
  <c r="P9" i="2"/>
  <c r="P47" i="1"/>
  <c r="O9" i="2"/>
  <c r="O47" i="1"/>
  <c r="N9" i="2"/>
  <c r="N47" i="1"/>
  <c r="M9" i="2"/>
  <c r="M47" i="1"/>
  <c r="L9" i="2"/>
  <c r="L47" i="1"/>
  <c r="K9" i="2"/>
  <c r="K47" i="1"/>
  <c r="J9" i="2"/>
  <c r="J47" i="1"/>
  <c r="I9" i="2"/>
  <c r="I47" i="1"/>
  <c r="H9" i="2"/>
  <c r="H47" i="1"/>
  <c r="G9" i="2"/>
  <c r="G47" i="1"/>
  <c r="F9" i="2"/>
  <c r="F47" i="1"/>
  <c r="E9" i="2"/>
  <c r="E47" i="1"/>
  <c r="D9" i="2"/>
  <c r="D47" i="1"/>
  <c r="C9" i="2"/>
  <c r="C47" i="1"/>
  <c r="B9" i="2"/>
  <c r="Z46" i="1"/>
  <c r="Y8" i="2"/>
  <c r="Y46" i="1"/>
  <c r="X8" i="2"/>
  <c r="X46" i="1"/>
  <c r="W8" i="2"/>
  <c r="W46" i="1"/>
  <c r="V8" i="2"/>
  <c r="V46" i="1"/>
  <c r="U8" i="2"/>
  <c r="U46" i="1"/>
  <c r="T8" i="2"/>
  <c r="T46" i="1"/>
  <c r="S8" i="2"/>
  <c r="S46" i="1"/>
  <c r="R8" i="2"/>
  <c r="R46" i="1"/>
  <c r="Q8" i="2"/>
  <c r="Q46" i="1"/>
  <c r="P8" i="2"/>
  <c r="P46" i="1"/>
  <c r="O8" i="2"/>
  <c r="O46" i="1"/>
  <c r="N8" i="2"/>
  <c r="N46" i="1"/>
  <c r="M8" i="2"/>
  <c r="M46" i="1"/>
  <c r="L8" i="2"/>
  <c r="L46" i="1"/>
  <c r="K8" i="2"/>
  <c r="K46" i="1"/>
  <c r="J8" i="2"/>
  <c r="J46" i="1"/>
  <c r="I8" i="2"/>
  <c r="I46" i="1"/>
  <c r="H8" i="2"/>
  <c r="H46" i="1"/>
  <c r="G8" i="2"/>
  <c r="G46" i="1"/>
  <c r="F8" i="2"/>
  <c r="F46" i="1"/>
  <c r="E8" i="2"/>
  <c r="E46" i="1"/>
  <c r="D8" i="2"/>
  <c r="D46" i="1"/>
  <c r="C8" i="2"/>
  <c r="C46" i="1"/>
  <c r="B8" i="2"/>
  <c r="Z45" i="1"/>
  <c r="Y7" i="2"/>
  <c r="Y45" i="1"/>
  <c r="X7" i="2"/>
  <c r="X45" i="1"/>
  <c r="W7" i="2"/>
  <c r="W45" i="1"/>
  <c r="V7" i="2"/>
  <c r="V45" i="1"/>
  <c r="U7" i="2"/>
  <c r="U45" i="1"/>
  <c r="T7" i="2"/>
  <c r="T45" i="1"/>
  <c r="S7" i="2"/>
  <c r="S45" i="1"/>
  <c r="R7" i="2"/>
  <c r="R45" i="1"/>
  <c r="Q7" i="2"/>
  <c r="Q45" i="1"/>
  <c r="P7" i="2"/>
  <c r="P45" i="1"/>
  <c r="O7" i="2"/>
  <c r="O45" i="1"/>
  <c r="N7" i="2"/>
  <c r="N45" i="1"/>
  <c r="M7" i="2"/>
  <c r="M45" i="1"/>
  <c r="L7" i="2"/>
  <c r="L45" i="1"/>
  <c r="K7" i="2"/>
  <c r="K45" i="1"/>
  <c r="J7" i="2"/>
  <c r="J45" i="1"/>
  <c r="I7" i="2"/>
  <c r="I45" i="1"/>
  <c r="H7" i="2"/>
  <c r="H45" i="1"/>
  <c r="G7" i="2"/>
  <c r="G45" i="1"/>
  <c r="F7" i="2"/>
  <c r="F45" i="1"/>
  <c r="E7" i="2"/>
  <c r="E45" i="1"/>
  <c r="D7" i="2"/>
  <c r="D45" i="1"/>
  <c r="C7" i="2"/>
  <c r="C45" i="1"/>
  <c r="B7" i="2"/>
  <c r="Z44" i="1"/>
  <c r="Y6" i="2"/>
  <c r="Y44" i="1"/>
  <c r="X6" i="2"/>
  <c r="X44" i="1"/>
  <c r="W6" i="2"/>
  <c r="W44" i="1"/>
  <c r="V6" i="2"/>
  <c r="V44" i="1"/>
  <c r="U6" i="2"/>
  <c r="U44" i="1"/>
  <c r="T6" i="2"/>
  <c r="T44" i="1"/>
  <c r="S6" i="2"/>
  <c r="S44" i="1"/>
  <c r="R6" i="2"/>
  <c r="R44" i="1"/>
  <c r="Q6" i="2"/>
  <c r="Q44" i="1"/>
  <c r="P6" i="2"/>
  <c r="P44" i="1"/>
  <c r="O6" i="2"/>
  <c r="O44" i="1"/>
  <c r="N6" i="2"/>
  <c r="N44" i="1"/>
  <c r="M6" i="2"/>
  <c r="M44" i="1"/>
  <c r="L6" i="2"/>
  <c r="L44" i="1"/>
  <c r="K6" i="2"/>
  <c r="K44" i="1"/>
  <c r="J6" i="2"/>
  <c r="J44" i="1"/>
  <c r="I6" i="2"/>
  <c r="I44" i="1"/>
  <c r="H6" i="2"/>
  <c r="H44" i="1"/>
  <c r="G6" i="2"/>
  <c r="G44" i="1"/>
  <c r="F6" i="2"/>
  <c r="F44" i="1"/>
  <c r="E6" i="2"/>
  <c r="E44" i="1"/>
  <c r="D6" i="2"/>
  <c r="D44" i="1"/>
  <c r="C6" i="2"/>
  <c r="C44" i="1"/>
  <c r="B6" i="2"/>
  <c r="Z43" i="1"/>
  <c r="Y5" i="2"/>
  <c r="Y43" i="1"/>
  <c r="X5" i="2"/>
  <c r="X43" i="1"/>
  <c r="W5" i="2"/>
  <c r="W43" i="1"/>
  <c r="V5" i="2"/>
  <c r="V43" i="1"/>
  <c r="U5" i="2"/>
  <c r="U43" i="1"/>
  <c r="T5" i="2"/>
  <c r="T43" i="1"/>
  <c r="S5" i="2"/>
  <c r="S43" i="1"/>
  <c r="R5" i="2"/>
  <c r="R43" i="1"/>
  <c r="Q5" i="2"/>
  <c r="Q43" i="1"/>
  <c r="P5" i="2"/>
  <c r="P43" i="1"/>
  <c r="O5" i="2"/>
  <c r="O43" i="1"/>
  <c r="N5" i="2"/>
  <c r="N43" i="1"/>
  <c r="M5" i="2"/>
  <c r="M43" i="1"/>
  <c r="L5" i="2"/>
  <c r="L43" i="1"/>
  <c r="K5" i="2"/>
  <c r="K43" i="1"/>
  <c r="J5" i="2"/>
  <c r="J43" i="1"/>
  <c r="I5" i="2"/>
  <c r="I43" i="1"/>
  <c r="H5" i="2"/>
  <c r="H43" i="1"/>
  <c r="G5" i="2"/>
  <c r="G43" i="1"/>
  <c r="F5" i="2"/>
  <c r="F43" i="1"/>
  <c r="E5" i="2"/>
  <c r="E43" i="1"/>
  <c r="D5" i="2"/>
  <c r="D43" i="1"/>
  <c r="C5" i="2"/>
  <c r="C43" i="1"/>
  <c r="B5" i="2"/>
  <c r="Z42" i="1"/>
  <c r="Y4" i="2"/>
  <c r="Y42" i="1"/>
  <c r="X4" i="2"/>
  <c r="X42" i="1"/>
  <c r="W4" i="2"/>
  <c r="W42" i="1"/>
  <c r="V4" i="2"/>
  <c r="V42" i="1"/>
  <c r="U4" i="2"/>
  <c r="U42" i="1"/>
  <c r="T4" i="2"/>
  <c r="T42" i="1"/>
  <c r="S4" i="2"/>
  <c r="S42" i="1"/>
  <c r="R4" i="2"/>
  <c r="R42" i="1"/>
  <c r="Q4" i="2"/>
  <c r="Q42" i="1"/>
  <c r="P4" i="2"/>
  <c r="P42" i="1"/>
  <c r="O4" i="2"/>
  <c r="O42" i="1"/>
  <c r="N4" i="2"/>
  <c r="N42" i="1"/>
  <c r="M4" i="2"/>
  <c r="M42" i="1"/>
  <c r="L4" i="2"/>
  <c r="L42" i="1"/>
  <c r="K4" i="2"/>
  <c r="K42" i="1"/>
  <c r="J4" i="2"/>
  <c r="J42" i="1"/>
  <c r="I4" i="2"/>
  <c r="I42" i="1"/>
  <c r="H4" i="2"/>
  <c r="H42" i="1"/>
  <c r="G4" i="2"/>
  <c r="G42" i="1"/>
  <c r="F4" i="2"/>
  <c r="F42" i="1"/>
  <c r="E4" i="2"/>
  <c r="E42" i="1"/>
  <c r="D4" i="2"/>
  <c r="D42" i="1"/>
  <c r="C4" i="2"/>
  <c r="C42" i="1"/>
  <c r="B4" i="2"/>
  <c r="Z41" i="1"/>
  <c r="Y3" i="2"/>
  <c r="Y41" i="1"/>
  <c r="X3" i="2"/>
  <c r="X41" i="1"/>
  <c r="W3" i="2"/>
  <c r="W41" i="1"/>
  <c r="V3" i="2"/>
  <c r="V41" i="1"/>
  <c r="U3" i="2"/>
  <c r="U41" i="1"/>
  <c r="T3" i="2"/>
  <c r="T41" i="1"/>
  <c r="S3" i="2"/>
  <c r="S41" i="1"/>
  <c r="R3" i="2"/>
  <c r="R41" i="1"/>
  <c r="Q3" i="2"/>
  <c r="Q41" i="1"/>
  <c r="P3" i="2"/>
  <c r="P41" i="1"/>
  <c r="O3" i="2"/>
  <c r="O41" i="1"/>
  <c r="N3" i="2"/>
  <c r="N41" i="1"/>
  <c r="M3" i="2"/>
  <c r="M41" i="1"/>
  <c r="L3" i="2"/>
  <c r="L41" i="1"/>
  <c r="K3" i="2"/>
  <c r="K41" i="1"/>
  <c r="J3" i="2"/>
  <c r="J41" i="1"/>
  <c r="I3" i="2"/>
  <c r="I41" i="1"/>
  <c r="H3" i="2"/>
  <c r="H41" i="1"/>
  <c r="G3" i="2"/>
  <c r="G41" i="1"/>
  <c r="F3" i="2"/>
  <c r="F41" i="1"/>
  <c r="E3" i="2"/>
  <c r="E41" i="1"/>
  <c r="D3" i="2"/>
  <c r="D41" i="1"/>
  <c r="C3" i="2"/>
  <c r="C41" i="1"/>
  <c r="B3" i="2"/>
  <c r="Z40" i="1"/>
  <c r="Y2" i="2"/>
  <c r="Y40" i="1"/>
  <c r="X2" i="2"/>
  <c r="X40" i="1"/>
  <c r="W2" i="2"/>
  <c r="V2" i="2"/>
  <c r="V40" i="1"/>
  <c r="U2" i="2"/>
  <c r="U40" i="1"/>
  <c r="T2" i="2"/>
  <c r="T40" i="1"/>
  <c r="S2" i="2"/>
  <c r="S40" i="1"/>
  <c r="R2" i="2"/>
  <c r="R40" i="1"/>
  <c r="Q2" i="2"/>
  <c r="Q40" i="1"/>
  <c r="P2" i="2"/>
  <c r="P40" i="1"/>
  <c r="O2" i="2"/>
  <c r="N2" i="2"/>
  <c r="N40" i="1"/>
  <c r="M2" i="2"/>
  <c r="M40" i="1"/>
  <c r="L2" i="2"/>
  <c r="L40" i="1"/>
  <c r="K2" i="2"/>
  <c r="K40" i="1"/>
  <c r="J2" i="2"/>
  <c r="J40" i="1"/>
  <c r="I2" i="2"/>
  <c r="I40" i="1"/>
  <c r="H2" i="2"/>
  <c r="H40" i="1"/>
  <c r="G2" i="2"/>
  <c r="G40" i="1"/>
  <c r="F2" i="2"/>
  <c r="F40" i="1"/>
  <c r="E2" i="2"/>
  <c r="E40" i="1"/>
  <c r="D2" i="2"/>
  <c r="D40" i="1"/>
  <c r="C2" i="2"/>
  <c r="C40" i="1"/>
  <c r="B2" i="2"/>
</calcChain>
</file>

<file path=xl/sharedStrings.xml><?xml version="1.0" encoding="utf-8"?>
<sst xmlns="http://schemas.openxmlformats.org/spreadsheetml/2006/main" count="156" uniqueCount="63">
  <si>
    <t>Vaccine</t>
  </si>
  <si>
    <t>wb_status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</si>
  <si>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</si>
  <si>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</si>
  <si>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</si>
  <si>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</si>
  <si>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</si>
  <si>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</si>
  <si>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</si>
  <si>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</si>
  <si>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</si>
  <si>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</si>
  <si>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</si>
  <si>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</si>
  <si>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</si>
  <si>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</si>
  <si>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</si>
  <si>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</si>
  <si>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</si>
  <si>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</si>
  <si>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</si>
  <si>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</si>
  <si>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</si>
  <si>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</si>
  <si>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</si>
  <si>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</si>
  <si>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</si>
  <si>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</si>
  <si>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</si>
  <si>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</si>
  <si>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</si>
  <si>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</si>
  <si>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</si>
  <si>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bOPV</t>
  </si>
  <si>
    <t>Low Income</t>
  </si>
  <si>
    <t>Lower Middle Income</t>
  </si>
  <si>
    <t>DT</t>
  </si>
  <si>
    <t>DTwP</t>
  </si>
  <si>
    <t>DTwP-HepB</t>
  </si>
  <si>
    <t>DTwP-HepB-Hib</t>
  </si>
  <si>
    <t>DTwP-Hib</t>
  </si>
  <si>
    <t>HepB</t>
  </si>
  <si>
    <t>Hib</t>
  </si>
  <si>
    <t>HPV</t>
  </si>
  <si>
    <t>IPV</t>
  </si>
  <si>
    <t>Measles</t>
  </si>
  <si>
    <t>MMR</t>
  </si>
  <si>
    <t>MR</t>
  </si>
  <si>
    <t>PCV</t>
  </si>
  <si>
    <t>Rota</t>
  </si>
  <si>
    <t>Td</t>
  </si>
  <si>
    <t>tOPV</t>
  </si>
  <si>
    <t>TT</t>
  </si>
  <si>
    <t>Mumps</t>
  </si>
  <si>
    <t>Rubella</t>
  </si>
  <si>
    <t>Diphtheria</t>
  </si>
  <si>
    <t>Tetanus</t>
  </si>
  <si>
    <t>Pertussis</t>
  </si>
  <si>
    <t>Hepatitis_B</t>
  </si>
  <si>
    <t>Rotavirus</t>
  </si>
  <si>
    <t>DTaP-HepB-Hib-IPV</t>
  </si>
  <si>
    <t>Polio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</si>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</sst>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079A-28E1-4797-B06C-45AFFE551497}">
  <dimension ref="A1:Y13"/>
  <sheetViews>
    <sheetView tabSelected="1" workbookViewId="0">
      <selection activeCell="A2" activeCellId="1" sqref="O2:Y13 A2:A13"/>
    </sheetView>
  </sheetViews>
  <sheetFormatPr defaultRowHeight="15" x14ac:dyDescent="0.25"/>
  <cols>
    <col min="2" max="25" width="11.42578125" bestFit="1" customWidth="1"/>
  </cols>
  <sheetData>
    <row r="1" spans="1:25" x14ac:dyDescent="0.25">
      <c r="A1" t="s">
        <v>62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25">
      <c r="A2" t="s">
        <v>45</v>
      </c>
      <c r="B2" s="8">
        <f>ROUND('antigen demand calcs'!C40,0)</f>
        <v>110184355</v>
      </c>
      <c r="C2" s="8">
        <f>ROUND('antigen demand calcs'!D40,0)</f>
        <v>114307142</v>
      </c>
      <c r="D2" s="8">
        <f>ROUND('antigen demand calcs'!E40,0)</f>
        <v>112328294</v>
      </c>
      <c r="E2" s="8">
        <f>ROUND('antigen demand calcs'!F40,0)</f>
        <v>120587958</v>
      </c>
      <c r="F2" s="8">
        <f>ROUND('antigen demand calcs'!G40,0)</f>
        <v>129895993</v>
      </c>
      <c r="G2" s="8">
        <f>ROUND('antigen demand calcs'!H40,0)</f>
        <v>148890003</v>
      </c>
      <c r="H2" s="8">
        <f>ROUND('antigen demand calcs'!I40,0)</f>
        <v>155481077</v>
      </c>
      <c r="I2" s="8">
        <f>ROUND('antigen demand calcs'!J40,0)</f>
        <v>159027889</v>
      </c>
      <c r="J2" s="8">
        <f>ROUND('antigen demand calcs'!K40,0)</f>
        <v>180942619</v>
      </c>
      <c r="K2" s="8">
        <f>ROUND('antigen demand calcs'!L40,0)</f>
        <v>173746059</v>
      </c>
      <c r="L2" s="8">
        <f>ROUND('antigen demand calcs'!M40,0)</f>
        <v>190090724</v>
      </c>
      <c r="M2" s="8">
        <f>ROUND('antigen demand calcs'!N40,0)</f>
        <v>210380283</v>
      </c>
      <c r="N2" s="8">
        <f>ROUND('antigen demand calcs'!O40,0)</f>
        <v>152332204</v>
      </c>
      <c r="O2" s="8">
        <f>ROUND('antigen demand calcs'!P40,0)</f>
        <v>184600677</v>
      </c>
      <c r="P2" s="8">
        <f>ROUND('antigen demand calcs'!Q40,0)</f>
        <v>169922012</v>
      </c>
      <c r="Q2" s="8">
        <f>ROUND('antigen demand calcs'!R40,0)</f>
        <v>341329845</v>
      </c>
      <c r="R2" s="8">
        <f>ROUND('antigen demand calcs'!S40,0)</f>
        <v>307378677</v>
      </c>
      <c r="S2" s="8">
        <f>ROUND('antigen demand calcs'!T40,0)</f>
        <v>380696579</v>
      </c>
      <c r="T2" s="8">
        <f>ROUND('antigen demand calcs'!U40,0)</f>
        <v>586313630</v>
      </c>
      <c r="U2" s="8">
        <f>ROUND('antigen demand calcs'!V40,0)</f>
        <v>475240096</v>
      </c>
      <c r="V2" s="8">
        <f>ROUND('antigen demand calcs'!W40,0)</f>
        <v>291360748</v>
      </c>
      <c r="W2" s="8">
        <f>ROUND('antigen demand calcs'!X40,0)</f>
        <v>420097004</v>
      </c>
      <c r="X2" s="8">
        <f>ROUND('antigen demand calcs'!Y40,0)</f>
        <v>358616887</v>
      </c>
      <c r="Y2" s="8">
        <f>ROUND('antigen demand calcs'!Z40,0)</f>
        <v>394831633</v>
      </c>
    </row>
    <row r="3" spans="1:25" x14ac:dyDescent="0.25">
      <c r="A3" t="s">
        <v>53</v>
      </c>
      <c r="B3" s="8">
        <f>ROUND('antigen demand calcs'!C41,0)</f>
        <v>14895547</v>
      </c>
      <c r="C3" s="8">
        <f>ROUND('antigen demand calcs'!D41,0)</f>
        <v>15916937</v>
      </c>
      <c r="D3" s="8">
        <f>ROUND('antigen demand calcs'!E41,0)</f>
        <v>16440302</v>
      </c>
      <c r="E3" s="8">
        <f>ROUND('antigen demand calcs'!F41,0)</f>
        <v>17051794</v>
      </c>
      <c r="F3" s="8">
        <f>ROUND('antigen demand calcs'!G41,0)</f>
        <v>25753121</v>
      </c>
      <c r="G3" s="8">
        <f>ROUND('antigen demand calcs'!H41,0)</f>
        <v>26516485</v>
      </c>
      <c r="H3" s="8">
        <f>ROUND('antigen demand calcs'!I41,0)</f>
        <v>28053836</v>
      </c>
      <c r="I3" s="8">
        <f>ROUND('antigen demand calcs'!J41,0)</f>
        <v>27963867</v>
      </c>
      <c r="J3" s="8">
        <f>ROUND('antigen demand calcs'!K41,0)</f>
        <v>39454389</v>
      </c>
      <c r="K3" s="8">
        <f>ROUND('antigen demand calcs'!L41,0)</f>
        <v>41213109</v>
      </c>
      <c r="L3" s="8">
        <f>ROUND('antigen demand calcs'!M41,0)</f>
        <v>42926745</v>
      </c>
      <c r="M3" s="8">
        <f>ROUND('antigen demand calcs'!N41,0)</f>
        <v>42885187</v>
      </c>
      <c r="N3" s="8">
        <f>ROUND('antigen demand calcs'!O41,0)</f>
        <v>22148782</v>
      </c>
      <c r="O3" s="8">
        <f>ROUND('antigen demand calcs'!P41,0)</f>
        <v>22105642</v>
      </c>
      <c r="P3" s="8">
        <f>ROUND('antigen demand calcs'!Q41,0)</f>
        <v>19837777</v>
      </c>
      <c r="Q3" s="8">
        <f>ROUND('antigen demand calcs'!R41,0)</f>
        <v>26434485</v>
      </c>
      <c r="R3" s="8">
        <f>ROUND('antigen demand calcs'!S41,0)</f>
        <v>20737739</v>
      </c>
      <c r="S3" s="8">
        <f>ROUND('antigen demand calcs'!T41,0)</f>
        <v>20303126</v>
      </c>
      <c r="T3" s="8">
        <f>ROUND('antigen demand calcs'!U41,0)</f>
        <v>23934205</v>
      </c>
      <c r="U3" s="8">
        <f>ROUND('antigen demand calcs'!V41,0)</f>
        <v>21792972</v>
      </c>
      <c r="V3" s="8">
        <f>ROUND('antigen demand calcs'!W41,0)</f>
        <v>18694960</v>
      </c>
      <c r="W3" s="8">
        <f>ROUND('antigen demand calcs'!X41,0)</f>
        <v>26052156</v>
      </c>
      <c r="X3" s="8">
        <f>ROUND('antigen demand calcs'!Y41,0)</f>
        <v>26626399</v>
      </c>
      <c r="Y3" s="8">
        <f>ROUND('antigen demand calcs'!Z41,0)</f>
        <v>25785425</v>
      </c>
    </row>
    <row r="4" spans="1:25" x14ac:dyDescent="0.25">
      <c r="A4" t="s">
        <v>54</v>
      </c>
      <c r="B4" s="8">
        <f>ROUND('antigen demand calcs'!C42,0)</f>
        <v>31604096</v>
      </c>
      <c r="C4" s="8">
        <f>ROUND('antigen demand calcs'!D42,0)</f>
        <v>32625821</v>
      </c>
      <c r="D4" s="8">
        <f>ROUND('antigen demand calcs'!E42,0)</f>
        <v>33061541</v>
      </c>
      <c r="E4" s="8">
        <f>ROUND('antigen demand calcs'!F42,0)</f>
        <v>33964093</v>
      </c>
      <c r="F4" s="8">
        <f>ROUND('antigen demand calcs'!G42,0)</f>
        <v>43743914</v>
      </c>
      <c r="G4" s="8">
        <f>ROUND('antigen demand calcs'!H42,0)</f>
        <v>58741080</v>
      </c>
      <c r="H4" s="8">
        <f>ROUND('antigen demand calcs'!I42,0)</f>
        <v>64064132</v>
      </c>
      <c r="I4" s="8">
        <f>ROUND('antigen demand calcs'!J42,0)</f>
        <v>63602346</v>
      </c>
      <c r="J4" s="8">
        <f>ROUND('antigen demand calcs'!K42,0)</f>
        <v>60547652</v>
      </c>
      <c r="K4" s="8">
        <f>ROUND('antigen demand calcs'!L42,0)</f>
        <v>63566234</v>
      </c>
      <c r="L4" s="8">
        <f>ROUND('antigen demand calcs'!M42,0)</f>
        <v>65311437</v>
      </c>
      <c r="M4" s="8">
        <f>ROUND('antigen demand calcs'!N42,0)</f>
        <v>63968777</v>
      </c>
      <c r="N4" s="8">
        <f>ROUND('antigen demand calcs'!O42,0)</f>
        <v>26396843</v>
      </c>
      <c r="O4" s="8">
        <f>ROUND('antigen demand calcs'!P42,0)</f>
        <v>37190191</v>
      </c>
      <c r="P4" s="8">
        <f>ROUND('antigen demand calcs'!Q42,0)</f>
        <v>43940031</v>
      </c>
      <c r="Q4" s="8">
        <f>ROUND('antigen demand calcs'!R42,0)</f>
        <v>128302869</v>
      </c>
      <c r="R4" s="8">
        <f>ROUND('antigen demand calcs'!S42,0)</f>
        <v>110243636</v>
      </c>
      <c r="S4" s="8">
        <f>ROUND('antigen demand calcs'!T42,0)</f>
        <v>186643246</v>
      </c>
      <c r="T4" s="8">
        <f>ROUND('antigen demand calcs'!U42,0)</f>
        <v>434104155</v>
      </c>
      <c r="U4" s="8">
        <f>ROUND('antigen demand calcs'!V42,0)</f>
        <v>354218405</v>
      </c>
      <c r="V4" s="8">
        <f>ROUND('antigen demand calcs'!W42,0)</f>
        <v>212986007</v>
      </c>
      <c r="W4" s="8">
        <f>ROUND('antigen demand calcs'!X42,0)</f>
        <v>357331305</v>
      </c>
      <c r="X4" s="8">
        <f>ROUND('antigen demand calcs'!Y42,0)</f>
        <v>254011421</v>
      </c>
      <c r="Y4" s="8">
        <f>ROUND('antigen demand calcs'!Z42,0)</f>
        <v>304621416</v>
      </c>
    </row>
    <row r="5" spans="1:25" x14ac:dyDescent="0.25">
      <c r="A5" t="s">
        <v>55</v>
      </c>
      <c r="B5" s="8">
        <f>ROUND('antigen demand calcs'!C43,0)</f>
        <v>420502653</v>
      </c>
      <c r="C5" s="8">
        <f>ROUND('antigen demand calcs'!D43,0)</f>
        <v>430423519</v>
      </c>
      <c r="D5" s="8">
        <f>ROUND('antigen demand calcs'!E43,0)</f>
        <v>422659120</v>
      </c>
      <c r="E5" s="8">
        <f>ROUND('antigen demand calcs'!F43,0)</f>
        <v>442151969</v>
      </c>
      <c r="F5" s="8">
        <f>ROUND('antigen demand calcs'!G43,0)</f>
        <v>485071830</v>
      </c>
      <c r="G5" s="8">
        <f>ROUND('antigen demand calcs'!H43,0)</f>
        <v>506451337</v>
      </c>
      <c r="H5" s="8">
        <f>ROUND('antigen demand calcs'!I43,0)</f>
        <v>487823186</v>
      </c>
      <c r="I5" s="8">
        <f>ROUND('antigen demand calcs'!J43,0)</f>
        <v>483645320</v>
      </c>
      <c r="J5" s="8">
        <f>ROUND('antigen demand calcs'!K43,0)</f>
        <v>470892419</v>
      </c>
      <c r="K5" s="8">
        <f>ROUND('antigen demand calcs'!L43,0)</f>
        <v>479676741</v>
      </c>
      <c r="L5" s="8">
        <f>ROUND('antigen demand calcs'!M43,0)</f>
        <v>466291727</v>
      </c>
      <c r="M5" s="8">
        <f>ROUND('antigen demand calcs'!N43,0)</f>
        <v>466786029</v>
      </c>
      <c r="N5" s="8">
        <f>ROUND('antigen demand calcs'!O43,0)</f>
        <v>361566734</v>
      </c>
      <c r="O5" s="8">
        <f>ROUND('antigen demand calcs'!P43,0)</f>
        <v>358960052</v>
      </c>
      <c r="P5" s="8">
        <f>ROUND('antigen demand calcs'!Q43,0)</f>
        <v>354880969</v>
      </c>
      <c r="Q5" s="8">
        <f>ROUND('antigen demand calcs'!R43,0)</f>
        <v>362257229</v>
      </c>
      <c r="R5" s="8">
        <f>ROUND('antigen demand calcs'!S43,0)</f>
        <v>402799889</v>
      </c>
      <c r="S5" s="8">
        <f>ROUND('antigen demand calcs'!T43,0)</f>
        <v>429658592</v>
      </c>
      <c r="T5" s="8">
        <f>ROUND('antigen demand calcs'!U43,0)</f>
        <v>474101067</v>
      </c>
      <c r="U5" s="8">
        <f>ROUND('antigen demand calcs'!V43,0)</f>
        <v>595266022</v>
      </c>
      <c r="V5" s="8">
        <f>ROUND('antigen demand calcs'!W43,0)</f>
        <v>606971011</v>
      </c>
      <c r="W5" s="8">
        <f>ROUND('antigen demand calcs'!X43,0)</f>
        <v>570550152</v>
      </c>
      <c r="X5" s="8">
        <f>ROUND('antigen demand calcs'!Y43,0)</f>
        <v>619539916</v>
      </c>
      <c r="Y5" s="8">
        <f>ROUND('antigen demand calcs'!Z43,0)</f>
        <v>626455401</v>
      </c>
    </row>
    <row r="6" spans="1:25" x14ac:dyDescent="0.25">
      <c r="A6" t="s">
        <v>56</v>
      </c>
      <c r="B6" s="8">
        <f>ROUND('antigen demand calcs'!C44,0)</f>
        <v>498662082</v>
      </c>
      <c r="C6" s="8">
        <f>ROUND('antigen demand calcs'!D44,0)</f>
        <v>510178451</v>
      </c>
      <c r="D6" s="8">
        <f>ROUND('antigen demand calcs'!E44,0)</f>
        <v>505231192</v>
      </c>
      <c r="E6" s="8">
        <f>ROUND('antigen demand calcs'!F44,0)</f>
        <v>527899341</v>
      </c>
      <c r="F6" s="8">
        <f>ROUND('antigen demand calcs'!G44,0)</f>
        <v>573895332</v>
      </c>
      <c r="G6" s="8">
        <f>ROUND('antigen demand calcs'!H44,0)</f>
        <v>597432163</v>
      </c>
      <c r="H6" s="8">
        <f>ROUND('antigen demand calcs'!I44,0)</f>
        <v>581257411</v>
      </c>
      <c r="I6" s="8">
        <f>ROUND('antigen demand calcs'!J44,0)</f>
        <v>581750577</v>
      </c>
      <c r="J6" s="8">
        <f>ROUND('antigen demand calcs'!K44,0)</f>
        <v>571970865</v>
      </c>
      <c r="K6" s="8">
        <f>ROUND('antigen demand calcs'!L44,0)</f>
        <v>584259538</v>
      </c>
      <c r="L6" s="8">
        <f>ROUND('antigen demand calcs'!M44,0)</f>
        <v>572067912</v>
      </c>
      <c r="M6" s="8">
        <f>ROUND('antigen demand calcs'!N44,0)</f>
        <v>602158870</v>
      </c>
      <c r="N6" s="8">
        <f>ROUND('antigen demand calcs'!O44,0)</f>
        <v>510149458</v>
      </c>
      <c r="O6" s="8">
        <f>ROUND('antigen demand calcs'!P44,0)</f>
        <v>523242808</v>
      </c>
      <c r="P6" s="8">
        <f>ROUND('antigen demand calcs'!Q44,0)</f>
        <v>528432014</v>
      </c>
      <c r="Q6" s="8">
        <f>ROUND('antigen demand calcs'!R44,0)</f>
        <v>540142924</v>
      </c>
      <c r="R6" s="8">
        <f>ROUND('antigen demand calcs'!S44,0)</f>
        <v>552631403</v>
      </c>
      <c r="S6" s="8">
        <f>ROUND('antigen demand calcs'!T44,0)</f>
        <v>615744020</v>
      </c>
      <c r="T6" s="8">
        <f>ROUND('antigen demand calcs'!U44,0)</f>
        <v>638869328</v>
      </c>
      <c r="U6" s="8">
        <f>ROUND('antigen demand calcs'!V44,0)</f>
        <v>637765782</v>
      </c>
      <c r="V6" s="8">
        <f>ROUND('antigen demand calcs'!W44,0)</f>
        <v>617489918</v>
      </c>
      <c r="W6" s="8">
        <f>ROUND('antigen demand calcs'!X44,0)</f>
        <v>577730183</v>
      </c>
      <c r="X6" s="8">
        <f>ROUND('antigen demand calcs'!Y44,0)</f>
        <v>626350955</v>
      </c>
      <c r="Y6" s="8">
        <f>ROUND('antigen demand calcs'!Z44,0)</f>
        <v>633278479</v>
      </c>
    </row>
    <row r="7" spans="1:25" x14ac:dyDescent="0.25">
      <c r="A7" t="s">
        <v>57</v>
      </c>
      <c r="B7" s="8">
        <f>ROUND('antigen demand calcs'!C45,0)</f>
        <v>348814438</v>
      </c>
      <c r="C7" s="8">
        <f>ROUND('antigen demand calcs'!D45,0)</f>
        <v>359116487</v>
      </c>
      <c r="D7" s="8">
        <f>ROUND('antigen demand calcs'!E45,0)</f>
        <v>352212313</v>
      </c>
      <c r="E7" s="8">
        <f>ROUND('antigen demand calcs'!F45,0)</f>
        <v>369903178</v>
      </c>
      <c r="F7" s="8">
        <f>ROUND('antigen demand calcs'!G45,0)</f>
        <v>396047209</v>
      </c>
      <c r="G7" s="8">
        <f>ROUND('antigen demand calcs'!H45,0)</f>
        <v>419499805</v>
      </c>
      <c r="H7" s="8">
        <f>ROUND('antigen demand calcs'!I45,0)</f>
        <v>412793682</v>
      </c>
      <c r="I7" s="8">
        <f>ROUND('antigen demand calcs'!J45,0)</f>
        <v>410544078</v>
      </c>
      <c r="J7" s="8">
        <f>ROUND('antigen demand calcs'!K45,0)</f>
        <v>412596277</v>
      </c>
      <c r="K7" s="8">
        <f>ROUND('antigen demand calcs'!L45,0)</f>
        <v>423562197</v>
      </c>
      <c r="L7" s="8">
        <f>ROUND('antigen demand calcs'!M45,0)</f>
        <v>415288886</v>
      </c>
      <c r="M7" s="8">
        <f>ROUND('antigen demand calcs'!N45,0)</f>
        <v>417581679</v>
      </c>
      <c r="N7" s="8">
        <f>ROUND('antigen demand calcs'!O45,0)</f>
        <v>332385977</v>
      </c>
      <c r="O7" s="8">
        <f>ROUND('antigen demand calcs'!P45,0)</f>
        <v>328701755</v>
      </c>
      <c r="P7" s="8">
        <f>ROUND('antigen demand calcs'!Q45,0)</f>
        <v>323938145</v>
      </c>
      <c r="Q7" s="8">
        <f>ROUND('antigen demand calcs'!R45,0)</f>
        <v>325441283</v>
      </c>
      <c r="R7" s="8">
        <f>ROUND('antigen demand calcs'!S45,0)</f>
        <v>326230496</v>
      </c>
      <c r="S7" s="8">
        <f>ROUND('antigen demand calcs'!T45,0)</f>
        <v>333387964</v>
      </c>
      <c r="T7" s="8">
        <f>ROUND('antigen demand calcs'!U45,0)</f>
        <v>341894642</v>
      </c>
      <c r="U7" s="8">
        <f>ROUND('antigen demand calcs'!V45,0)</f>
        <v>348615177</v>
      </c>
      <c r="V7" s="8">
        <f>ROUND('antigen demand calcs'!W45,0)</f>
        <v>333074171</v>
      </c>
      <c r="W7" s="8">
        <f>ROUND('antigen demand calcs'!X45,0)</f>
        <v>320662742</v>
      </c>
      <c r="X7" s="8">
        <f>ROUND('antigen demand calcs'!Y45,0)</f>
        <v>347414024</v>
      </c>
      <c r="Y7" s="8">
        <f>ROUND('antigen demand calcs'!Z45,0)</f>
        <v>352464578</v>
      </c>
    </row>
    <row r="8" spans="1:25" x14ac:dyDescent="0.25">
      <c r="A8" t="s">
        <v>58</v>
      </c>
      <c r="B8" s="8">
        <f>ROUND('antigen demand calcs'!C46,0)</f>
        <v>53534395</v>
      </c>
      <c r="C8" s="8">
        <f>ROUND('antigen demand calcs'!D46,0)</f>
        <v>65035577</v>
      </c>
      <c r="D8" s="8">
        <f>ROUND('antigen demand calcs'!E46,0)</f>
        <v>142552460</v>
      </c>
      <c r="E8" s="8">
        <f>ROUND('antigen demand calcs'!F46,0)</f>
        <v>176861989</v>
      </c>
      <c r="F8" s="8">
        <f>ROUND('antigen demand calcs'!G46,0)</f>
        <v>210343448</v>
      </c>
      <c r="G8" s="8">
        <f>ROUND('antigen demand calcs'!H46,0)</f>
        <v>242350719</v>
      </c>
      <c r="H8" s="8">
        <f>ROUND('antigen demand calcs'!I46,0)</f>
        <v>250960256</v>
      </c>
      <c r="I8" s="8">
        <f>ROUND('antigen demand calcs'!J46,0)</f>
        <v>265949497</v>
      </c>
      <c r="J8" s="8">
        <f>ROUND('antigen demand calcs'!K46,0)</f>
        <v>283972650</v>
      </c>
      <c r="K8" s="8">
        <f>ROUND('antigen demand calcs'!L46,0)</f>
        <v>299712635</v>
      </c>
      <c r="L8" s="8">
        <f>ROUND('antigen demand calcs'!M46,0)</f>
        <v>288078438</v>
      </c>
      <c r="M8" s="8">
        <f>ROUND('antigen demand calcs'!N46,0)</f>
        <v>338858296</v>
      </c>
      <c r="N8" s="8">
        <f>ROUND('antigen demand calcs'!O46,0)</f>
        <v>308807103</v>
      </c>
      <c r="O8" s="8">
        <f>ROUND('antigen demand calcs'!P46,0)</f>
        <v>307013342</v>
      </c>
      <c r="P8" s="8">
        <f>ROUND('antigen demand calcs'!Q46,0)</f>
        <v>304655315</v>
      </c>
      <c r="Q8" s="8">
        <f>ROUND('antigen demand calcs'!R46,0)</f>
        <v>306586598</v>
      </c>
      <c r="R8" s="8">
        <f>ROUND('antigen demand calcs'!S46,0)</f>
        <v>310915297</v>
      </c>
      <c r="S8" s="8">
        <f>ROUND('antigen demand calcs'!T46,0)</f>
        <v>318821586</v>
      </c>
      <c r="T8" s="8">
        <f>ROUND('antigen demand calcs'!U46,0)</f>
        <v>332337842</v>
      </c>
      <c r="U8" s="8">
        <f>ROUND('antigen demand calcs'!V46,0)</f>
        <v>340059522</v>
      </c>
      <c r="V8" s="8">
        <f>ROUND('antigen demand calcs'!W46,0)</f>
        <v>329290310</v>
      </c>
      <c r="W8" s="8">
        <f>ROUND('antigen demand calcs'!X46,0)</f>
        <v>312284565</v>
      </c>
      <c r="X8" s="8">
        <f>ROUND('antigen demand calcs'!Y46,0)</f>
        <v>343008157</v>
      </c>
      <c r="Y8" s="8">
        <f>ROUND('antigen demand calcs'!Z46,0)</f>
        <v>351717780</v>
      </c>
    </row>
    <row r="9" spans="1:25" x14ac:dyDescent="0.25">
      <c r="A9" t="s">
        <v>42</v>
      </c>
      <c r="B9" s="8">
        <f>ROUND('antigen demand calcs'!C47,0)</f>
        <v>10972631</v>
      </c>
      <c r="C9" s="8">
        <f>ROUND('antigen demand calcs'!D47,0)</f>
        <v>14749478</v>
      </c>
      <c r="D9" s="8">
        <f>ROUND('antigen demand calcs'!E47,0)</f>
        <v>24848263</v>
      </c>
      <c r="E9" s="8">
        <f>ROUND('antigen demand calcs'!F47,0)</f>
        <v>29092822</v>
      </c>
      <c r="F9" s="8">
        <f>ROUND('antigen demand calcs'!G47,0)</f>
        <v>41843072</v>
      </c>
      <c r="G9" s="8">
        <f>ROUND('antigen demand calcs'!H47,0)</f>
        <v>51014896</v>
      </c>
      <c r="H9" s="8">
        <f>ROUND('antigen demand calcs'!I47,0)</f>
        <v>52364656</v>
      </c>
      <c r="I9" s="8">
        <f>ROUND('antigen demand calcs'!J47,0)</f>
        <v>79540844</v>
      </c>
      <c r="J9" s="8">
        <f>ROUND('antigen demand calcs'!K47,0)</f>
        <v>96781659</v>
      </c>
      <c r="K9" s="8">
        <f>ROUND('antigen demand calcs'!L47,0)</f>
        <v>157581638</v>
      </c>
      <c r="L9" s="8">
        <f>ROUND('antigen demand calcs'!M47,0)</f>
        <v>154631753</v>
      </c>
      <c r="M9" s="8">
        <f>ROUND('antigen demand calcs'!N47,0)</f>
        <v>160824939</v>
      </c>
      <c r="N9" s="8">
        <f>ROUND('antigen demand calcs'!O47,0)</f>
        <v>145864529</v>
      </c>
      <c r="O9" s="8">
        <f>ROUND('antigen demand calcs'!P47,0)</f>
        <v>154141277</v>
      </c>
      <c r="P9" s="8">
        <f>ROUND('antigen demand calcs'!Q47,0)</f>
        <v>175806595</v>
      </c>
      <c r="Q9" s="8">
        <f>ROUND('antigen demand calcs'!R47,0)</f>
        <v>234434326</v>
      </c>
      <c r="R9" s="8">
        <f>ROUND('antigen demand calcs'!S47,0)</f>
        <v>261706481</v>
      </c>
      <c r="S9" s="8">
        <f>ROUND('antigen demand calcs'!T47,0)</f>
        <v>267997879</v>
      </c>
      <c r="T9" s="8">
        <f>ROUND('antigen demand calcs'!U47,0)</f>
        <v>277236714</v>
      </c>
      <c r="U9" s="8">
        <f>ROUND('antigen demand calcs'!V47,0)</f>
        <v>283780799</v>
      </c>
      <c r="V9" s="8">
        <f>ROUND('antigen demand calcs'!W47,0)</f>
        <v>272465350</v>
      </c>
      <c r="W9" s="8">
        <f>ROUND('antigen demand calcs'!X47,0)</f>
        <v>259536228</v>
      </c>
      <c r="X9" s="8">
        <f>ROUND('antigen demand calcs'!Y47,0)</f>
        <v>282777104</v>
      </c>
      <c r="Y9" s="8">
        <f>ROUND('antigen demand calcs'!Z47,0)</f>
        <v>287252889</v>
      </c>
    </row>
    <row r="10" spans="1:25" x14ac:dyDescent="0.25">
      <c r="A10" t="s">
        <v>61</v>
      </c>
      <c r="B10" s="8">
        <v>301694795.28999996</v>
      </c>
      <c r="C10" s="8">
        <v>325020669.98644739</v>
      </c>
      <c r="D10" s="8">
        <v>330516182.04509211</v>
      </c>
      <c r="E10" s="8">
        <v>345227358.55578935</v>
      </c>
      <c r="F10" s="8">
        <v>370122959.80289471</v>
      </c>
      <c r="G10" s="8">
        <v>379929193.84618425</v>
      </c>
      <c r="H10" s="8">
        <v>377116086.46000004</v>
      </c>
      <c r="I10" s="8">
        <v>383242198.28578949</v>
      </c>
      <c r="J10" s="8">
        <v>383131959.95526314</v>
      </c>
      <c r="K10" s="8">
        <v>397706978.19578946</v>
      </c>
      <c r="L10" s="8">
        <v>386738921.61065781</v>
      </c>
      <c r="M10" s="8">
        <v>402611328.81223685</v>
      </c>
      <c r="N10" s="8">
        <v>345514493.55000007</v>
      </c>
      <c r="O10" s="8">
        <v>354511503.71144724</v>
      </c>
      <c r="P10" s="8">
        <v>355186102.64560306</v>
      </c>
      <c r="Q10" s="8">
        <v>371591674.63909698</v>
      </c>
      <c r="R10" s="8">
        <v>459148209.50212324</v>
      </c>
      <c r="S10" s="8">
        <v>510749541.40994167</v>
      </c>
      <c r="T10" s="8">
        <v>520616139.799227</v>
      </c>
      <c r="U10" s="8">
        <v>545892364.24520755</v>
      </c>
      <c r="V10" s="8">
        <v>525681082.76769733</v>
      </c>
      <c r="W10" s="8">
        <v>522182008.89205366</v>
      </c>
      <c r="X10" s="8">
        <v>582182282.26193905</v>
      </c>
      <c r="Y10" s="8">
        <v>608631764.96709085</v>
      </c>
    </row>
    <row r="11" spans="1:25" x14ac:dyDescent="0.25">
      <c r="A11" t="s">
        <v>43</v>
      </c>
      <c r="B11" s="8">
        <f>ROUND('antigen demand calcs'!C49,0)</f>
        <v>0</v>
      </c>
      <c r="C11" s="8">
        <f>ROUND('antigen demand calcs'!D49,0)</f>
        <v>0</v>
      </c>
      <c r="D11" s="8">
        <f>ROUND('antigen demand calcs'!E49,0)</f>
        <v>0</v>
      </c>
      <c r="E11" s="8">
        <f>ROUND('antigen demand calcs'!F49,0)</f>
        <v>0</v>
      </c>
      <c r="F11" s="8">
        <f>ROUND('antigen demand calcs'!G49,0)</f>
        <v>0</v>
      </c>
      <c r="G11" s="8">
        <f>ROUND('antigen demand calcs'!H49,0)</f>
        <v>0</v>
      </c>
      <c r="H11" s="8">
        <f>ROUND('antigen demand calcs'!I49,0)</f>
        <v>0</v>
      </c>
      <c r="I11" s="8">
        <f>ROUND('antigen demand calcs'!J49,0)</f>
        <v>0</v>
      </c>
      <c r="J11" s="8">
        <f>ROUND('antigen demand calcs'!K49,0)</f>
        <v>9437</v>
      </c>
      <c r="K11" s="8">
        <f>ROUND('antigen demand calcs'!L49,0)</f>
        <v>15033</v>
      </c>
      <c r="L11" s="8">
        <f>ROUND('antigen demand calcs'!M49,0)</f>
        <v>7008</v>
      </c>
      <c r="M11" s="8">
        <f>ROUND('antigen demand calcs'!N49,0)</f>
        <v>15318</v>
      </c>
      <c r="N11" s="8">
        <f>ROUND('antigen demand calcs'!O49,0)</f>
        <v>60837</v>
      </c>
      <c r="O11" s="8">
        <f>ROUND('antigen demand calcs'!P49,0)</f>
        <v>181341</v>
      </c>
      <c r="P11" s="8">
        <f>ROUND('antigen demand calcs'!Q49,0)</f>
        <v>349925</v>
      </c>
      <c r="Q11" s="8">
        <f>ROUND('antigen demand calcs'!R49,0)</f>
        <v>514654</v>
      </c>
      <c r="R11" s="8">
        <f>ROUND('antigen demand calcs'!S49,0)</f>
        <v>1545657</v>
      </c>
      <c r="S11" s="8">
        <f>ROUND('antigen demand calcs'!T49,0)</f>
        <v>2487801</v>
      </c>
      <c r="T11" s="8">
        <f>ROUND('antigen demand calcs'!U49,0)</f>
        <v>6959717</v>
      </c>
      <c r="U11" s="8">
        <f>ROUND('antigen demand calcs'!V49,0)</f>
        <v>10275961</v>
      </c>
      <c r="V11" s="8">
        <f>ROUND('antigen demand calcs'!W49,0)</f>
        <v>12011982</v>
      </c>
      <c r="W11" s="8">
        <f>ROUND('antigen demand calcs'!X49,0)</f>
        <v>18988210</v>
      </c>
      <c r="X11" s="8">
        <f>ROUND('antigen demand calcs'!Y49,0)</f>
        <v>18779835</v>
      </c>
      <c r="Y11" s="8">
        <f>ROUND('antigen demand calcs'!Z49,0)</f>
        <v>27459977</v>
      </c>
    </row>
    <row r="12" spans="1:25" x14ac:dyDescent="0.25">
      <c r="A12" t="s">
        <v>59</v>
      </c>
      <c r="B12" s="8">
        <f>ROUND('antigen demand calcs'!C50,0)</f>
        <v>0</v>
      </c>
      <c r="C12" s="8">
        <f>ROUND('antigen demand calcs'!D50,0)</f>
        <v>0</v>
      </c>
      <c r="D12" s="8">
        <f>ROUND('antigen demand calcs'!E50,0)</f>
        <v>0</v>
      </c>
      <c r="E12" s="8">
        <f>ROUND('antigen demand calcs'!F50,0)</f>
        <v>0</v>
      </c>
      <c r="F12" s="8">
        <f>ROUND('antigen demand calcs'!G50,0)</f>
        <v>0</v>
      </c>
      <c r="G12" s="8">
        <f>ROUND('antigen demand calcs'!H50,0)</f>
        <v>0</v>
      </c>
      <c r="H12" s="8">
        <f>ROUND('antigen demand calcs'!I50,0)</f>
        <v>3029896</v>
      </c>
      <c r="I12" s="8">
        <f>ROUND('antigen demand calcs'!J50,0)</f>
        <v>7758596</v>
      </c>
      <c r="J12" s="8">
        <f>ROUND('antigen demand calcs'!K50,0)</f>
        <v>1545856</v>
      </c>
      <c r="K12" s="8">
        <f>ROUND('antigen demand calcs'!L50,0)</f>
        <v>4340800</v>
      </c>
      <c r="L12" s="8">
        <f>ROUND('antigen demand calcs'!M50,0)</f>
        <v>3509131</v>
      </c>
      <c r="M12" s="8">
        <f>ROUND('antigen demand calcs'!N50,0)</f>
        <v>5934021</v>
      </c>
      <c r="N12" s="8">
        <f>ROUND('antigen demand calcs'!O50,0)</f>
        <v>11771289</v>
      </c>
      <c r="O12" s="8">
        <f>ROUND('antigen demand calcs'!P50,0)</f>
        <v>21235066</v>
      </c>
      <c r="P12" s="8">
        <f>ROUND('antigen demand calcs'!Q50,0)</f>
        <v>35141119</v>
      </c>
      <c r="Q12" s="8">
        <f>ROUND('antigen demand calcs'!R50,0)</f>
        <v>44497769</v>
      </c>
      <c r="R12" s="8">
        <f>ROUND('antigen demand calcs'!S50,0)</f>
        <v>55341924</v>
      </c>
      <c r="S12" s="8">
        <f>ROUND('antigen demand calcs'!T50,0)</f>
        <v>66664537</v>
      </c>
      <c r="T12" s="8">
        <f>ROUND('antigen demand calcs'!U50,0)</f>
        <v>93092909</v>
      </c>
      <c r="U12" s="8">
        <f>ROUND('antigen demand calcs'!V50,0)</f>
        <v>126525666</v>
      </c>
      <c r="V12" s="8">
        <f>ROUND('antigen demand calcs'!W50,0)</f>
        <v>142261312</v>
      </c>
      <c r="W12" s="8">
        <f>ROUND('antigen demand calcs'!X50,0)</f>
        <v>142479003</v>
      </c>
      <c r="X12" s="8">
        <f>ROUND('antigen demand calcs'!Y50,0)</f>
        <v>166422083</v>
      </c>
      <c r="Y12" s="8">
        <f>ROUND('antigen demand calcs'!Z50,0)</f>
        <v>173751395</v>
      </c>
    </row>
    <row r="13" spans="1:25" x14ac:dyDescent="0.25">
      <c r="A13" t="s">
        <v>48</v>
      </c>
      <c r="B13" s="8">
        <f>ROUND('antigen demand calcs'!C51,0)</f>
        <v>0</v>
      </c>
      <c r="C13" s="8">
        <f>ROUND('antigen demand calcs'!D51,0)</f>
        <v>0</v>
      </c>
      <c r="D13" s="8">
        <f>ROUND('antigen demand calcs'!E51,0)</f>
        <v>0</v>
      </c>
      <c r="E13" s="8">
        <f>ROUND('antigen demand calcs'!F51,0)</f>
        <v>0</v>
      </c>
      <c r="F13" s="8">
        <f>ROUND('antigen demand calcs'!G51,0)</f>
        <v>0</v>
      </c>
      <c r="G13" s="8">
        <f>ROUND('antigen demand calcs'!H51,0)</f>
        <v>0</v>
      </c>
      <c r="H13" s="8">
        <f>ROUND('antigen demand calcs'!I51,0)</f>
        <v>0</v>
      </c>
      <c r="I13" s="8">
        <f>ROUND('antigen demand calcs'!J51,0)</f>
        <v>0</v>
      </c>
      <c r="J13" s="8">
        <f>ROUND('antigen demand calcs'!K51,0)</f>
        <v>6301</v>
      </c>
      <c r="K13" s="8">
        <f>ROUND('antigen demand calcs'!L51,0)</f>
        <v>1716888</v>
      </c>
      <c r="L13" s="8">
        <f>ROUND('antigen demand calcs'!M51,0)</f>
        <v>1579536</v>
      </c>
      <c r="M13" s="8">
        <f>ROUND('antigen demand calcs'!N51,0)</f>
        <v>9327524</v>
      </c>
      <c r="N13" s="8">
        <f>ROUND('antigen demand calcs'!O51,0)</f>
        <v>23147609</v>
      </c>
      <c r="O13" s="8">
        <f>ROUND('antigen demand calcs'!P51,0)</f>
        <v>41170015</v>
      </c>
      <c r="P13" s="8">
        <f>ROUND('antigen demand calcs'!Q51,0)</f>
        <v>66222136</v>
      </c>
      <c r="Q13" s="8">
        <f>ROUND('antigen demand calcs'!R51,0)</f>
        <v>89756384</v>
      </c>
      <c r="R13" s="8">
        <f>ROUND('antigen demand calcs'!S51,0)</f>
        <v>107603981</v>
      </c>
      <c r="S13" s="8">
        <f>ROUND('antigen demand calcs'!T51,0)</f>
        <v>127327221</v>
      </c>
      <c r="T13" s="8">
        <f>ROUND('antigen demand calcs'!U51,0)</f>
        <v>136528866</v>
      </c>
      <c r="U13" s="8">
        <f>ROUND('antigen demand calcs'!V51,0)</f>
        <v>145562505</v>
      </c>
      <c r="V13" s="8">
        <f>ROUND('antigen demand calcs'!W51,0)</f>
        <v>141811833</v>
      </c>
      <c r="W13" s="8">
        <f>ROUND('antigen demand calcs'!X51,0)</f>
        <v>160800233</v>
      </c>
      <c r="X13" s="8">
        <f>ROUND('antigen demand calcs'!Y51,0)</f>
        <v>186996097</v>
      </c>
      <c r="Y13" s="8">
        <f>ROUND('antigen demand calcs'!Z51,0)</f>
        <v>209165466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AF05-1167-46C6-B2E0-157ED0D96BEC}">
  <sheetPr filterMode="1"/>
  <dimension ref="A1:AG80"/>
  <sheetViews>
    <sheetView workbookViewId="0">
      <pane xSplit="1" topLeftCell="O1" activePane="topRight" state="frozen"/>
      <selection pane="topRight" activeCell="O46" sqref="O46"/>
    </sheetView>
  </sheetViews>
  <sheetFormatPr defaultRowHeight="15" x14ac:dyDescent="0.25"/>
  <cols>
    <col min="1" max="1" width="15.28515625" bestFit="1" customWidth="1"/>
    <col min="2" max="2" width="20.42578125" bestFit="1" customWidth="1"/>
    <col min="3" max="4" width="18.5703125" bestFit="1" customWidth="1"/>
    <col min="5" max="26" width="19.5703125" bestFit="1" customWidth="1"/>
    <col min="27" max="33" width="14.28515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3" t="s">
        <v>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>
        <v>72730017.667036995</v>
      </c>
      <c r="T2" s="5">
        <v>105707119.17698786</v>
      </c>
      <c r="U2" s="5">
        <v>105122903.40084933</v>
      </c>
      <c r="V2" s="5">
        <v>117197145.76822057</v>
      </c>
      <c r="W2" s="5">
        <v>109883951.1394878</v>
      </c>
      <c r="X2" s="5">
        <v>102454929.32196066</v>
      </c>
      <c r="Y2" s="5">
        <v>104515648.48170672</v>
      </c>
      <c r="Z2" s="5">
        <v>111582376.86140193</v>
      </c>
      <c r="AA2" s="5">
        <v>112275606.78074431</v>
      </c>
      <c r="AB2" s="5">
        <v>114061677.14356512</v>
      </c>
      <c r="AC2" s="5">
        <v>107517134.7079846</v>
      </c>
      <c r="AD2" s="4"/>
      <c r="AE2" s="4"/>
      <c r="AF2" s="4"/>
      <c r="AG2" s="4"/>
    </row>
    <row r="3" spans="1:33" x14ac:dyDescent="0.25">
      <c r="A3" s="2" t="s">
        <v>33</v>
      </c>
      <c r="B3" s="3" t="s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>
        <v>248146832.63446319</v>
      </c>
      <c r="T3" s="5">
        <v>353373866.38968849</v>
      </c>
      <c r="U3" s="5">
        <v>350436715.62377709</v>
      </c>
      <c r="V3" s="5">
        <v>346621039.57358456</v>
      </c>
      <c r="W3" s="5">
        <v>335939553.34703195</v>
      </c>
      <c r="X3" s="5">
        <v>335948032.7226063</v>
      </c>
      <c r="Y3" s="5">
        <v>365755666.6293354</v>
      </c>
      <c r="Z3" s="5">
        <v>366231129.96423131</v>
      </c>
      <c r="AA3" s="5">
        <v>347816360.95879233</v>
      </c>
      <c r="AB3" s="5">
        <v>347310213.51093847</v>
      </c>
      <c r="AC3" s="5">
        <v>336509066.08825111</v>
      </c>
      <c r="AD3" s="4"/>
      <c r="AE3" s="4"/>
      <c r="AF3" s="4"/>
      <c r="AG3" s="4"/>
    </row>
    <row r="4" spans="1:33" hidden="1" x14ac:dyDescent="0.25">
      <c r="A4" s="2" t="s">
        <v>36</v>
      </c>
      <c r="B4" s="3" t="s">
        <v>34</v>
      </c>
      <c r="C4" s="5">
        <v>17559920.742587715</v>
      </c>
      <c r="D4" s="5">
        <v>1530590.5024999999</v>
      </c>
      <c r="E4" s="5">
        <v>1386901.6691666667</v>
      </c>
      <c r="F4" s="5">
        <v>1320690.3758333332</v>
      </c>
      <c r="G4" s="5">
        <v>678429.41083333327</v>
      </c>
      <c r="H4" s="5">
        <v>468765.33333333331</v>
      </c>
      <c r="I4" s="5">
        <v>473725.65416666662</v>
      </c>
      <c r="J4" s="5">
        <v>343604.26666666666</v>
      </c>
      <c r="K4" s="5">
        <v>340659.14749999996</v>
      </c>
      <c r="L4" s="5">
        <v>359787.73166666669</v>
      </c>
      <c r="M4" s="5">
        <v>367309.28249999997</v>
      </c>
      <c r="N4" s="5">
        <v>377112.44</v>
      </c>
      <c r="O4" s="5">
        <v>390295.26583333337</v>
      </c>
      <c r="P4" s="5">
        <v>390036.34083333332</v>
      </c>
      <c r="Q4" s="5">
        <v>428852.85416666669</v>
      </c>
      <c r="R4" s="5">
        <v>264882.33833333332</v>
      </c>
      <c r="S4" s="4"/>
      <c r="T4" s="4"/>
      <c r="U4" s="4"/>
      <c r="V4" s="5">
        <v>674796.84833333339</v>
      </c>
      <c r="W4" s="5">
        <v>4156434.5341666667</v>
      </c>
      <c r="X4" s="5">
        <v>4315320.2416666672</v>
      </c>
      <c r="Y4" s="5">
        <v>4110923.5266666668</v>
      </c>
      <c r="Z4" s="5">
        <v>4246029.5633333335</v>
      </c>
      <c r="AA4" s="5">
        <v>4705085.6783333328</v>
      </c>
      <c r="AB4" s="5">
        <v>4789178.8133333335</v>
      </c>
      <c r="AC4" s="5">
        <v>718943.28500000003</v>
      </c>
      <c r="AD4" s="5">
        <v>759633.19833333325</v>
      </c>
      <c r="AE4" s="5">
        <v>785092.07833333337</v>
      </c>
      <c r="AF4" s="5">
        <v>821841.3666666667</v>
      </c>
      <c r="AG4" s="5">
        <v>863986.71500000008</v>
      </c>
    </row>
    <row r="5" spans="1:33" hidden="1" x14ac:dyDescent="0.25">
      <c r="A5" s="2" t="s">
        <v>36</v>
      </c>
      <c r="B5" s="3" t="s">
        <v>35</v>
      </c>
      <c r="C5" s="5">
        <v>3364029.277735664</v>
      </c>
      <c r="D5" s="5">
        <v>19002103.351286985</v>
      </c>
      <c r="E5" s="5">
        <v>18724672.860788167</v>
      </c>
      <c r="F5" s="5">
        <v>18071979.70850157</v>
      </c>
      <c r="G5" s="5">
        <v>18376273.711529851</v>
      </c>
      <c r="H5" s="5">
        <v>18225152.388050538</v>
      </c>
      <c r="I5" s="5">
        <v>19831936.211379945</v>
      </c>
      <c r="J5" s="5">
        <v>19572617.612707514</v>
      </c>
      <c r="K5" s="5">
        <v>19597296.730236974</v>
      </c>
      <c r="L5" s="5">
        <v>19465615.789035086</v>
      </c>
      <c r="M5" s="5">
        <v>18787989.567061402</v>
      </c>
      <c r="N5" s="5">
        <v>18949188.403421052</v>
      </c>
      <c r="O5" s="5">
        <v>1565811.2783333336</v>
      </c>
      <c r="P5" s="5">
        <v>1478823.7524999999</v>
      </c>
      <c r="Q5" s="5">
        <v>1472017.5891666666</v>
      </c>
      <c r="R5" s="5">
        <v>1622398.3825000001</v>
      </c>
      <c r="S5" s="5">
        <v>1784486.5525000002</v>
      </c>
      <c r="T5" s="5">
        <v>2200512.6324999998</v>
      </c>
      <c r="U5" s="5">
        <v>2217689.2383333333</v>
      </c>
      <c r="V5" s="5">
        <v>1502990.7058333333</v>
      </c>
      <c r="W5" s="5">
        <v>906377.51083333325</v>
      </c>
      <c r="X5" s="5">
        <v>2089581.7182017544</v>
      </c>
      <c r="Y5" s="5">
        <v>2331415.9688157896</v>
      </c>
      <c r="Z5" s="5">
        <v>2295538.2641666671</v>
      </c>
      <c r="AA5" s="5">
        <v>1554268.8116228073</v>
      </c>
      <c r="AB5" s="5">
        <v>1550926.0481140353</v>
      </c>
      <c r="AC5" s="5">
        <v>5699436.2732894737</v>
      </c>
      <c r="AD5" s="5">
        <v>5324019.6546929823</v>
      </c>
      <c r="AE5" s="5">
        <v>5339861.9428947363</v>
      </c>
      <c r="AF5" s="5">
        <v>5355310.5925877197</v>
      </c>
      <c r="AG5" s="5">
        <v>5370201.9115789467</v>
      </c>
    </row>
    <row r="6" spans="1:33" hidden="1" x14ac:dyDescent="0.25">
      <c r="A6" s="2" t="s">
        <v>37</v>
      </c>
      <c r="B6" s="3" t="s">
        <v>34</v>
      </c>
      <c r="C6" s="5">
        <v>269754626.42690504</v>
      </c>
      <c r="D6" s="5">
        <v>223547622.24574625</v>
      </c>
      <c r="E6" s="5">
        <v>191536555.34619403</v>
      </c>
      <c r="F6" s="5">
        <v>174656853.79138064</v>
      </c>
      <c r="G6" s="5">
        <v>162830338.31638062</v>
      </c>
      <c r="H6" s="5">
        <v>148723008.26615673</v>
      </c>
      <c r="I6" s="5">
        <v>139222490.23988807</v>
      </c>
      <c r="J6" s="5">
        <v>124209924.36376867</v>
      </c>
      <c r="K6" s="5">
        <v>126407107.42462689</v>
      </c>
      <c r="L6" s="5">
        <v>4726272.0312686572</v>
      </c>
      <c r="M6" s="5">
        <v>5302588.0371268662</v>
      </c>
      <c r="N6" s="5">
        <v>2799844.9924999997</v>
      </c>
      <c r="O6" s="5">
        <v>2089676.9949999996</v>
      </c>
      <c r="P6" s="5">
        <v>1099248.7175</v>
      </c>
      <c r="Q6" s="5">
        <v>1116399.2625</v>
      </c>
      <c r="R6" s="5">
        <v>1057920.22</v>
      </c>
      <c r="S6" s="5">
        <v>1205402.5944999999</v>
      </c>
      <c r="T6" s="5">
        <v>1198261.27</v>
      </c>
      <c r="U6" s="5">
        <v>1203338.7675000001</v>
      </c>
      <c r="V6" s="5">
        <v>1488312.7849999997</v>
      </c>
      <c r="W6" s="5">
        <v>990784.96749999991</v>
      </c>
      <c r="X6" s="5">
        <v>1000720.1874999999</v>
      </c>
      <c r="Y6" s="5">
        <v>540136.75750000007</v>
      </c>
      <c r="Z6" s="5">
        <v>550198.34749999992</v>
      </c>
      <c r="AA6" s="5">
        <v>868326.12749999994</v>
      </c>
      <c r="AB6" s="5">
        <v>877675.33499999996</v>
      </c>
      <c r="AC6" s="5">
        <v>887468.01749999996</v>
      </c>
      <c r="AD6" s="5">
        <v>892701.99</v>
      </c>
      <c r="AE6" s="5">
        <v>902401.625</v>
      </c>
      <c r="AF6" s="5">
        <v>912272.00249999994</v>
      </c>
      <c r="AG6" s="5">
        <v>924903.77499999991</v>
      </c>
    </row>
    <row r="7" spans="1:33" hidden="1" x14ac:dyDescent="0.25">
      <c r="A7" s="2" t="s">
        <v>37</v>
      </c>
      <c r="B7" s="3" t="s">
        <v>35</v>
      </c>
      <c r="C7" s="5">
        <v>41844187.634722218</v>
      </c>
      <c r="D7" s="5">
        <v>91365590.344824553</v>
      </c>
      <c r="E7" s="5">
        <v>83561666.118932739</v>
      </c>
      <c r="F7" s="5">
        <v>88214605.986447364</v>
      </c>
      <c r="G7" s="5">
        <v>98298297.88811405</v>
      </c>
      <c r="H7" s="5">
        <v>108314996.66571635</v>
      </c>
      <c r="I7" s="5">
        <v>104114459.03776319</v>
      </c>
      <c r="J7" s="5">
        <v>103590867.09618419</v>
      </c>
      <c r="K7" s="5">
        <v>99538286.533157885</v>
      </c>
      <c r="L7" s="5">
        <v>228087261.23749989</v>
      </c>
      <c r="M7" s="5">
        <v>230025537.6221053</v>
      </c>
      <c r="N7" s="5">
        <v>230157675.3857128</v>
      </c>
      <c r="O7" s="5">
        <v>142328153.44223875</v>
      </c>
      <c r="P7" s="5">
        <v>141092568.07876864</v>
      </c>
      <c r="Q7" s="5">
        <v>137869608.6077612</v>
      </c>
      <c r="R7" s="5">
        <v>90250034.216380626</v>
      </c>
      <c r="S7" s="5">
        <v>63748764.346370772</v>
      </c>
      <c r="T7" s="5">
        <v>65432153.802983135</v>
      </c>
      <c r="U7" s="5">
        <v>65252370.69258444</v>
      </c>
      <c r="V7" s="5">
        <v>64388026.153094292</v>
      </c>
      <c r="W7" s="5">
        <v>60521191.290634327</v>
      </c>
      <c r="X7" s="5">
        <v>61053431.3312333</v>
      </c>
      <c r="Y7" s="5">
        <v>64873850.197580487</v>
      </c>
      <c r="Z7" s="5">
        <v>65291643.508521192</v>
      </c>
      <c r="AA7" s="5">
        <v>61084402.11719951</v>
      </c>
      <c r="AB7" s="5">
        <v>59641976.165131584</v>
      </c>
      <c r="AC7" s="5">
        <v>57111113.121710524</v>
      </c>
      <c r="AD7" s="5">
        <v>57225193.547499985</v>
      </c>
      <c r="AE7" s="5">
        <v>56990919.119999997</v>
      </c>
      <c r="AF7" s="5">
        <v>56836559.457499996</v>
      </c>
      <c r="AG7" s="5">
        <v>56671594.19749999</v>
      </c>
    </row>
    <row r="8" spans="1:33" hidden="1" x14ac:dyDescent="0.25">
      <c r="A8" s="2" t="s">
        <v>38</v>
      </c>
      <c r="B8" s="3" t="s">
        <v>34</v>
      </c>
      <c r="C8" s="5">
        <v>4022337.3782894737</v>
      </c>
      <c r="D8" s="5">
        <v>9132802.9827631582</v>
      </c>
      <c r="E8" s="5">
        <v>32774906.225131582</v>
      </c>
      <c r="F8" s="5">
        <v>59966729.657499991</v>
      </c>
      <c r="G8" s="5">
        <v>74805231.966973707</v>
      </c>
      <c r="H8" s="5">
        <v>72923949.924605265</v>
      </c>
      <c r="I8" s="5">
        <v>79632872.581184193</v>
      </c>
      <c r="J8" s="5">
        <v>79699129.643684208</v>
      </c>
      <c r="K8" s="5">
        <v>74627085.790000007</v>
      </c>
      <c r="L8" s="5">
        <v>27533932.014999993</v>
      </c>
      <c r="M8" s="5">
        <v>4311581.6374999993</v>
      </c>
      <c r="N8" s="5">
        <v>4075044.55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idden="1" x14ac:dyDescent="0.25">
      <c r="A9" s="2" t="s">
        <v>38</v>
      </c>
      <c r="B9" s="3" t="s">
        <v>35</v>
      </c>
      <c r="C9" s="5">
        <v>23024915.431286544</v>
      </c>
      <c r="D9" s="5">
        <v>21135403.74754386</v>
      </c>
      <c r="E9" s="5">
        <v>20282204.309035093</v>
      </c>
      <c r="F9" s="5">
        <v>18717846.684166666</v>
      </c>
      <c r="G9" s="5">
        <v>19067877.241345026</v>
      </c>
      <c r="H9" s="5">
        <v>39316459.245628655</v>
      </c>
      <c r="I9" s="5">
        <v>38266525.960131571</v>
      </c>
      <c r="J9" s="5">
        <v>39001297.885131575</v>
      </c>
      <c r="K9" s="5">
        <v>38257392.492368422</v>
      </c>
      <c r="L9" s="5">
        <v>35187107.415000007</v>
      </c>
      <c r="M9" s="5">
        <v>49160759.189999998</v>
      </c>
      <c r="N9" s="5">
        <v>47687538.332500003</v>
      </c>
      <c r="O9" s="5">
        <v>42390888.5</v>
      </c>
      <c r="P9" s="5">
        <v>32664572.579999998</v>
      </c>
      <c r="Q9" s="5">
        <v>9459058.5449999981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idden="1" x14ac:dyDescent="0.25">
      <c r="A10" s="2" t="s">
        <v>39</v>
      </c>
      <c r="B10" s="3" t="s">
        <v>34</v>
      </c>
      <c r="C10" s="5">
        <v>1268702.9947368423</v>
      </c>
      <c r="D10" s="5">
        <v>4305415.6622368414</v>
      </c>
      <c r="E10" s="5">
        <v>12713493.528026314</v>
      </c>
      <c r="F10" s="5">
        <v>13209616.475657895</v>
      </c>
      <c r="G10" s="5">
        <v>14428616.395789471</v>
      </c>
      <c r="H10" s="5">
        <v>20795853.8825</v>
      </c>
      <c r="I10" s="5">
        <v>23601783.076315787</v>
      </c>
      <c r="J10" s="5">
        <v>32989731.192368414</v>
      </c>
      <c r="K10" s="5">
        <v>47402128.780000001</v>
      </c>
      <c r="L10" s="5">
        <v>94686289.57631579</v>
      </c>
      <c r="M10" s="5">
        <v>86371467.437894732</v>
      </c>
      <c r="N10" s="5">
        <v>79360204.884473681</v>
      </c>
      <c r="O10" s="5">
        <v>78464864.165000007</v>
      </c>
      <c r="P10" s="5">
        <v>79671723.654473692</v>
      </c>
      <c r="Q10" s="5">
        <v>83288700.816447362</v>
      </c>
      <c r="R10" s="5">
        <v>82852505.231973678</v>
      </c>
      <c r="S10" s="5">
        <v>66992001.262500003</v>
      </c>
      <c r="T10" s="5">
        <v>69306693.805394739</v>
      </c>
      <c r="U10" s="5">
        <v>70472114.759868413</v>
      </c>
      <c r="V10" s="5">
        <v>76836516.196052626</v>
      </c>
      <c r="W10" s="5">
        <v>72833944.247763157</v>
      </c>
      <c r="X10" s="5">
        <v>65525120.75500001</v>
      </c>
      <c r="Y10" s="5">
        <v>67056768.823026322</v>
      </c>
      <c r="Z10" s="5">
        <v>71525747.251973659</v>
      </c>
      <c r="AA10" s="5">
        <v>71197100.628684193</v>
      </c>
      <c r="AB10" s="5">
        <v>72182552.137368426</v>
      </c>
      <c r="AC10" s="5">
        <v>67897098.338815793</v>
      </c>
      <c r="AD10" s="5">
        <v>63701819.331447363</v>
      </c>
      <c r="AE10" s="5">
        <v>65137550.969868414</v>
      </c>
      <c r="AF10" s="5">
        <v>66756002.766578928</v>
      </c>
      <c r="AG10" s="5">
        <v>68258991.188157901</v>
      </c>
    </row>
    <row r="11" spans="1:33" hidden="1" x14ac:dyDescent="0.25">
      <c r="A11" s="2" t="s">
        <v>39</v>
      </c>
      <c r="B11" s="3" t="s">
        <v>35</v>
      </c>
      <c r="C11" s="5">
        <v>4329681.2434210526</v>
      </c>
      <c r="D11" s="5">
        <v>7015866.3471052628</v>
      </c>
      <c r="E11" s="5">
        <v>9028693.1190789472</v>
      </c>
      <c r="F11" s="5">
        <v>10144468.909736842</v>
      </c>
      <c r="G11" s="5">
        <v>19885297.378157891</v>
      </c>
      <c r="H11" s="5">
        <v>23596036.012894735</v>
      </c>
      <c r="I11" s="5">
        <v>25566671.63763158</v>
      </c>
      <c r="J11" s="5">
        <v>28370794.13776315</v>
      </c>
      <c r="K11" s="5">
        <v>20860421.240394734</v>
      </c>
      <c r="L11" s="5">
        <v>27191372.557763159</v>
      </c>
      <c r="M11" s="5">
        <v>37361829.330043852</v>
      </c>
      <c r="N11" s="5">
        <v>50484936.934459068</v>
      </c>
      <c r="O11" s="5">
        <v>64341882.233684212</v>
      </c>
      <c r="P11" s="5">
        <v>71556823.689254373</v>
      </c>
      <c r="Q11" s="5">
        <v>92204377.737865493</v>
      </c>
      <c r="R11" s="5">
        <v>151280823.02263159</v>
      </c>
      <c r="S11" s="5">
        <v>194284328.20496494</v>
      </c>
      <c r="T11" s="5">
        <v>197450855.12873095</v>
      </c>
      <c r="U11" s="5">
        <v>204966817.68840346</v>
      </c>
      <c r="V11" s="5">
        <v>203325139.93729532</v>
      </c>
      <c r="W11" s="5">
        <v>196182649.43225142</v>
      </c>
      <c r="X11" s="5">
        <v>187256892.54894736</v>
      </c>
      <c r="Y11" s="5">
        <v>209126631.50186193</v>
      </c>
      <c r="Z11" s="5">
        <v>209242403.65922093</v>
      </c>
      <c r="AA11" s="5">
        <v>196652183.86894727</v>
      </c>
      <c r="AB11" s="5">
        <v>195946879.4206579</v>
      </c>
      <c r="AC11" s="5">
        <v>195903038.21539471</v>
      </c>
      <c r="AD11" s="5">
        <v>203139582.12539476</v>
      </c>
      <c r="AE11" s="5">
        <v>199242995.59302634</v>
      </c>
      <c r="AF11" s="5">
        <v>200870722.84105265</v>
      </c>
      <c r="AG11" s="5">
        <v>202310628.16776317</v>
      </c>
    </row>
    <row r="12" spans="1:33" hidden="1" x14ac:dyDescent="0.25">
      <c r="A12" s="2" t="s">
        <v>40</v>
      </c>
      <c r="B12" s="3" t="s">
        <v>34</v>
      </c>
      <c r="C12" s="4"/>
      <c r="D12" s="4"/>
      <c r="E12" s="4"/>
      <c r="F12" s="4"/>
      <c r="G12" s="5">
        <v>1556935.0125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5">
        <v>2577182.4</v>
      </c>
      <c r="W12" s="5">
        <v>2545600.65</v>
      </c>
      <c r="X12" s="5">
        <v>3007587.12</v>
      </c>
      <c r="Y12" s="5">
        <v>3039919.5749999997</v>
      </c>
      <c r="Z12" s="5">
        <v>3128143.665</v>
      </c>
      <c r="AA12" s="5">
        <v>3222722.88</v>
      </c>
      <c r="AB12" s="5">
        <v>3317314.0199999996</v>
      </c>
      <c r="AC12" s="5">
        <v>3413368.8600000003</v>
      </c>
      <c r="AD12" s="5">
        <v>3509043.3224999998</v>
      </c>
      <c r="AE12" s="5">
        <v>3602125.6199999992</v>
      </c>
      <c r="AF12" s="5">
        <v>3694964.37</v>
      </c>
      <c r="AG12" s="5">
        <v>3781590.8850000007</v>
      </c>
    </row>
    <row r="13" spans="1:33" hidden="1" x14ac:dyDescent="0.25">
      <c r="A13" s="2" t="s">
        <v>40</v>
      </c>
      <c r="B13" s="3" t="s">
        <v>35</v>
      </c>
      <c r="C13" s="5">
        <v>4569986.5263157897</v>
      </c>
      <c r="D13" s="5">
        <v>2613786.0340789473</v>
      </c>
      <c r="E13" s="5">
        <v>2314794.7413157895</v>
      </c>
      <c r="F13" s="5">
        <v>4993056.5542105269</v>
      </c>
      <c r="G13" s="5">
        <v>5174614.5652631577</v>
      </c>
      <c r="H13" s="5">
        <v>5829500.5882894741</v>
      </c>
      <c r="I13" s="5">
        <v>2388879.1685526315</v>
      </c>
      <c r="J13" s="5">
        <v>2682333.9976315787</v>
      </c>
      <c r="K13" s="5">
        <v>5503855.038947368</v>
      </c>
      <c r="L13" s="5">
        <v>6149962.5543421051</v>
      </c>
      <c r="M13" s="5">
        <v>2755123.0750000002</v>
      </c>
      <c r="N13" s="5">
        <v>3016433.5149999997</v>
      </c>
      <c r="O13" s="5">
        <v>2770511.5999999996</v>
      </c>
      <c r="P13" s="5">
        <v>2616817.8899999997</v>
      </c>
      <c r="Q13" s="4"/>
      <c r="R13" s="4"/>
      <c r="S13" s="4"/>
      <c r="T13" s="4"/>
      <c r="U13" s="4"/>
      <c r="V13" s="4"/>
      <c r="W13" s="4"/>
      <c r="X13" s="5">
        <v>2818989.8105263161</v>
      </c>
      <c r="Y13" s="5">
        <v>2776716.8</v>
      </c>
      <c r="Z13" s="5">
        <v>2726441.210526316</v>
      </c>
      <c r="AA13" s="5">
        <v>2674099.115789474</v>
      </c>
      <c r="AB13" s="5">
        <v>2608856.5789473685</v>
      </c>
      <c r="AC13" s="5">
        <v>2540714.0315789473</v>
      </c>
      <c r="AD13" s="5">
        <v>2482740.1263157893</v>
      </c>
      <c r="AE13" s="5">
        <v>2432923.9578947364</v>
      </c>
      <c r="AF13" s="5">
        <v>2391715.8210526318</v>
      </c>
      <c r="AG13" s="5">
        <v>2364272.5157894739</v>
      </c>
    </row>
    <row r="14" spans="1:33" hidden="1" x14ac:dyDescent="0.25">
      <c r="A14" s="2" t="s">
        <v>41</v>
      </c>
      <c r="B14" s="3" t="s">
        <v>34</v>
      </c>
      <c r="C14" s="5">
        <v>4331476.0763157904</v>
      </c>
      <c r="D14" s="5">
        <v>6232568.6062426902</v>
      </c>
      <c r="E14" s="5">
        <v>7573656.8875877187</v>
      </c>
      <c r="F14" s="5">
        <v>8589234.4676345028</v>
      </c>
      <c r="G14" s="5">
        <v>8337475.947026317</v>
      </c>
      <c r="H14" s="5">
        <v>5921398.0734999999</v>
      </c>
      <c r="I14" s="5">
        <v>7214281.6486315792</v>
      </c>
      <c r="J14" s="5">
        <v>7538299.5478684204</v>
      </c>
      <c r="K14" s="5">
        <v>26377575.185964912</v>
      </c>
      <c r="L14" s="5">
        <v>9809642.4482894745</v>
      </c>
      <c r="M14" s="5">
        <v>3487804.8003947367</v>
      </c>
      <c r="N14" s="5">
        <v>1299037.6022368423</v>
      </c>
      <c r="O14" s="5">
        <v>1181339.0163157894</v>
      </c>
      <c r="P14" s="5">
        <v>1318899.3436842107</v>
      </c>
      <c r="Q14" s="5">
        <v>2110042.0667105261</v>
      </c>
      <c r="R14" s="5">
        <v>2295045.3749736845</v>
      </c>
      <c r="S14" s="5">
        <v>2030761.8046052633</v>
      </c>
      <c r="T14" s="5">
        <v>2451159.5151578942</v>
      </c>
      <c r="U14" s="5">
        <v>2498551.1242105262</v>
      </c>
      <c r="V14" s="5">
        <v>3063972.9986842102</v>
      </c>
      <c r="W14" s="5">
        <v>2971735.8396052634</v>
      </c>
      <c r="X14" s="5">
        <v>2464479.4480263158</v>
      </c>
      <c r="Y14" s="5">
        <v>3343214.0053947368</v>
      </c>
      <c r="Z14" s="5">
        <v>7632520.7832894735</v>
      </c>
      <c r="AA14" s="5">
        <v>8361209.6399473678</v>
      </c>
      <c r="AB14" s="5">
        <v>8058386.7235526312</v>
      </c>
      <c r="AC14" s="5">
        <v>8258917.0631578956</v>
      </c>
      <c r="AD14" s="5">
        <v>8449841.8723684214</v>
      </c>
      <c r="AE14" s="5">
        <v>8610263.4413157888</v>
      </c>
      <c r="AF14" s="5">
        <v>8770774.6185526308</v>
      </c>
      <c r="AG14" s="5">
        <v>8918362.7869736832</v>
      </c>
    </row>
    <row r="15" spans="1:33" hidden="1" x14ac:dyDescent="0.25">
      <c r="A15" s="2" t="s">
        <v>41</v>
      </c>
      <c r="B15" s="3" t="s">
        <v>35</v>
      </c>
      <c r="C15" s="5">
        <v>16557281.441228069</v>
      </c>
      <c r="D15" s="5">
        <v>17213519.673143275</v>
      </c>
      <c r="E15" s="5">
        <v>60179505.783511803</v>
      </c>
      <c r="F15" s="5">
        <v>66234092.409022689</v>
      </c>
      <c r="G15" s="5">
        <v>73818949.300328076</v>
      </c>
      <c r="H15" s="5">
        <v>79797021.461419538</v>
      </c>
      <c r="I15" s="5">
        <v>76678121.258695811</v>
      </c>
      <c r="J15" s="5">
        <v>78350244.474165455</v>
      </c>
      <c r="K15" s="5">
        <v>76448046.948922664</v>
      </c>
      <c r="L15" s="5">
        <v>105304291.25249144</v>
      </c>
      <c r="M15" s="5">
        <v>107384995.50697598</v>
      </c>
      <c r="N15" s="5">
        <v>155951533.28377989</v>
      </c>
      <c r="O15" s="5">
        <v>122428129.00266632</v>
      </c>
      <c r="P15" s="5">
        <v>121801322.39131282</v>
      </c>
      <c r="Q15" s="5">
        <v>117593135.36944737</v>
      </c>
      <c r="R15" s="5">
        <v>70158224.174152017</v>
      </c>
      <c r="S15" s="5">
        <v>47608205.353649117</v>
      </c>
      <c r="T15" s="5">
        <v>49612877.973377198</v>
      </c>
      <c r="U15" s="5">
        <v>54400358.62172807</v>
      </c>
      <c r="V15" s="5">
        <v>56833893.108997077</v>
      </c>
      <c r="W15" s="5">
        <v>57301980.815447375</v>
      </c>
      <c r="X15" s="5">
        <v>57038072.696059935</v>
      </c>
      <c r="Y15" s="5">
        <v>63481542.293552622</v>
      </c>
      <c r="Z15" s="5">
        <v>63317108.046356723</v>
      </c>
      <c r="AA15" s="5">
        <v>58484917.884078942</v>
      </c>
      <c r="AB15" s="5">
        <v>57987735.830263153</v>
      </c>
      <c r="AC15" s="5">
        <v>56088060.509078935</v>
      </c>
      <c r="AD15" s="5">
        <v>56731241.55223684</v>
      </c>
      <c r="AE15" s="5">
        <v>55209696.521052629</v>
      </c>
      <c r="AF15" s="5">
        <v>55817446.861315772</v>
      </c>
      <c r="AG15" s="5">
        <v>56037443.403815791</v>
      </c>
    </row>
    <row r="16" spans="1:33" hidden="1" x14ac:dyDescent="0.25">
      <c r="A16" s="2" t="s">
        <v>42</v>
      </c>
      <c r="B16" s="3" t="s">
        <v>34</v>
      </c>
      <c r="C16" s="4"/>
      <c r="D16" s="5">
        <v>396598.77894736838</v>
      </c>
      <c r="E16" s="5">
        <v>370781.45263157896</v>
      </c>
      <c r="F16" s="5">
        <v>377404.37026315794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idden="1" x14ac:dyDescent="0.25">
      <c r="A17" s="2" t="s">
        <v>42</v>
      </c>
      <c r="B17" s="3" t="s">
        <v>35</v>
      </c>
      <c r="C17" s="5">
        <v>804259.78947368416</v>
      </c>
      <c r="D17" s="5">
        <v>417810.78842105262</v>
      </c>
      <c r="E17" s="5">
        <v>420500.27526315796</v>
      </c>
      <c r="F17" s="5">
        <v>368275.49578947376</v>
      </c>
      <c r="G17" s="5">
        <v>797608.27776315797</v>
      </c>
      <c r="H17" s="5">
        <v>793505.3601315791</v>
      </c>
      <c r="I17" s="5">
        <v>807322.46184210526</v>
      </c>
      <c r="J17" s="5">
        <v>15497985.037631581</v>
      </c>
      <c r="K17" s="5">
        <v>23015253.727710523</v>
      </c>
      <c r="L17" s="5">
        <v>29554012.882236842</v>
      </c>
      <c r="M17" s="5">
        <v>28143333.279144734</v>
      </c>
      <c r="N17" s="5">
        <v>27963363.659868423</v>
      </c>
      <c r="O17" s="5">
        <v>287270.77894736844</v>
      </c>
      <c r="P17" s="5">
        <v>295912.22842105263</v>
      </c>
      <c r="Q17" s="5">
        <v>313516.50986842107</v>
      </c>
      <c r="R17" s="5">
        <v>300997.51578947366</v>
      </c>
      <c r="S17" s="5">
        <v>430151.70526315796</v>
      </c>
      <c r="T17" s="5">
        <v>1240330.3978947368</v>
      </c>
      <c r="U17" s="5">
        <v>1797781.6965789474</v>
      </c>
      <c r="V17" s="5">
        <v>1041960.3836842106</v>
      </c>
      <c r="W17" s="5">
        <v>903155.61315789458</v>
      </c>
      <c r="X17" s="5">
        <v>927637.83394736843</v>
      </c>
      <c r="Y17" s="5">
        <v>777066.97697368416</v>
      </c>
      <c r="Z17" s="5">
        <v>630153.08855263167</v>
      </c>
      <c r="AA17" s="5">
        <v>3543.6963157894734</v>
      </c>
      <c r="AB17" s="5">
        <v>3783.6457894736841</v>
      </c>
      <c r="AC17" s="5">
        <v>4031.9913157894744</v>
      </c>
      <c r="AD17" s="4"/>
      <c r="AE17" s="4"/>
      <c r="AF17" s="4"/>
      <c r="AG17" s="4"/>
    </row>
    <row r="18" spans="1:33" hidden="1" x14ac:dyDescent="0.25">
      <c r="A18" s="2" t="s">
        <v>43</v>
      </c>
      <c r="B18" s="3" t="s">
        <v>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>
        <v>139870.96016120209</v>
      </c>
      <c r="R18" s="5">
        <v>377461.87214871135</v>
      </c>
      <c r="S18" s="5">
        <v>634814.46449504711</v>
      </c>
      <c r="T18" s="5">
        <v>1033940.0555859049</v>
      </c>
      <c r="U18" s="5">
        <v>5003730.1057063155</v>
      </c>
      <c r="V18" s="5">
        <v>5393319.6600022521</v>
      </c>
      <c r="W18" s="5">
        <v>5003570.7643318735</v>
      </c>
      <c r="X18" s="5">
        <v>8445039.9039260466</v>
      </c>
      <c r="Y18" s="5">
        <v>8068490.5486219293</v>
      </c>
      <c r="Z18" s="5">
        <v>8697353.9788537379</v>
      </c>
      <c r="AA18" s="5">
        <v>8639301.968057204</v>
      </c>
      <c r="AB18" s="5">
        <v>8865939.5842496864</v>
      </c>
      <c r="AC18" s="5">
        <v>13281006.095277458</v>
      </c>
      <c r="AD18" s="5">
        <v>15657630.555437675</v>
      </c>
      <c r="AE18" s="5">
        <v>14215990.148257401</v>
      </c>
      <c r="AF18" s="5">
        <v>7927817.931441986</v>
      </c>
      <c r="AG18" s="5">
        <v>9024207.2250826061</v>
      </c>
    </row>
    <row r="19" spans="1:33" hidden="1" x14ac:dyDescent="0.25">
      <c r="A19" s="2" t="s">
        <v>43</v>
      </c>
      <c r="B19" s="3" t="s">
        <v>35</v>
      </c>
      <c r="C19" s="4"/>
      <c r="D19" s="4"/>
      <c r="E19" s="4"/>
      <c r="F19" s="4"/>
      <c r="G19" s="4"/>
      <c r="H19" s="4"/>
      <c r="I19" s="4"/>
      <c r="J19" s="4"/>
      <c r="K19" s="5">
        <v>9436.6315789473701</v>
      </c>
      <c r="L19" s="5">
        <v>15032.895438596493</v>
      </c>
      <c r="M19" s="5">
        <v>7007.8355259009822</v>
      </c>
      <c r="N19" s="5">
        <v>15317.590603642133</v>
      </c>
      <c r="O19" s="5">
        <v>60837.389938961685</v>
      </c>
      <c r="P19" s="5">
        <v>181340.93608095459</v>
      </c>
      <c r="Q19" s="5">
        <v>210053.61214095791</v>
      </c>
      <c r="R19" s="5">
        <v>137191.64856855388</v>
      </c>
      <c r="S19" s="5">
        <v>910842.80655662459</v>
      </c>
      <c r="T19" s="5">
        <v>1453860.7833781394</v>
      </c>
      <c r="U19" s="5">
        <v>1955986.5923506632</v>
      </c>
      <c r="V19" s="5">
        <v>4882640.8411827162</v>
      </c>
      <c r="W19" s="5">
        <v>7008411.0878719818</v>
      </c>
      <c r="X19" s="5">
        <v>10543169.817411173</v>
      </c>
      <c r="Y19" s="5">
        <v>10711344.3137183</v>
      </c>
      <c r="Z19" s="5">
        <v>18762622.634339523</v>
      </c>
      <c r="AA19" s="5">
        <v>64210185.424088508</v>
      </c>
      <c r="AB19" s="5">
        <v>83804665.617757857</v>
      </c>
      <c r="AC19" s="5">
        <v>51422767.638681434</v>
      </c>
      <c r="AD19" s="5">
        <v>26579344.119758602</v>
      </c>
      <c r="AE19" s="5">
        <v>28152444.048961874</v>
      </c>
      <c r="AF19" s="5">
        <v>25802648.935285345</v>
      </c>
      <c r="AG19" s="5">
        <v>26014337.772836529</v>
      </c>
    </row>
    <row r="20" spans="1:33" hidden="1" x14ac:dyDescent="0.25">
      <c r="A20" s="2" t="s">
        <v>44</v>
      </c>
      <c r="B20" s="3" t="s">
        <v>34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5">
        <v>182557.13333333333</v>
      </c>
      <c r="R20" s="5">
        <v>5620505.9978278894</v>
      </c>
      <c r="S20" s="5">
        <v>11783969.180088207</v>
      </c>
      <c r="T20" s="5">
        <v>13589576.469758771</v>
      </c>
      <c r="U20" s="5">
        <v>17163411.37971082</v>
      </c>
      <c r="V20" s="5">
        <v>30497092.228841811</v>
      </c>
      <c r="W20" s="5">
        <v>28965671.401765205</v>
      </c>
      <c r="X20" s="5">
        <v>21892027.229093567</v>
      </c>
      <c r="Y20" s="5">
        <v>35370385.876893371</v>
      </c>
      <c r="Z20" s="5">
        <v>43383048.320546925</v>
      </c>
      <c r="AA20" s="5">
        <v>44168092.629186407</v>
      </c>
      <c r="AB20" s="5">
        <v>44456827.613713443</v>
      </c>
      <c r="AC20" s="5">
        <v>42173052.10508772</v>
      </c>
      <c r="AD20" s="5">
        <v>39813928.575233921</v>
      </c>
      <c r="AE20" s="5">
        <v>40842161.270321637</v>
      </c>
      <c r="AF20" s="5">
        <v>41967858.645906433</v>
      </c>
      <c r="AG20" s="5">
        <v>42986086.185204685</v>
      </c>
    </row>
    <row r="21" spans="1:33" hidden="1" x14ac:dyDescent="0.25">
      <c r="A21" s="2" t="s">
        <v>44</v>
      </c>
      <c r="B21" s="3" t="s">
        <v>35</v>
      </c>
      <c r="C21" s="4"/>
      <c r="D21" s="4"/>
      <c r="E21" s="4"/>
      <c r="F21" s="4"/>
      <c r="G21" s="4"/>
      <c r="H21" s="4"/>
      <c r="I21" s="5">
        <v>538568.79999999993</v>
      </c>
      <c r="J21" s="5">
        <v>572237.67999999993</v>
      </c>
      <c r="K21" s="5">
        <v>1564054.0750000002</v>
      </c>
      <c r="L21" s="5">
        <v>1802422.5724999998</v>
      </c>
      <c r="M21" s="5">
        <v>1596326.35</v>
      </c>
      <c r="N21" s="5">
        <v>1432203.1749999998</v>
      </c>
      <c r="O21" s="5">
        <v>1193206.3599999999</v>
      </c>
      <c r="P21" s="5">
        <v>1051750.0339473682</v>
      </c>
      <c r="Q21" s="5">
        <v>655606.60476973676</v>
      </c>
      <c r="R21" s="5">
        <v>8514221.2337691579</v>
      </c>
      <c r="S21" s="5">
        <v>33776311.026784837</v>
      </c>
      <c r="T21" s="5">
        <v>38078979.373506568</v>
      </c>
      <c r="U21" s="5">
        <v>47893109.394889772</v>
      </c>
      <c r="V21" s="5">
        <v>51577086.674560592</v>
      </c>
      <c r="W21" s="5">
        <v>50891906.879412338</v>
      </c>
      <c r="X21" s="5">
        <v>61887019.618393153</v>
      </c>
      <c r="Y21" s="5">
        <v>76540581.274003521</v>
      </c>
      <c r="Z21" s="5">
        <v>87435209.820910603</v>
      </c>
      <c r="AA21" s="5">
        <v>86151311.958397955</v>
      </c>
      <c r="AB21" s="5">
        <v>85634774.521221012</v>
      </c>
      <c r="AC21" s="5">
        <v>86020716.870259404</v>
      </c>
      <c r="AD21" s="5">
        <v>90723780.496778741</v>
      </c>
      <c r="AE21" s="5">
        <v>87674087.28501597</v>
      </c>
      <c r="AF21" s="5">
        <v>88839418.959161595</v>
      </c>
      <c r="AG21" s="5">
        <v>89969889.638869569</v>
      </c>
    </row>
    <row r="22" spans="1:33" hidden="1" x14ac:dyDescent="0.25">
      <c r="A22" s="2" t="s">
        <v>45</v>
      </c>
      <c r="B22" s="3" t="s">
        <v>34</v>
      </c>
      <c r="C22" s="5">
        <v>63561707.965789467</v>
      </c>
      <c r="D22" s="5">
        <v>65863053.273893073</v>
      </c>
      <c r="E22" s="5">
        <v>66234989.922550134</v>
      </c>
      <c r="F22" s="5">
        <v>70545807.873809546</v>
      </c>
      <c r="G22" s="5">
        <v>74569462.843809545</v>
      </c>
      <c r="H22" s="5">
        <v>72218159.419714302</v>
      </c>
      <c r="I22" s="5">
        <v>75752536.050555557</v>
      </c>
      <c r="J22" s="5">
        <v>75573263.437190473</v>
      </c>
      <c r="K22" s="5">
        <v>99140522.213690475</v>
      </c>
      <c r="L22" s="5">
        <v>58385336.67638889</v>
      </c>
      <c r="M22" s="5">
        <v>46905841.042500004</v>
      </c>
      <c r="N22" s="5">
        <v>37625576.465833336</v>
      </c>
      <c r="O22" s="5">
        <v>38086070.625833333</v>
      </c>
      <c r="P22" s="5">
        <v>38514086.284999996</v>
      </c>
      <c r="Q22" s="5">
        <v>34224620.659388885</v>
      </c>
      <c r="R22" s="5">
        <v>59441116.366972223</v>
      </c>
      <c r="S22" s="5">
        <v>76295809.639027774</v>
      </c>
      <c r="T22" s="5">
        <v>51515829.43805556</v>
      </c>
      <c r="U22" s="5">
        <v>36648358.946309522</v>
      </c>
      <c r="V22" s="5">
        <v>50476128.047555558</v>
      </c>
      <c r="W22" s="5">
        <v>43812590.749904767</v>
      </c>
      <c r="X22" s="5">
        <v>29085303.184087306</v>
      </c>
      <c r="Y22" s="5">
        <v>55790516.942974597</v>
      </c>
      <c r="Z22" s="5">
        <v>71801071.94883801</v>
      </c>
      <c r="AA22" s="5">
        <v>32068650.697210319</v>
      </c>
      <c r="AB22" s="5">
        <v>48376248.114642859</v>
      </c>
      <c r="AC22" s="5">
        <v>11006234.911444446</v>
      </c>
      <c r="AD22" s="5">
        <v>5751303.3239285704</v>
      </c>
      <c r="AE22" s="5">
        <v>829582.93499999994</v>
      </c>
      <c r="AF22" s="5">
        <v>854456.60285714292</v>
      </c>
      <c r="AG22" s="5">
        <v>882693.01642857143</v>
      </c>
    </row>
    <row r="23" spans="1:33" hidden="1" x14ac:dyDescent="0.25">
      <c r="A23" s="2" t="s">
        <v>45</v>
      </c>
      <c r="B23" s="3" t="s">
        <v>35</v>
      </c>
      <c r="C23" s="5">
        <v>15018551.081432749</v>
      </c>
      <c r="D23" s="5">
        <v>15818268.085837509</v>
      </c>
      <c r="E23" s="5">
        <v>13031762.687301587</v>
      </c>
      <c r="F23" s="5">
        <v>16078056.871171679</v>
      </c>
      <c r="G23" s="5">
        <v>11582615.925975878</v>
      </c>
      <c r="H23" s="5">
        <v>17930763.596502192</v>
      </c>
      <c r="I23" s="5">
        <v>15664408.557</v>
      </c>
      <c r="J23" s="5">
        <v>19852278.953000002</v>
      </c>
      <c r="K23" s="5">
        <v>21254444.125666667</v>
      </c>
      <c r="L23" s="5">
        <v>51794488.757761911</v>
      </c>
      <c r="M23" s="5">
        <v>77873446.426769823</v>
      </c>
      <c r="N23" s="5">
        <v>108785929.12947619</v>
      </c>
      <c r="O23" s="5">
        <v>87849289.707380965</v>
      </c>
      <c r="P23" s="5">
        <v>108896399.27525696</v>
      </c>
      <c r="Q23" s="5">
        <v>91757360.208877981</v>
      </c>
      <c r="R23" s="5">
        <v>153585859.93655854</v>
      </c>
      <c r="S23" s="5">
        <v>120839231.11287402</v>
      </c>
      <c r="T23" s="5">
        <v>142537503.40782541</v>
      </c>
      <c r="U23" s="5">
        <v>115561116.06258729</v>
      </c>
      <c r="V23" s="5">
        <v>70545562.309468254</v>
      </c>
      <c r="W23" s="5">
        <v>34562150.773580551</v>
      </c>
      <c r="X23" s="5">
        <v>33680395.710144445</v>
      </c>
      <c r="Y23" s="5">
        <v>48814949.765555553</v>
      </c>
      <c r="Z23" s="5">
        <v>18409145.217500001</v>
      </c>
      <c r="AA23" s="5">
        <v>37130706.397341274</v>
      </c>
      <c r="AB23" s="5">
        <v>37845517.91190476</v>
      </c>
      <c r="AC23" s="5">
        <v>9937258.7055952381</v>
      </c>
      <c r="AD23" s="5">
        <v>6686267.018571429</v>
      </c>
      <c r="AE23" s="5">
        <v>70126.46666666666</v>
      </c>
      <c r="AF23" s="5">
        <v>69021.516666666677</v>
      </c>
      <c r="AG23" s="5">
        <v>68866.200000000012</v>
      </c>
    </row>
    <row r="24" spans="1:33" hidden="1" x14ac:dyDescent="0.25">
      <c r="A24" s="2" t="s">
        <v>46</v>
      </c>
      <c r="B24" s="3" t="s">
        <v>34</v>
      </c>
      <c r="C24" s="5">
        <v>494428.57894736843</v>
      </c>
      <c r="D24" s="5">
        <v>1252693.3602485377</v>
      </c>
      <c r="E24" s="5">
        <v>1431844.1679532165</v>
      </c>
      <c r="F24" s="5">
        <v>1643920.5639920635</v>
      </c>
      <c r="G24" s="5">
        <v>735200.85337928147</v>
      </c>
      <c r="H24" s="5">
        <v>473640.31171261484</v>
      </c>
      <c r="I24" s="5">
        <v>1876588.8400626564</v>
      </c>
      <c r="J24" s="5">
        <v>1433166.0954761903</v>
      </c>
      <c r="K24" s="5">
        <v>1334602.8671428575</v>
      </c>
      <c r="L24" s="5">
        <v>1208205.2014285715</v>
      </c>
      <c r="M24" s="5">
        <v>1747397.4123809524</v>
      </c>
      <c r="N24" s="5">
        <v>201954.98321428575</v>
      </c>
      <c r="O24" s="5">
        <v>214970.91250000003</v>
      </c>
      <c r="P24" s="5">
        <v>224150.07285714286</v>
      </c>
      <c r="Q24" s="5">
        <v>219907.20000000001</v>
      </c>
      <c r="R24" s="4"/>
      <c r="S24" s="4"/>
      <c r="T24" s="4"/>
      <c r="U24" s="4"/>
      <c r="V24" s="5">
        <v>702827.93333333335</v>
      </c>
      <c r="W24" s="5">
        <v>1095366.395</v>
      </c>
      <c r="X24" s="5">
        <v>1621323.575</v>
      </c>
      <c r="Y24" s="5">
        <v>837918.02</v>
      </c>
      <c r="Z24" s="5">
        <v>938540.61333333328</v>
      </c>
      <c r="AA24" s="5">
        <v>1767344.7616666667</v>
      </c>
      <c r="AB24" s="5">
        <v>1722886.3421428574</v>
      </c>
      <c r="AC24" s="5">
        <v>1846729.1200000003</v>
      </c>
      <c r="AD24" s="5">
        <v>1948070.2285714287</v>
      </c>
      <c r="AE24" s="5">
        <v>2019683.895714286</v>
      </c>
      <c r="AF24" s="5">
        <v>2086697.63</v>
      </c>
      <c r="AG24" s="5">
        <v>2148068.0935714287</v>
      </c>
    </row>
    <row r="25" spans="1:33" hidden="1" x14ac:dyDescent="0.25">
      <c r="A25" s="2" t="s">
        <v>46</v>
      </c>
      <c r="B25" s="3" t="s">
        <v>35</v>
      </c>
      <c r="C25" s="5">
        <v>14401118.086265666</v>
      </c>
      <c r="D25" s="5">
        <v>14664243.399583962</v>
      </c>
      <c r="E25" s="5">
        <v>15008458.144576021</v>
      </c>
      <c r="F25" s="5">
        <v>15407873.74051128</v>
      </c>
      <c r="G25" s="5">
        <v>25017920.620110694</v>
      </c>
      <c r="H25" s="5">
        <v>26042844.888605267</v>
      </c>
      <c r="I25" s="5">
        <v>26177247.480910607</v>
      </c>
      <c r="J25" s="5">
        <v>26530701.20079574</v>
      </c>
      <c r="K25" s="5">
        <v>38119785.888636179</v>
      </c>
      <c r="L25" s="5">
        <v>40004903.790446945</v>
      </c>
      <c r="M25" s="5">
        <v>41179347.878682122</v>
      </c>
      <c r="N25" s="5">
        <v>42683231.73034253</v>
      </c>
      <c r="O25" s="5">
        <v>21933811.582967836</v>
      </c>
      <c r="P25" s="5">
        <v>21881492.075229742</v>
      </c>
      <c r="Q25" s="5">
        <v>19617869.742030077</v>
      </c>
      <c r="R25" s="5">
        <v>26434484.64704261</v>
      </c>
      <c r="S25" s="5">
        <v>20737738.80000627</v>
      </c>
      <c r="T25" s="5">
        <v>20303125.537451964</v>
      </c>
      <c r="U25" s="5">
        <v>23934204.520910822</v>
      </c>
      <c r="V25" s="5">
        <v>21090144.40933438</v>
      </c>
      <c r="W25" s="5">
        <v>17599593.231677111</v>
      </c>
      <c r="X25" s="5">
        <v>24430832.401207186</v>
      </c>
      <c r="Y25" s="5">
        <v>25788480.659317039</v>
      </c>
      <c r="Z25" s="5">
        <v>24846884.387188803</v>
      </c>
      <c r="AA25" s="5">
        <v>23500755.779774435</v>
      </c>
      <c r="AB25" s="5">
        <v>21813354.759983294</v>
      </c>
      <c r="AC25" s="5">
        <v>14358686.862412281</v>
      </c>
      <c r="AD25" s="5">
        <v>16702359.393130742</v>
      </c>
      <c r="AE25" s="5">
        <v>6889945.557349625</v>
      </c>
      <c r="AF25" s="5">
        <v>8631762.238076441</v>
      </c>
      <c r="AG25" s="5">
        <v>10829590.64130117</v>
      </c>
    </row>
    <row r="26" spans="1:33" hidden="1" x14ac:dyDescent="0.25">
      <c r="A26" s="2" t="s">
        <v>47</v>
      </c>
      <c r="B26" s="3" t="s">
        <v>34</v>
      </c>
      <c r="C26" s="5">
        <v>14865737.263157895</v>
      </c>
      <c r="D26" s="5">
        <v>190382.67333333334</v>
      </c>
      <c r="E26" s="5">
        <v>186142.83333333334</v>
      </c>
      <c r="F26" s="5">
        <v>176643.36666666667</v>
      </c>
      <c r="G26" s="5">
        <v>170095.33333333334</v>
      </c>
      <c r="H26" s="5">
        <v>166748.63333333333</v>
      </c>
      <c r="I26" s="5">
        <v>182480.23333333334</v>
      </c>
      <c r="J26" s="5">
        <v>178017.31666666668</v>
      </c>
      <c r="K26" s="5">
        <v>422733.04416666669</v>
      </c>
      <c r="L26" s="5">
        <v>1017321.6258333335</v>
      </c>
      <c r="M26" s="5">
        <v>1071927.8691666666</v>
      </c>
      <c r="N26" s="5">
        <v>1119766.6708333334</v>
      </c>
      <c r="O26" s="5">
        <v>3944766.9444444445</v>
      </c>
      <c r="P26" s="5">
        <v>2160744.0058333334</v>
      </c>
      <c r="Q26" s="5">
        <v>20609939.984761905</v>
      </c>
      <c r="R26" s="5">
        <v>44346457.203214288</v>
      </c>
      <c r="S26" s="5">
        <v>17555528.535444446</v>
      </c>
      <c r="T26" s="5">
        <v>32760230.816722218</v>
      </c>
      <c r="U26" s="5">
        <v>38573931.334744446</v>
      </c>
      <c r="V26" s="5">
        <v>88974681.875500023</v>
      </c>
      <c r="W26" s="5">
        <v>27081268.034308337</v>
      </c>
      <c r="X26" s="5">
        <v>18124656.738511905</v>
      </c>
      <c r="Y26" s="5">
        <v>31843809.177579366</v>
      </c>
      <c r="Z26" s="5">
        <v>55432028.327596821</v>
      </c>
      <c r="AA26" s="5">
        <v>49867199.898809515</v>
      </c>
      <c r="AB26" s="5">
        <v>78223393.690912694</v>
      </c>
      <c r="AC26" s="5">
        <v>154337077.71615079</v>
      </c>
      <c r="AD26" s="5">
        <v>69304118.40452382</v>
      </c>
      <c r="AE26" s="5">
        <v>122627458.43647291</v>
      </c>
      <c r="AF26" s="5">
        <v>77770557.687738091</v>
      </c>
      <c r="AG26" s="5">
        <v>84871745.658650786</v>
      </c>
    </row>
    <row r="27" spans="1:33" hidden="1" x14ac:dyDescent="0.25">
      <c r="A27" s="2" t="s">
        <v>47</v>
      </c>
      <c r="B27" s="3" t="s">
        <v>35</v>
      </c>
      <c r="C27" s="5">
        <v>1842811.916520468</v>
      </c>
      <c r="D27" s="5">
        <v>16518501.677061403</v>
      </c>
      <c r="E27" s="5">
        <v>16435096.208026314</v>
      </c>
      <c r="F27" s="5">
        <v>16735655.33666667</v>
      </c>
      <c r="G27" s="5">
        <v>17820697.453140352</v>
      </c>
      <c r="H27" s="5">
        <v>32057846.424276318</v>
      </c>
      <c r="I27" s="5">
        <v>35827815.427353799</v>
      </c>
      <c r="J27" s="5">
        <v>35460461.573114038</v>
      </c>
      <c r="K27" s="5">
        <v>20670530.403859649</v>
      </c>
      <c r="L27" s="5">
        <v>21335802.970175438</v>
      </c>
      <c r="M27" s="5">
        <v>21312763.47732456</v>
      </c>
      <c r="N27" s="5">
        <v>19963823.756798249</v>
      </c>
      <c r="O27" s="5">
        <v>303293.88</v>
      </c>
      <c r="P27" s="5">
        <v>12923805.266222222</v>
      </c>
      <c r="Q27" s="5">
        <v>3492314.0461777784</v>
      </c>
      <c r="R27" s="5">
        <v>57521926.891944438</v>
      </c>
      <c r="S27" s="5">
        <v>71950368.707373023</v>
      </c>
      <c r="T27" s="5">
        <v>133579889.72378336</v>
      </c>
      <c r="U27" s="5">
        <v>371596018.87068176</v>
      </c>
      <c r="V27" s="5">
        <v>243450751.18795025</v>
      </c>
      <c r="W27" s="5">
        <v>167209778.84201789</v>
      </c>
      <c r="X27" s="5">
        <v>313154492.68044448</v>
      </c>
      <c r="Y27" s="5">
        <v>195541212.85638094</v>
      </c>
      <c r="Z27" s="5">
        <v>223403962.35367066</v>
      </c>
      <c r="AA27" s="5">
        <v>201758499.37661797</v>
      </c>
      <c r="AB27" s="5">
        <v>189587674.67596036</v>
      </c>
      <c r="AC27" s="5">
        <v>216000202.03325397</v>
      </c>
      <c r="AD27" s="5">
        <v>171120050.18796629</v>
      </c>
      <c r="AE27" s="5">
        <v>254154331.65633929</v>
      </c>
      <c r="AF27" s="5">
        <v>201103357.67567462</v>
      </c>
      <c r="AG27" s="5">
        <v>228007209.74936509</v>
      </c>
    </row>
    <row r="28" spans="1:33" hidden="1" x14ac:dyDescent="0.25">
      <c r="A28" s="2" t="s">
        <v>48</v>
      </c>
      <c r="B28" s="3" t="s">
        <v>34</v>
      </c>
      <c r="C28" s="4"/>
      <c r="D28" s="4"/>
      <c r="E28" s="4"/>
      <c r="F28" s="4"/>
      <c r="G28" s="4"/>
      <c r="H28" s="4"/>
      <c r="I28" s="4"/>
      <c r="J28" s="4"/>
      <c r="K28" s="4"/>
      <c r="L28" s="5">
        <v>200203.0950808234</v>
      </c>
      <c r="M28" s="5">
        <v>792873.49670650961</v>
      </c>
      <c r="N28" s="5">
        <v>3573120.5878165271</v>
      </c>
      <c r="O28" s="5">
        <v>13105393.417805973</v>
      </c>
      <c r="P28" s="5">
        <v>23519863.698866673</v>
      </c>
      <c r="Q28" s="5">
        <v>35445643.428079933</v>
      </c>
      <c r="R28" s="5">
        <v>49433123.495195195</v>
      </c>
      <c r="S28" s="5">
        <v>45314501.412439041</v>
      </c>
      <c r="T28" s="5">
        <v>48142460.275345884</v>
      </c>
      <c r="U28" s="5">
        <v>49917920.892117925</v>
      </c>
      <c r="V28" s="5">
        <v>54728261.236803979</v>
      </c>
      <c r="W28" s="5">
        <v>52263909.089283183</v>
      </c>
      <c r="X28" s="5">
        <v>50129918.583569035</v>
      </c>
      <c r="Y28" s="5">
        <v>50973687.396143839</v>
      </c>
      <c r="Z28" s="5">
        <v>57598466.790779702</v>
      </c>
      <c r="AA28" s="5">
        <v>57002192.193283483</v>
      </c>
      <c r="AB28" s="5">
        <v>62929823.448526457</v>
      </c>
      <c r="AC28" s="5">
        <v>57826519.972562447</v>
      </c>
      <c r="AD28" s="5">
        <v>54316312.877862386</v>
      </c>
      <c r="AE28" s="5">
        <v>55351627.42181208</v>
      </c>
      <c r="AF28" s="5">
        <v>56397187.596952245</v>
      </c>
      <c r="AG28" s="5">
        <v>57292565.508875743</v>
      </c>
    </row>
    <row r="29" spans="1:33" hidden="1" x14ac:dyDescent="0.25">
      <c r="A29" s="2" t="s">
        <v>48</v>
      </c>
      <c r="B29" s="3" t="s">
        <v>35</v>
      </c>
      <c r="C29" s="4"/>
      <c r="D29" s="4"/>
      <c r="E29" s="4"/>
      <c r="F29" s="4"/>
      <c r="G29" s="4"/>
      <c r="H29" s="4"/>
      <c r="I29" s="4"/>
      <c r="J29" s="4"/>
      <c r="K29" s="5">
        <v>6300.6315789473692</v>
      </c>
      <c r="L29" s="5">
        <v>1516684.7848421056</v>
      </c>
      <c r="M29" s="5">
        <v>786662.91336018383</v>
      </c>
      <c r="N29" s="5">
        <v>5754403.2241271026</v>
      </c>
      <c r="O29" s="5">
        <v>10042215.637641376</v>
      </c>
      <c r="P29" s="5">
        <v>17650151.755245071</v>
      </c>
      <c r="Q29" s="5">
        <v>30776492.939990833</v>
      </c>
      <c r="R29" s="5">
        <v>40323260.444843978</v>
      </c>
      <c r="S29" s="5">
        <v>62289479.941929534</v>
      </c>
      <c r="T29" s="5">
        <v>79184760.483496264</v>
      </c>
      <c r="U29" s="5">
        <v>86610945.509905919</v>
      </c>
      <c r="V29" s="5">
        <v>90834243.606017828</v>
      </c>
      <c r="W29" s="5">
        <v>89547923.602601141</v>
      </c>
      <c r="X29" s="5">
        <v>110670314.44634902</v>
      </c>
      <c r="Y29" s="5">
        <v>136022409.15430319</v>
      </c>
      <c r="Z29" s="5">
        <v>151566999.10591397</v>
      </c>
      <c r="AA29" s="5">
        <v>148936259.07697201</v>
      </c>
      <c r="AB29" s="5">
        <v>158068844.99062547</v>
      </c>
      <c r="AC29" s="5">
        <v>161280061.74315369</v>
      </c>
      <c r="AD29" s="5">
        <v>167954803.5285427</v>
      </c>
      <c r="AE29" s="5">
        <v>161983944.08305517</v>
      </c>
      <c r="AF29" s="5">
        <v>162367383.17818081</v>
      </c>
      <c r="AG29" s="5">
        <v>162941685.62800577</v>
      </c>
    </row>
    <row r="30" spans="1:33" hidden="1" x14ac:dyDescent="0.25">
      <c r="A30" s="2" t="s">
        <v>49</v>
      </c>
      <c r="B30" s="3" t="s">
        <v>34</v>
      </c>
      <c r="C30" s="4"/>
      <c r="D30" s="4"/>
      <c r="E30" s="4"/>
      <c r="F30" s="4"/>
      <c r="G30" s="4"/>
      <c r="H30" s="4"/>
      <c r="I30" s="5">
        <v>208687.76421052628</v>
      </c>
      <c r="J30" s="4"/>
      <c r="K30" s="4"/>
      <c r="L30" s="4"/>
      <c r="M30" s="4"/>
      <c r="N30" s="4"/>
      <c r="O30" s="5">
        <v>1054459.2449122807</v>
      </c>
      <c r="P30" s="5">
        <v>7440100.4848026335</v>
      </c>
      <c r="Q30" s="5">
        <v>19819133.823480267</v>
      </c>
      <c r="R30" s="5">
        <v>26144223.244089916</v>
      </c>
      <c r="S30" s="5">
        <v>24700700.747144736</v>
      </c>
      <c r="T30" s="5">
        <v>25890434.900640354</v>
      </c>
      <c r="U30" s="5">
        <v>29803932.834008768</v>
      </c>
      <c r="V30" s="5">
        <v>36884669.452509746</v>
      </c>
      <c r="W30" s="5">
        <v>39808136.99512817</v>
      </c>
      <c r="X30" s="5">
        <v>37309763.592844054</v>
      </c>
      <c r="Y30" s="5">
        <v>44236371.335302621</v>
      </c>
      <c r="Z30" s="5">
        <v>46707303.508339182</v>
      </c>
      <c r="AA30" s="5">
        <v>47358196.233747371</v>
      </c>
      <c r="AB30" s="5">
        <v>50033722.484811172</v>
      </c>
      <c r="AC30" s="5">
        <v>49087678.463811293</v>
      </c>
      <c r="AD30" s="5">
        <v>45162149.229637712</v>
      </c>
      <c r="AE30" s="5">
        <v>46076438.957587712</v>
      </c>
      <c r="AF30" s="5">
        <v>47168669.63769006</v>
      </c>
      <c r="AG30" s="5">
        <v>48207996.665438592</v>
      </c>
    </row>
    <row r="31" spans="1:33" hidden="1" x14ac:dyDescent="0.25">
      <c r="A31" s="2" t="s">
        <v>49</v>
      </c>
      <c r="B31" s="3" t="s">
        <v>35</v>
      </c>
      <c r="C31" s="4"/>
      <c r="D31" s="4"/>
      <c r="E31" s="4"/>
      <c r="F31" s="4"/>
      <c r="G31" s="4"/>
      <c r="H31" s="4"/>
      <c r="I31" s="5">
        <v>2821208.1094736848</v>
      </c>
      <c r="J31" s="5">
        <v>7758595.6578421062</v>
      </c>
      <c r="K31" s="5">
        <v>1545856.413622807</v>
      </c>
      <c r="L31" s="5">
        <v>4340799.6761578955</v>
      </c>
      <c r="M31" s="5">
        <v>3509131.2852894738</v>
      </c>
      <c r="N31" s="5">
        <v>5934020.7698421059</v>
      </c>
      <c r="O31" s="5">
        <v>10716829.758684212</v>
      </c>
      <c r="P31" s="5">
        <v>13794965.33352807</v>
      </c>
      <c r="Q31" s="5">
        <v>15321984.813298248</v>
      </c>
      <c r="R31" s="5">
        <v>18353546.231732458</v>
      </c>
      <c r="S31" s="5">
        <v>30641223.020635959</v>
      </c>
      <c r="T31" s="5">
        <v>40774101.967338167</v>
      </c>
      <c r="U31" s="5">
        <v>63288976.413310088</v>
      </c>
      <c r="V31" s="5">
        <v>89640996.887388408</v>
      </c>
      <c r="W31" s="5">
        <v>102453175.48537061</v>
      </c>
      <c r="X31" s="5">
        <v>105169239.77494223</v>
      </c>
      <c r="Y31" s="5">
        <v>122185711.40087438</v>
      </c>
      <c r="Z31" s="5">
        <v>127044091.89218491</v>
      </c>
      <c r="AA31" s="5">
        <v>138970173.6827153</v>
      </c>
      <c r="AB31" s="5">
        <v>147634565.13582504</v>
      </c>
      <c r="AC31" s="5">
        <v>156564648.16921151</v>
      </c>
      <c r="AD31" s="5">
        <v>164390695.20565206</v>
      </c>
      <c r="AE31" s="5">
        <v>161279111.15195906</v>
      </c>
      <c r="AF31" s="5">
        <v>162437618.18100882</v>
      </c>
      <c r="AG31" s="5">
        <v>163594841.15653506</v>
      </c>
    </row>
    <row r="32" spans="1:33" hidden="1" x14ac:dyDescent="0.25">
      <c r="A32" s="2" t="s">
        <v>50</v>
      </c>
      <c r="B32" s="3" t="s">
        <v>34</v>
      </c>
      <c r="C32" s="5">
        <v>12520129.757894736</v>
      </c>
      <c r="D32" s="5">
        <v>18459325.928157888</v>
      </c>
      <c r="E32" s="5">
        <v>17806693.910947368</v>
      </c>
      <c r="F32" s="5">
        <v>18064524.608192984</v>
      </c>
      <c r="G32" s="5">
        <v>13686781.021666665</v>
      </c>
      <c r="H32" s="5">
        <v>5480536.114368421</v>
      </c>
      <c r="I32" s="5">
        <v>5341472.2973684203</v>
      </c>
      <c r="J32" s="5">
        <v>4073879.5861052629</v>
      </c>
      <c r="K32" s="5">
        <v>3935782.4076842107</v>
      </c>
      <c r="L32" s="5">
        <v>3709156.5824912284</v>
      </c>
      <c r="M32" s="5">
        <v>4644192.5259999996</v>
      </c>
      <c r="N32" s="5">
        <v>2730191.0458333325</v>
      </c>
      <c r="O32" s="5">
        <v>2014157.8388157894</v>
      </c>
      <c r="P32" s="5">
        <v>2305720.5190789476</v>
      </c>
      <c r="Q32" s="5">
        <v>2817138.5981578948</v>
      </c>
      <c r="R32" s="5">
        <v>4801488.954254386</v>
      </c>
      <c r="S32" s="5">
        <v>9978900.9733333327</v>
      </c>
      <c r="T32" s="5">
        <v>11568980.523333332</v>
      </c>
      <c r="U32" s="5">
        <v>16792318.550763886</v>
      </c>
      <c r="V32" s="5">
        <v>34386708.704892635</v>
      </c>
      <c r="W32" s="5">
        <v>50231661.143146113</v>
      </c>
      <c r="X32" s="5">
        <v>54546918.763295434</v>
      </c>
      <c r="Y32" s="5">
        <v>54263004.378875196</v>
      </c>
      <c r="Z32" s="5">
        <v>64555188.923306808</v>
      </c>
      <c r="AA32" s="5">
        <v>63941710.160380229</v>
      </c>
      <c r="AB32" s="5">
        <v>64166707.889740564</v>
      </c>
      <c r="AC32" s="5">
        <v>57647264.27909784</v>
      </c>
      <c r="AD32" s="5">
        <v>57101205.359353423</v>
      </c>
      <c r="AE32" s="5">
        <v>58421305.23361285</v>
      </c>
      <c r="AF32" s="5">
        <v>59881164.598512366</v>
      </c>
      <c r="AG32" s="5">
        <v>61286058.379432946</v>
      </c>
    </row>
    <row r="33" spans="1:33" hidden="1" x14ac:dyDescent="0.25">
      <c r="A33" s="2" t="s">
        <v>50</v>
      </c>
      <c r="B33" s="3" t="s">
        <v>35</v>
      </c>
      <c r="C33" s="5">
        <v>38244135.718719997</v>
      </c>
      <c r="D33" s="5">
        <v>32315011.611089401</v>
      </c>
      <c r="E33" s="5">
        <v>32528537.97893079</v>
      </c>
      <c r="F33" s="5">
        <v>34791596.69592759</v>
      </c>
      <c r="G33" s="5">
        <v>56283137.228706896</v>
      </c>
      <c r="H33" s="5">
        <v>62777078.853082307</v>
      </c>
      <c r="I33" s="5">
        <v>49382370.409407631</v>
      </c>
      <c r="J33" s="5">
        <v>49111139.885959856</v>
      </c>
      <c r="K33" s="5">
        <v>34422403.842548907</v>
      </c>
      <c r="L33" s="5">
        <v>32579983.543040413</v>
      </c>
      <c r="M33" s="5">
        <v>27203349.54814145</v>
      </c>
      <c r="N33" s="5">
        <v>27147858.283585522</v>
      </c>
      <c r="O33" s="5">
        <v>25210492.983854171</v>
      </c>
      <c r="P33" s="5">
        <v>26083716.581666663</v>
      </c>
      <c r="Q33" s="5">
        <v>26224814.813666672</v>
      </c>
      <c r="R33" s="5">
        <v>30127176.514333338</v>
      </c>
      <c r="S33" s="5">
        <v>64806004.983572386</v>
      </c>
      <c r="T33" s="5">
        <v>82501135.101401925</v>
      </c>
      <c r="U33" s="5">
        <v>113196417.5693313</v>
      </c>
      <c r="V33" s="5">
        <v>210086348.33406669</v>
      </c>
      <c r="W33" s="5">
        <v>218602366.76764834</v>
      </c>
      <c r="X33" s="5">
        <v>188935589.82744324</v>
      </c>
      <c r="Y33" s="5">
        <v>211420548.0733265</v>
      </c>
      <c r="Z33" s="5">
        <v>202894066.39226276</v>
      </c>
      <c r="AA33" s="5">
        <v>188318801.57164854</v>
      </c>
      <c r="AB33" s="5">
        <v>190618129.89459801</v>
      </c>
      <c r="AC33" s="5">
        <v>195001796.32916331</v>
      </c>
      <c r="AD33" s="5">
        <v>198662362.35402381</v>
      </c>
      <c r="AE33" s="5">
        <v>195098932.63740033</v>
      </c>
      <c r="AF33" s="5">
        <v>197186827.47049281</v>
      </c>
      <c r="AG33" s="5">
        <v>198326735.48209769</v>
      </c>
    </row>
    <row r="34" spans="1:33" hidden="1" x14ac:dyDescent="0.25">
      <c r="A34" s="2" t="s">
        <v>51</v>
      </c>
      <c r="B34" s="3" t="s">
        <v>34</v>
      </c>
      <c r="C34" s="5">
        <v>216689458.7775</v>
      </c>
      <c r="D34" s="5">
        <v>194845796.44749999</v>
      </c>
      <c r="E34" s="5">
        <v>203044568.79074997</v>
      </c>
      <c r="F34" s="5">
        <v>214379488.56749994</v>
      </c>
      <c r="G34" s="5">
        <v>220274136.8125</v>
      </c>
      <c r="H34" s="5">
        <v>212036568.91000003</v>
      </c>
      <c r="I34" s="5">
        <v>213047022.38999993</v>
      </c>
      <c r="J34" s="5">
        <v>211630169.61500001</v>
      </c>
      <c r="K34" s="5">
        <v>220452008.67500001</v>
      </c>
      <c r="L34" s="5">
        <v>149725486.11250004</v>
      </c>
      <c r="M34" s="5">
        <v>110349457.55250001</v>
      </c>
      <c r="N34" s="5">
        <v>99981438.407499984</v>
      </c>
      <c r="O34" s="5">
        <v>95750492.36500001</v>
      </c>
      <c r="P34" s="5">
        <v>98195403.3125</v>
      </c>
      <c r="Q34" s="5">
        <v>103632148.215</v>
      </c>
      <c r="R34" s="5">
        <v>105340945.87999997</v>
      </c>
      <c r="S34" s="5">
        <v>21214862.043749999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idden="1" x14ac:dyDescent="0.25">
      <c r="A35" s="2" t="s">
        <v>51</v>
      </c>
      <c r="B35" s="3" t="s">
        <v>35</v>
      </c>
      <c r="C35" s="5">
        <v>85005336.512499988</v>
      </c>
      <c r="D35" s="5">
        <v>130174873.53894739</v>
      </c>
      <c r="E35" s="5">
        <v>127471613.25434212</v>
      </c>
      <c r="F35" s="5">
        <v>130847869.98828945</v>
      </c>
      <c r="G35" s="5">
        <v>149848822.99039474</v>
      </c>
      <c r="H35" s="5">
        <v>167892624.9361842</v>
      </c>
      <c r="I35" s="5">
        <v>163530495.27000007</v>
      </c>
      <c r="J35" s="5">
        <v>171039790.9907895</v>
      </c>
      <c r="K35" s="5">
        <v>161115897.20526314</v>
      </c>
      <c r="L35" s="5">
        <v>246179069.51078945</v>
      </c>
      <c r="M35" s="5">
        <v>274793137.70815778</v>
      </c>
      <c r="N35" s="5">
        <v>301197687.22973686</v>
      </c>
      <c r="O35" s="5">
        <v>248570794.82500005</v>
      </c>
      <c r="P35" s="5">
        <v>255264350.36499989</v>
      </c>
      <c r="Q35" s="5">
        <v>250715790.6925</v>
      </c>
      <c r="R35" s="5">
        <v>252116001.52749997</v>
      </c>
      <c r="S35" s="5">
        <v>71496216.949999973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idden="1" x14ac:dyDescent="0.25">
      <c r="A36" s="2" t="s">
        <v>52</v>
      </c>
      <c r="B36" s="3" t="s">
        <v>34</v>
      </c>
      <c r="C36" s="5">
        <v>65679323.26131843</v>
      </c>
      <c r="D36" s="5">
        <v>68123874.036636099</v>
      </c>
      <c r="E36" s="5">
        <v>70683568.83126232</v>
      </c>
      <c r="F36" s="5">
        <v>72599025.105898067</v>
      </c>
      <c r="G36" s="5">
        <v>75483536.396383345</v>
      </c>
      <c r="H36" s="5">
        <v>66019819.638431214</v>
      </c>
      <c r="I36" s="5">
        <v>68769179.878287405</v>
      </c>
      <c r="J36" s="5">
        <v>70830372.346227795</v>
      </c>
      <c r="K36" s="5">
        <v>73233979.190372854</v>
      </c>
      <c r="L36" s="5">
        <v>74316021.452995017</v>
      </c>
      <c r="M36" s="5">
        <v>52508674.744933091</v>
      </c>
      <c r="N36" s="5">
        <v>48238565.55103521</v>
      </c>
      <c r="O36" s="5">
        <v>48637177.061298177</v>
      </c>
      <c r="P36" s="5">
        <v>50304856.721785277</v>
      </c>
      <c r="Q36" s="5">
        <v>52977578.687675916</v>
      </c>
      <c r="R36" s="5">
        <v>50448965.448006198</v>
      </c>
      <c r="S36" s="5">
        <v>36387971.029973187</v>
      </c>
      <c r="T36" s="5">
        <v>45284117.158599801</v>
      </c>
      <c r="U36" s="5">
        <v>43999216.326775506</v>
      </c>
      <c r="V36" s="5">
        <v>24480959.014725927</v>
      </c>
      <c r="W36" s="5">
        <v>5818058.4327452024</v>
      </c>
      <c r="X36" s="5">
        <v>3014599.3466666667</v>
      </c>
      <c r="Y36" s="5">
        <v>2707332.0833333335</v>
      </c>
      <c r="Z36" s="5">
        <v>2778167.9</v>
      </c>
      <c r="AA36" s="5">
        <v>2854336.7966666664</v>
      </c>
      <c r="AB36" s="5">
        <v>2892677.8183333329</v>
      </c>
      <c r="AC36" s="5">
        <v>2936861.2</v>
      </c>
      <c r="AD36" s="5">
        <v>2979573.415</v>
      </c>
      <c r="AE36" s="5">
        <v>3019022.6733333329</v>
      </c>
      <c r="AF36" s="5">
        <v>3057248.74</v>
      </c>
      <c r="AG36" s="5">
        <v>3089470.1716666664</v>
      </c>
    </row>
    <row r="37" spans="1:33" hidden="1" x14ac:dyDescent="0.25">
      <c r="A37" s="2" t="s">
        <v>52</v>
      </c>
      <c r="B37" s="3" t="s">
        <v>35</v>
      </c>
      <c r="C37" s="5">
        <v>12480105.439523216</v>
      </c>
      <c r="D37" s="5">
        <v>11631058.184518771</v>
      </c>
      <c r="E37" s="5">
        <v>11888503.09904604</v>
      </c>
      <c r="F37" s="5">
        <v>13148345.994120717</v>
      </c>
      <c r="G37" s="5">
        <v>13339965.403563417</v>
      </c>
      <c r="H37" s="5">
        <v>24961006.002620611</v>
      </c>
      <c r="I37" s="5">
        <v>24665044.871926822</v>
      </c>
      <c r="J37" s="5">
        <v>27274885.302218907</v>
      </c>
      <c r="K37" s="5">
        <v>27844466.573784828</v>
      </c>
      <c r="L37" s="5">
        <v>30266775.583574444</v>
      </c>
      <c r="M37" s="5">
        <v>53267509.772277907</v>
      </c>
      <c r="N37" s="5">
        <v>87134275.329985783</v>
      </c>
      <c r="O37" s="5">
        <v>99945546.488112122</v>
      </c>
      <c r="P37" s="5">
        <v>113977899.47424573</v>
      </c>
      <c r="Q37" s="5">
        <v>120573466.67338027</v>
      </c>
      <c r="R37" s="5">
        <v>127436729.50991334</v>
      </c>
      <c r="S37" s="5">
        <v>113443542.82511091</v>
      </c>
      <c r="T37" s="5">
        <v>140801310.1413191</v>
      </c>
      <c r="U37" s="5">
        <v>120769044.55798544</v>
      </c>
      <c r="V37" s="5">
        <v>18018800.767475124</v>
      </c>
      <c r="W37" s="5">
        <v>4700849.2386567164</v>
      </c>
      <c r="X37" s="5">
        <v>4165431.402985075</v>
      </c>
      <c r="Y37" s="5">
        <v>4103707.7014925373</v>
      </c>
      <c r="Z37" s="5">
        <v>4044909.8507462693</v>
      </c>
      <c r="AA37" s="5">
        <v>3981824.9552238807</v>
      </c>
      <c r="AB37" s="4"/>
      <c r="AC37" s="4"/>
      <c r="AD37" s="4"/>
      <c r="AE37" s="4"/>
      <c r="AF37" s="4"/>
      <c r="AG37" s="4"/>
    </row>
    <row r="38" spans="1:33" hidden="1" x14ac:dyDescent="0.25">
      <c r="A38" s="2" t="s">
        <v>60</v>
      </c>
      <c r="B38" s="3" t="s">
        <v>35</v>
      </c>
      <c r="C38" s="6">
        <v>77147.62</v>
      </c>
      <c r="D38" s="6">
        <v>78898.44</v>
      </c>
      <c r="E38" s="6">
        <v>77949.259999999995</v>
      </c>
      <c r="R38" s="6">
        <v>14724.55</v>
      </c>
      <c r="S38" s="6">
        <v>213958.16</v>
      </c>
      <c r="U38" s="6">
        <v>896285.53</v>
      </c>
      <c r="V38" s="6">
        <v>160009.85</v>
      </c>
      <c r="AA38" s="6">
        <v>278213.57</v>
      </c>
      <c r="AB38" s="6">
        <v>280005.61</v>
      </c>
      <c r="AC38" s="6">
        <v>283015.82</v>
      </c>
      <c r="AD38" s="6">
        <v>286417.42</v>
      </c>
    </row>
    <row r="40" spans="1:33" x14ac:dyDescent="0.25">
      <c r="A40" t="s">
        <v>45</v>
      </c>
      <c r="C40" s="7">
        <f t="shared" ref="C40:Z40" si="0">C23+C22+C24+C25+C26+C27</f>
        <v>110184354.8921136</v>
      </c>
      <c r="D40" s="7">
        <f t="shared" si="0"/>
        <v>114307142.46995783</v>
      </c>
      <c r="E40" s="7">
        <f t="shared" si="0"/>
        <v>112328293.9637406</v>
      </c>
      <c r="F40" s="7">
        <f t="shared" si="0"/>
        <v>120587957.75281791</v>
      </c>
      <c r="G40" s="7">
        <f t="shared" si="0"/>
        <v>129895993.02974907</v>
      </c>
      <c r="H40" s="7">
        <f t="shared" si="0"/>
        <v>148890003.27414402</v>
      </c>
      <c r="I40" s="7">
        <f t="shared" si="0"/>
        <v>155481076.58921593</v>
      </c>
      <c r="J40" s="7">
        <f t="shared" si="0"/>
        <v>159027888.5762431</v>
      </c>
      <c r="K40" s="7">
        <f t="shared" si="0"/>
        <v>180942618.54316247</v>
      </c>
      <c r="L40" s="7">
        <f t="shared" si="0"/>
        <v>173746059.02203509</v>
      </c>
      <c r="M40" s="7">
        <f t="shared" si="0"/>
        <v>190090724.1068241</v>
      </c>
      <c r="N40" s="7">
        <f t="shared" si="0"/>
        <v>210380282.73649791</v>
      </c>
      <c r="O40" s="7">
        <f>O23+O22+O24+O25+O26+O27</f>
        <v>152332203.65312657</v>
      </c>
      <c r="P40" s="7">
        <f t="shared" si="0"/>
        <v>184600676.98039937</v>
      </c>
      <c r="Q40" s="7">
        <f t="shared" si="0"/>
        <v>169922011.84123662</v>
      </c>
      <c r="R40" s="7">
        <f t="shared" si="0"/>
        <v>341329845.04573202</v>
      </c>
      <c r="S40" s="7">
        <f t="shared" si="0"/>
        <v>307378676.79472554</v>
      </c>
      <c r="T40" s="7">
        <f t="shared" si="0"/>
        <v>380696578.9238385</v>
      </c>
      <c r="U40" s="7">
        <f t="shared" si="0"/>
        <v>586313629.7352339</v>
      </c>
      <c r="V40" s="7">
        <f t="shared" si="0"/>
        <v>475240095.76314181</v>
      </c>
      <c r="W40" s="7">
        <f t="shared" si="0"/>
        <v>291360748.02648866</v>
      </c>
      <c r="X40" s="7">
        <f t="shared" si="0"/>
        <v>420097004.28939533</v>
      </c>
      <c r="Y40" s="7">
        <f t="shared" si="0"/>
        <v>358616887.42180753</v>
      </c>
      <c r="Z40" s="7">
        <f t="shared" si="0"/>
        <v>394831632.8481276</v>
      </c>
      <c r="AA40" s="7">
        <f t="shared" ref="AA40:AG40" si="1">AA23+AA22+AA24+AA25+AA26+AA27</f>
        <v>346093156.91142023</v>
      </c>
      <c r="AB40" s="7">
        <f t="shared" si="1"/>
        <v>377569075.49554682</v>
      </c>
      <c r="AC40" s="7">
        <f t="shared" si="1"/>
        <v>407486189.34885669</v>
      </c>
      <c r="AD40" s="7">
        <f t="shared" si="1"/>
        <v>271512168.55669224</v>
      </c>
      <c r="AE40" s="7">
        <f t="shared" si="1"/>
        <v>386591128.94754279</v>
      </c>
      <c r="AF40" s="7">
        <f t="shared" si="1"/>
        <v>290515853.35101295</v>
      </c>
      <c r="AG40" s="7">
        <f t="shared" si="1"/>
        <v>326808173.35931706</v>
      </c>
    </row>
    <row r="41" spans="1:33" x14ac:dyDescent="0.25">
      <c r="A41" t="s">
        <v>53</v>
      </c>
      <c r="C41" s="7">
        <f t="shared" ref="C41:Z41" si="2">C25+C24</f>
        <v>14895546.665213035</v>
      </c>
      <c r="D41" s="7">
        <f t="shared" si="2"/>
        <v>15916936.7598325</v>
      </c>
      <c r="E41" s="7">
        <f t="shared" si="2"/>
        <v>16440302.312529236</v>
      </c>
      <c r="F41" s="7">
        <f t="shared" si="2"/>
        <v>17051794.304503344</v>
      </c>
      <c r="G41" s="7">
        <f t="shared" si="2"/>
        <v>25753121.473489977</v>
      </c>
      <c r="H41" s="7">
        <f t="shared" si="2"/>
        <v>26516485.200317882</v>
      </c>
      <c r="I41" s="7">
        <f t="shared" si="2"/>
        <v>28053836.320973262</v>
      </c>
      <c r="J41" s="7">
        <f t="shared" si="2"/>
        <v>27963867.296271931</v>
      </c>
      <c r="K41" s="7">
        <f t="shared" si="2"/>
        <v>39454388.755779035</v>
      </c>
      <c r="L41" s="7">
        <f t="shared" si="2"/>
        <v>41213108.991875514</v>
      </c>
      <c r="M41" s="7">
        <f t="shared" si="2"/>
        <v>42926745.29106307</v>
      </c>
      <c r="N41" s="7">
        <f t="shared" si="2"/>
        <v>42885186.713556819</v>
      </c>
      <c r="O41" s="7">
        <f t="shared" si="2"/>
        <v>22148782.495467838</v>
      </c>
      <c r="P41" s="7">
        <f t="shared" si="2"/>
        <v>22105642.148086883</v>
      </c>
      <c r="Q41" s="7">
        <f t="shared" si="2"/>
        <v>19837776.942030076</v>
      </c>
      <c r="R41" s="7">
        <f t="shared" si="2"/>
        <v>26434484.64704261</v>
      </c>
      <c r="S41" s="7">
        <f t="shared" si="2"/>
        <v>20737738.80000627</v>
      </c>
      <c r="T41" s="7">
        <f t="shared" si="2"/>
        <v>20303125.537451964</v>
      </c>
      <c r="U41" s="7">
        <f t="shared" si="2"/>
        <v>23934204.520910822</v>
      </c>
      <c r="V41" s="7">
        <f t="shared" si="2"/>
        <v>21792972.342667714</v>
      </c>
      <c r="W41" s="7">
        <f t="shared" si="2"/>
        <v>18694959.626677111</v>
      </c>
      <c r="X41" s="7">
        <f t="shared" si="2"/>
        <v>26052155.976207186</v>
      </c>
      <c r="Y41" s="7">
        <f t="shared" si="2"/>
        <v>26626398.679317039</v>
      </c>
      <c r="Z41" s="7">
        <f t="shared" si="2"/>
        <v>25785425.000522137</v>
      </c>
      <c r="AA41" s="7">
        <f t="shared" ref="AA41:AG41" si="3">AA25+AA24</f>
        <v>25268100.541441102</v>
      </c>
      <c r="AB41" s="7">
        <f t="shared" si="3"/>
        <v>23536241.102126151</v>
      </c>
      <c r="AC41" s="7">
        <f t="shared" si="3"/>
        <v>16205415.982412282</v>
      </c>
      <c r="AD41" s="7">
        <f t="shared" si="3"/>
        <v>18650429.621702172</v>
      </c>
      <c r="AE41" s="7">
        <f t="shared" si="3"/>
        <v>8909629.4530639108</v>
      </c>
      <c r="AF41" s="7">
        <f t="shared" si="3"/>
        <v>10718459.86807644</v>
      </c>
      <c r="AG41" s="7">
        <f t="shared" si="3"/>
        <v>12977658.734872598</v>
      </c>
    </row>
    <row r="42" spans="1:33" x14ac:dyDescent="0.25">
      <c r="A42" t="s">
        <v>54</v>
      </c>
      <c r="C42" s="7">
        <f t="shared" ref="C42:Z42" si="4">C27+C26+C25+C24</f>
        <v>31604095.844891395</v>
      </c>
      <c r="D42" s="7">
        <f t="shared" si="4"/>
        <v>32625821.110227235</v>
      </c>
      <c r="E42" s="7">
        <f t="shared" si="4"/>
        <v>33061541.353888884</v>
      </c>
      <c r="F42" s="7">
        <f t="shared" si="4"/>
        <v>33964093.007836677</v>
      </c>
      <c r="G42" s="7">
        <f t="shared" si="4"/>
        <v>43743914.259963661</v>
      </c>
      <c r="H42" s="7">
        <f t="shared" si="4"/>
        <v>58741080.25792753</v>
      </c>
      <c r="I42" s="7">
        <f t="shared" si="4"/>
        <v>64064131.981660396</v>
      </c>
      <c r="J42" s="7">
        <f t="shared" si="4"/>
        <v>63602346.186052635</v>
      </c>
      <c r="K42" s="7">
        <f t="shared" si="4"/>
        <v>60547652.20380535</v>
      </c>
      <c r="L42" s="7">
        <f t="shared" si="4"/>
        <v>63566233.587884285</v>
      </c>
      <c r="M42" s="7">
        <f t="shared" si="4"/>
        <v>65311436.637554303</v>
      </c>
      <c r="N42" s="7">
        <f t="shared" si="4"/>
        <v>63968777.141188398</v>
      </c>
      <c r="O42" s="7">
        <f t="shared" si="4"/>
        <v>26396843.319912285</v>
      </c>
      <c r="P42" s="7">
        <f t="shared" si="4"/>
        <v>37190191.420142442</v>
      </c>
      <c r="Q42" s="7">
        <f t="shared" si="4"/>
        <v>43940030.972969763</v>
      </c>
      <c r="R42" s="7">
        <f t="shared" si="4"/>
        <v>128302868.74220133</v>
      </c>
      <c r="S42" s="7">
        <f t="shared" si="4"/>
        <v>110243636.04282373</v>
      </c>
      <c r="T42" s="7">
        <f t="shared" si="4"/>
        <v>186643246.07795754</v>
      </c>
      <c r="U42" s="7">
        <f t="shared" si="4"/>
        <v>434104154.72633702</v>
      </c>
      <c r="V42" s="7">
        <f t="shared" si="4"/>
        <v>354218405.40611798</v>
      </c>
      <c r="W42" s="7">
        <f t="shared" si="4"/>
        <v>212986006.50300336</v>
      </c>
      <c r="X42" s="7">
        <f t="shared" si="4"/>
        <v>357331305.3951636</v>
      </c>
      <c r="Y42" s="7">
        <f t="shared" si="4"/>
        <v>254011420.71327737</v>
      </c>
      <c r="Z42" s="7">
        <f t="shared" si="4"/>
        <v>304621415.68178964</v>
      </c>
      <c r="AA42" s="7">
        <f t="shared" ref="AA42:AG42" si="5">AA27+AA26+AA25+AA24</f>
        <v>276893799.8168686</v>
      </c>
      <c r="AB42" s="7">
        <f t="shared" si="5"/>
        <v>291347309.46899921</v>
      </c>
      <c r="AC42" s="7">
        <f t="shared" si="5"/>
        <v>386542695.73181707</v>
      </c>
      <c r="AD42" s="7">
        <f t="shared" si="5"/>
        <v>259074598.21419227</v>
      </c>
      <c r="AE42" s="7">
        <f t="shared" si="5"/>
        <v>385691419.54587609</v>
      </c>
      <c r="AF42" s="7">
        <f t="shared" si="5"/>
        <v>289592375.23148918</v>
      </c>
      <c r="AG42" s="7">
        <f t="shared" si="5"/>
        <v>325856614.14288843</v>
      </c>
    </row>
    <row r="43" spans="1:33" x14ac:dyDescent="0.25">
      <c r="A43" t="s">
        <v>55</v>
      </c>
      <c r="C43" s="7">
        <f t="shared" ref="C43:Z43" si="6">C33+C32+C13+C12+C11+C10+C9+C8+C7+C6+C5+C4</f>
        <v>420502653.13261509</v>
      </c>
      <c r="D43" s="7">
        <f t="shared" si="6"/>
        <v>430423518.75733316</v>
      </c>
      <c r="E43" s="7">
        <f t="shared" si="6"/>
        <v>422659119.80754751</v>
      </c>
      <c r="F43" s="7">
        <f t="shared" si="6"/>
        <v>442151969.44755542</v>
      </c>
      <c r="G43" s="7">
        <f t="shared" si="6"/>
        <v>485071830.13726068</v>
      </c>
      <c r="H43" s="7">
        <f t="shared" si="6"/>
        <v>506451337.27462578</v>
      </c>
      <c r="I43" s="7">
        <f t="shared" si="6"/>
        <v>487823186.27378964</v>
      </c>
      <c r="J43" s="7">
        <f t="shared" si="6"/>
        <v>483645319.66797101</v>
      </c>
      <c r="K43" s="7">
        <f t="shared" si="6"/>
        <v>470892419.42746532</v>
      </c>
      <c r="L43" s="7">
        <f t="shared" si="6"/>
        <v>479676741.03342301</v>
      </c>
      <c r="M43" s="7">
        <f t="shared" si="6"/>
        <v>466291727.25337362</v>
      </c>
      <c r="N43" s="7">
        <f t="shared" si="6"/>
        <v>466786028.7674855</v>
      </c>
      <c r="O43" s="7">
        <f t="shared" si="6"/>
        <v>361566734.30275959</v>
      </c>
      <c r="P43" s="7">
        <f t="shared" si="6"/>
        <v>358960051.80407554</v>
      </c>
      <c r="Q43" s="7">
        <f t="shared" si="6"/>
        <v>354880968.82473195</v>
      </c>
      <c r="R43" s="7">
        <f t="shared" si="6"/>
        <v>362257228.88040698</v>
      </c>
      <c r="S43" s="7">
        <f t="shared" si="6"/>
        <v>402799888.91774142</v>
      </c>
      <c r="T43" s="7">
        <f t="shared" si="6"/>
        <v>429658592.26434404</v>
      </c>
      <c r="U43" s="7">
        <f t="shared" si="6"/>
        <v>474101067.26678479</v>
      </c>
      <c r="V43" s="7">
        <f t="shared" si="6"/>
        <v>595266022.06456828</v>
      </c>
      <c r="W43" s="7">
        <f t="shared" si="6"/>
        <v>606971010.54394329</v>
      </c>
      <c r="X43" s="7">
        <f t="shared" si="6"/>
        <v>570550152.30381405</v>
      </c>
      <c r="Y43" s="7">
        <f t="shared" si="6"/>
        <v>619539915.60265291</v>
      </c>
      <c r="Z43" s="7">
        <f t="shared" si="6"/>
        <v>626455400.78581178</v>
      </c>
      <c r="AA43" s="7">
        <f t="shared" ref="AA43:AG43" si="7">AA33+AA32+AA13+AA12+AA11+AA10+AA9+AA8+AA7+AA6+AA5+AA4</f>
        <v>594218700.96010542</v>
      </c>
      <c r="AB43" s="7">
        <f t="shared" si="7"/>
        <v>595700196.30289137</v>
      </c>
      <c r="AC43" s="7">
        <f t="shared" si="7"/>
        <v>586820240.75155067</v>
      </c>
      <c r="AD43" s="7">
        <f t="shared" si="7"/>
        <v>592798301.00956154</v>
      </c>
      <c r="AE43" s="7">
        <f t="shared" si="7"/>
        <v>587954108.77803075</v>
      </c>
      <c r="AF43" s="7">
        <f t="shared" si="7"/>
        <v>594707381.28694379</v>
      </c>
      <c r="AG43" s="7">
        <f t="shared" si="7"/>
        <v>600158963.21732008</v>
      </c>
    </row>
    <row r="44" spans="1:33" x14ac:dyDescent="0.25">
      <c r="A44" t="s">
        <v>56</v>
      </c>
      <c r="C44" s="7">
        <f t="shared" ref="C44:Z44" si="8">C37+C36+C33+C32+C13+C12+C11+C10+C9+C8+C7+C6+C5+C4</f>
        <v>498662081.83345675</v>
      </c>
      <c r="D44" s="7">
        <f t="shared" si="8"/>
        <v>510178450.97848803</v>
      </c>
      <c r="E44" s="7">
        <f t="shared" si="8"/>
        <v>505231191.73785585</v>
      </c>
      <c r="F44" s="7">
        <f t="shared" si="8"/>
        <v>527899340.54757422</v>
      </c>
      <c r="G44" s="7">
        <f t="shared" si="8"/>
        <v>573895331.93720734</v>
      </c>
      <c r="H44" s="7">
        <f t="shared" si="8"/>
        <v>597432162.91567767</v>
      </c>
      <c r="I44" s="7">
        <f t="shared" si="8"/>
        <v>581257411.02400398</v>
      </c>
      <c r="J44" s="7">
        <f t="shared" si="8"/>
        <v>581750577.31641769</v>
      </c>
      <c r="K44" s="7">
        <f t="shared" si="8"/>
        <v>571970865.19162321</v>
      </c>
      <c r="L44" s="7">
        <f t="shared" si="8"/>
        <v>584259538.06999254</v>
      </c>
      <c r="M44" s="7">
        <f t="shared" si="8"/>
        <v>572067911.7705847</v>
      </c>
      <c r="N44" s="7">
        <f t="shared" si="8"/>
        <v>602158869.6485064</v>
      </c>
      <c r="O44" s="7">
        <f t="shared" si="8"/>
        <v>510149457.85216981</v>
      </c>
      <c r="P44" s="7">
        <f t="shared" si="8"/>
        <v>523242808.00010663</v>
      </c>
      <c r="Q44" s="7">
        <f t="shared" si="8"/>
        <v>528432014.18578815</v>
      </c>
      <c r="R44" s="7">
        <f t="shared" si="8"/>
        <v>540142923.83832657</v>
      </c>
      <c r="S44" s="7">
        <f t="shared" si="8"/>
        <v>552631402.77282548</v>
      </c>
      <c r="T44" s="7">
        <f t="shared" si="8"/>
        <v>615744019.56426299</v>
      </c>
      <c r="U44" s="7">
        <f t="shared" si="8"/>
        <v>638869328.15154576</v>
      </c>
      <c r="V44" s="7">
        <f t="shared" si="8"/>
        <v>637765781.84676921</v>
      </c>
      <c r="W44" s="7">
        <f t="shared" si="8"/>
        <v>617489918.21534526</v>
      </c>
      <c r="X44" s="7">
        <f t="shared" si="8"/>
        <v>577730183.05346584</v>
      </c>
      <c r="Y44" s="7">
        <f t="shared" si="8"/>
        <v>626350955.38747871</v>
      </c>
      <c r="Z44" s="7">
        <f t="shared" si="8"/>
        <v>633278478.53655803</v>
      </c>
      <c r="AA44" s="7">
        <f t="shared" ref="AA44:AG44" si="9">AA37+AA36+AA33+AA32+AA13+AA12+AA11+AA10+AA9+AA8+AA7+AA6+AA5+AA4</f>
        <v>601054862.71199596</v>
      </c>
      <c r="AB44" s="7">
        <f t="shared" si="9"/>
        <v>598592874.12122464</v>
      </c>
      <c r="AC44" s="7">
        <f t="shared" si="9"/>
        <v>589757101.9515506</v>
      </c>
      <c r="AD44" s="7">
        <f t="shared" si="9"/>
        <v>595777874.4245615</v>
      </c>
      <c r="AE44" s="7">
        <f t="shared" si="9"/>
        <v>590973131.45136404</v>
      </c>
      <c r="AF44" s="7">
        <f t="shared" si="9"/>
        <v>597764630.0269438</v>
      </c>
      <c r="AG44" s="7">
        <f t="shared" si="9"/>
        <v>603248433.38898671</v>
      </c>
    </row>
    <row r="45" spans="1:33" x14ac:dyDescent="0.25">
      <c r="A45" t="s">
        <v>57</v>
      </c>
      <c r="C45" s="7">
        <f t="shared" ref="C45:Z45" si="10">C13+C12+C11+C10+C9+C8+C7+C6</f>
        <v>348814437.63567698</v>
      </c>
      <c r="D45" s="7">
        <f t="shared" si="10"/>
        <v>359116487.36429888</v>
      </c>
      <c r="E45" s="7">
        <f t="shared" si="10"/>
        <v>352212313.38771451</v>
      </c>
      <c r="F45" s="7">
        <f t="shared" si="10"/>
        <v>369903178.05909991</v>
      </c>
      <c r="G45" s="7">
        <f t="shared" si="10"/>
        <v>396047208.76452392</v>
      </c>
      <c r="H45" s="7">
        <f t="shared" si="10"/>
        <v>419499804.58579123</v>
      </c>
      <c r="I45" s="7">
        <f t="shared" si="10"/>
        <v>412793681.70146704</v>
      </c>
      <c r="J45" s="7">
        <f t="shared" si="10"/>
        <v>410544078.31653178</v>
      </c>
      <c r="K45" s="7">
        <f t="shared" si="10"/>
        <v>412596277.29949528</v>
      </c>
      <c r="L45" s="7">
        <f t="shared" si="10"/>
        <v>423562197.38718957</v>
      </c>
      <c r="M45" s="7">
        <f t="shared" si="10"/>
        <v>415288886.32967073</v>
      </c>
      <c r="N45" s="7">
        <f t="shared" si="10"/>
        <v>417581678.59464556</v>
      </c>
      <c r="O45" s="7">
        <f t="shared" si="10"/>
        <v>332385976.93592298</v>
      </c>
      <c r="P45" s="7">
        <f t="shared" si="10"/>
        <v>328701754.60999668</v>
      </c>
      <c r="Q45" s="7">
        <f t="shared" si="10"/>
        <v>323938144.96957403</v>
      </c>
      <c r="R45" s="7">
        <f t="shared" si="10"/>
        <v>325441282.69098592</v>
      </c>
      <c r="S45" s="7">
        <f t="shared" si="10"/>
        <v>326230496.40833569</v>
      </c>
      <c r="T45" s="7">
        <f t="shared" si="10"/>
        <v>333387964.00710881</v>
      </c>
      <c r="U45" s="7">
        <f t="shared" si="10"/>
        <v>341894641.90835631</v>
      </c>
      <c r="V45" s="7">
        <f t="shared" si="10"/>
        <v>348615177.47144228</v>
      </c>
      <c r="W45" s="7">
        <f t="shared" si="10"/>
        <v>333074170.58814889</v>
      </c>
      <c r="X45" s="7">
        <f t="shared" si="10"/>
        <v>320662741.75320703</v>
      </c>
      <c r="Y45" s="7">
        <f t="shared" si="10"/>
        <v>347414023.65496868</v>
      </c>
      <c r="Z45" s="7">
        <f t="shared" si="10"/>
        <v>352464577.6427421</v>
      </c>
      <c r="AA45" s="7">
        <f t="shared" ref="AA45:AG45" si="11">AA13+AA12+AA11+AA10+AA9+AA8+AA7+AA6</f>
        <v>335698834.7381205</v>
      </c>
      <c r="AB45" s="7">
        <f t="shared" si="11"/>
        <v>334575253.65710527</v>
      </c>
      <c r="AC45" s="7">
        <f t="shared" si="11"/>
        <v>327752800.58499998</v>
      </c>
      <c r="AD45" s="7">
        <f t="shared" si="11"/>
        <v>330951080.44315791</v>
      </c>
      <c r="AE45" s="7">
        <f t="shared" si="11"/>
        <v>328308916.88578951</v>
      </c>
      <c r="AF45" s="7">
        <f t="shared" si="11"/>
        <v>331462237.25868422</v>
      </c>
      <c r="AG45" s="7">
        <f t="shared" si="11"/>
        <v>334311980.7292105</v>
      </c>
    </row>
    <row r="46" spans="1:33" x14ac:dyDescent="0.25">
      <c r="A46" t="s">
        <v>58</v>
      </c>
      <c r="C46" s="7">
        <f t="shared" ref="C46:Z46" si="12">C8+C9+C10+C11+C14+C15</f>
        <v>53534394.56527777</v>
      </c>
      <c r="D46" s="7">
        <f t="shared" si="12"/>
        <v>65035577.019035093</v>
      </c>
      <c r="E46" s="7">
        <f t="shared" si="12"/>
        <v>142552459.85237145</v>
      </c>
      <c r="F46" s="7">
        <f t="shared" si="12"/>
        <v>176861988.60371858</v>
      </c>
      <c r="G46" s="7">
        <f t="shared" si="12"/>
        <v>210343448.22962049</v>
      </c>
      <c r="H46" s="7">
        <f t="shared" si="12"/>
        <v>242350718.60054821</v>
      </c>
      <c r="I46" s="7">
        <f t="shared" si="12"/>
        <v>250960256.16259053</v>
      </c>
      <c r="J46" s="7">
        <f t="shared" si="12"/>
        <v>265949496.88098121</v>
      </c>
      <c r="K46" s="7">
        <f t="shared" si="12"/>
        <v>283972650.43765074</v>
      </c>
      <c r="L46" s="7">
        <f t="shared" si="12"/>
        <v>299712635.26485991</v>
      </c>
      <c r="M46" s="7">
        <f t="shared" si="12"/>
        <v>288078437.90280932</v>
      </c>
      <c r="N46" s="7">
        <f t="shared" si="12"/>
        <v>338858295.58744943</v>
      </c>
      <c r="O46" s="7">
        <f t="shared" si="12"/>
        <v>308807102.91766632</v>
      </c>
      <c r="P46" s="7">
        <f t="shared" si="12"/>
        <v>307013341.65872508</v>
      </c>
      <c r="Q46" s="7">
        <f t="shared" si="12"/>
        <v>304655314.53547072</v>
      </c>
      <c r="R46" s="7">
        <f t="shared" si="12"/>
        <v>306586597.80373096</v>
      </c>
      <c r="S46" s="7">
        <f t="shared" si="12"/>
        <v>310915296.62571931</v>
      </c>
      <c r="T46" s="7">
        <f t="shared" si="12"/>
        <v>318821586.42266083</v>
      </c>
      <c r="U46" s="7">
        <f t="shared" si="12"/>
        <v>332337842.19421047</v>
      </c>
      <c r="V46" s="7">
        <f t="shared" si="12"/>
        <v>340059522.24102926</v>
      </c>
      <c r="W46" s="7">
        <f t="shared" si="12"/>
        <v>329290310.33506727</v>
      </c>
      <c r="X46" s="7">
        <f t="shared" si="12"/>
        <v>312284565.44803363</v>
      </c>
      <c r="Y46" s="7">
        <f t="shared" si="12"/>
        <v>343008156.62383562</v>
      </c>
      <c r="Z46" s="7">
        <f t="shared" si="12"/>
        <v>351717779.74084079</v>
      </c>
      <c r="AA46" s="7">
        <f t="shared" ref="AA46:AG46" si="13">AA8+AA9+AA10+AA11+AA14+AA15</f>
        <v>334695412.02165776</v>
      </c>
      <c r="AB46" s="7">
        <f t="shared" si="13"/>
        <v>334175554.1118421</v>
      </c>
      <c r="AC46" s="7">
        <f t="shared" si="13"/>
        <v>328147114.12644732</v>
      </c>
      <c r="AD46" s="7">
        <f t="shared" si="13"/>
        <v>332022484.88144737</v>
      </c>
      <c r="AE46" s="7">
        <f t="shared" si="13"/>
        <v>328200506.52526319</v>
      </c>
      <c r="AF46" s="7">
        <f t="shared" si="13"/>
        <v>332214947.08749998</v>
      </c>
      <c r="AG46" s="7">
        <f t="shared" si="13"/>
        <v>335525425.54671055</v>
      </c>
    </row>
    <row r="47" spans="1:33" x14ac:dyDescent="0.25">
      <c r="A47" t="s">
        <v>42</v>
      </c>
      <c r="C47" s="7">
        <f t="shared" ref="C47:Z47" si="14">C17+C16+C13+C12+C11+C10</f>
        <v>10972630.55394737</v>
      </c>
      <c r="D47" s="7">
        <f t="shared" si="14"/>
        <v>14749477.610789472</v>
      </c>
      <c r="E47" s="7">
        <f t="shared" si="14"/>
        <v>24848263.11631579</v>
      </c>
      <c r="F47" s="7">
        <f t="shared" si="14"/>
        <v>29092821.805657893</v>
      </c>
      <c r="G47" s="7">
        <f t="shared" si="14"/>
        <v>41843071.629473679</v>
      </c>
      <c r="H47" s="7">
        <f t="shared" si="14"/>
        <v>51014895.843815789</v>
      </c>
      <c r="I47" s="7">
        <f t="shared" si="14"/>
        <v>52364656.344342105</v>
      </c>
      <c r="J47" s="7">
        <f t="shared" si="14"/>
        <v>79540844.365394726</v>
      </c>
      <c r="K47" s="7">
        <f t="shared" si="14"/>
        <v>96781658.787052631</v>
      </c>
      <c r="L47" s="7">
        <f t="shared" si="14"/>
        <v>157581637.57065791</v>
      </c>
      <c r="M47" s="7">
        <f t="shared" si="14"/>
        <v>154631753.12208331</v>
      </c>
      <c r="N47" s="7">
        <f t="shared" si="14"/>
        <v>160824938.99380118</v>
      </c>
      <c r="O47" s="7">
        <f t="shared" si="14"/>
        <v>145864528.77763158</v>
      </c>
      <c r="P47" s="7">
        <f t="shared" si="14"/>
        <v>154141277.46214911</v>
      </c>
      <c r="Q47" s="7">
        <f t="shared" si="14"/>
        <v>175806595.06418127</v>
      </c>
      <c r="R47" s="7">
        <f t="shared" si="14"/>
        <v>234434325.77039474</v>
      </c>
      <c r="S47" s="7">
        <f t="shared" si="14"/>
        <v>261706481.17272812</v>
      </c>
      <c r="T47" s="7">
        <f t="shared" si="14"/>
        <v>267997879.33202043</v>
      </c>
      <c r="U47" s="7">
        <f t="shared" si="14"/>
        <v>277236714.14485085</v>
      </c>
      <c r="V47" s="7">
        <f t="shared" si="14"/>
        <v>283780798.91703218</v>
      </c>
      <c r="W47" s="7">
        <f t="shared" si="14"/>
        <v>272465349.94317245</v>
      </c>
      <c r="X47" s="7">
        <f t="shared" si="14"/>
        <v>259536228.06842107</v>
      </c>
      <c r="Y47" s="7">
        <f t="shared" si="14"/>
        <v>282777103.67686194</v>
      </c>
      <c r="Z47" s="7">
        <f t="shared" si="14"/>
        <v>287252888.87527359</v>
      </c>
      <c r="AA47" s="7">
        <f t="shared" ref="AA47:AG47" si="15">AA17+AA16+AA13+AA12+AA11+AA10</f>
        <v>273749650.18973672</v>
      </c>
      <c r="AB47" s="7">
        <f t="shared" si="15"/>
        <v>274059385.80276316</v>
      </c>
      <c r="AC47" s="7">
        <f t="shared" si="15"/>
        <v>269758251.43710524</v>
      </c>
      <c r="AD47" s="7">
        <f t="shared" si="15"/>
        <v>272833184.90565789</v>
      </c>
      <c r="AE47" s="7">
        <f t="shared" si="15"/>
        <v>270415596.14078951</v>
      </c>
      <c r="AF47" s="7">
        <f t="shared" si="15"/>
        <v>273713405.79868424</v>
      </c>
      <c r="AG47" s="7">
        <f t="shared" si="15"/>
        <v>276715482.75671053</v>
      </c>
    </row>
    <row r="48" spans="1:33" x14ac:dyDescent="0.25">
      <c r="A48" t="s">
        <v>44</v>
      </c>
      <c r="C48" s="7">
        <f t="shared" ref="C48:N48" si="16">C21+C20+C2+C3+C35+C34</f>
        <v>301694795.28999996</v>
      </c>
      <c r="D48" s="7">
        <f t="shared" si="16"/>
        <v>325020669.98644739</v>
      </c>
      <c r="E48" s="7">
        <f t="shared" si="16"/>
        <v>330516182.04509211</v>
      </c>
      <c r="F48" s="7">
        <f t="shared" si="16"/>
        <v>345227358.55578935</v>
      </c>
      <c r="G48" s="7">
        <f t="shared" si="16"/>
        <v>370122959.80289471</v>
      </c>
      <c r="H48" s="7">
        <f t="shared" si="16"/>
        <v>379929193.84618425</v>
      </c>
      <c r="I48" s="7">
        <f t="shared" si="16"/>
        <v>377116086.46000004</v>
      </c>
      <c r="J48" s="7">
        <f t="shared" si="16"/>
        <v>383242198.28578949</v>
      </c>
      <c r="K48" s="7">
        <f t="shared" si="16"/>
        <v>383131959.95526314</v>
      </c>
      <c r="L48" s="7">
        <f t="shared" si="16"/>
        <v>397706978.19578946</v>
      </c>
      <c r="M48" s="7">
        <f t="shared" si="16"/>
        <v>386738921.61065781</v>
      </c>
      <c r="N48" s="7">
        <f t="shared" si="16"/>
        <v>402611328.81223685</v>
      </c>
      <c r="O48" s="7">
        <f>O21+O20+O2+O3+O35+O34</f>
        <v>345514493.55000007</v>
      </c>
      <c r="P48" s="7">
        <f t="shared" ref="P48:AG48" si="17">P21+P20+P2+P3+P35+P34</f>
        <v>354511503.71144724</v>
      </c>
      <c r="Q48" s="7">
        <f t="shared" si="17"/>
        <v>355186102.64560306</v>
      </c>
      <c r="R48" s="7">
        <f t="shared" si="17"/>
        <v>371591674.63909698</v>
      </c>
      <c r="S48" s="7">
        <f t="shared" si="17"/>
        <v>459148209.50212324</v>
      </c>
      <c r="T48" s="7">
        <f t="shared" si="17"/>
        <v>510749541.40994167</v>
      </c>
      <c r="U48" s="7">
        <f t="shared" si="17"/>
        <v>520616139.799227</v>
      </c>
      <c r="V48" s="7">
        <f t="shared" si="17"/>
        <v>545892364.24520755</v>
      </c>
      <c r="W48" s="7">
        <f t="shared" si="17"/>
        <v>525681082.76769733</v>
      </c>
      <c r="X48" s="7">
        <f t="shared" si="17"/>
        <v>522182008.89205366</v>
      </c>
      <c r="Y48" s="7">
        <f t="shared" si="17"/>
        <v>582182282.26193905</v>
      </c>
      <c r="Z48" s="7">
        <f t="shared" si="17"/>
        <v>608631764.96709085</v>
      </c>
      <c r="AA48" s="7">
        <f t="shared" si="17"/>
        <v>590411372.32712102</v>
      </c>
      <c r="AB48" s="7">
        <f t="shared" si="17"/>
        <v>591463492.78943801</v>
      </c>
      <c r="AC48" s="7">
        <f t="shared" si="17"/>
        <v>572219969.77158284</v>
      </c>
      <c r="AD48" s="7">
        <f t="shared" si="17"/>
        <v>130537709.07201266</v>
      </c>
      <c r="AE48" s="7">
        <f t="shared" si="17"/>
        <v>128516248.55533761</v>
      </c>
      <c r="AF48" s="7">
        <f t="shared" si="17"/>
        <v>130807277.60506803</v>
      </c>
      <c r="AG48" s="7">
        <f t="shared" si="17"/>
        <v>132955975.82407425</v>
      </c>
    </row>
    <row r="49" spans="1:33" x14ac:dyDescent="0.25">
      <c r="A49" t="s">
        <v>43</v>
      </c>
      <c r="C49" s="7">
        <f t="shared" ref="C49:Z49" si="18">C19+C18</f>
        <v>0</v>
      </c>
      <c r="D49" s="7">
        <f t="shared" si="18"/>
        <v>0</v>
      </c>
      <c r="E49" s="7">
        <f t="shared" si="18"/>
        <v>0</v>
      </c>
      <c r="F49" s="7">
        <f t="shared" si="18"/>
        <v>0</v>
      </c>
      <c r="G49" s="7">
        <f t="shared" si="18"/>
        <v>0</v>
      </c>
      <c r="H49" s="7">
        <f t="shared" si="18"/>
        <v>0</v>
      </c>
      <c r="I49" s="7">
        <f t="shared" si="18"/>
        <v>0</v>
      </c>
      <c r="J49" s="7">
        <f t="shared" si="18"/>
        <v>0</v>
      </c>
      <c r="K49" s="7">
        <f t="shared" si="18"/>
        <v>9436.6315789473701</v>
      </c>
      <c r="L49" s="7">
        <f t="shared" si="18"/>
        <v>15032.895438596493</v>
      </c>
      <c r="M49" s="7">
        <f t="shared" si="18"/>
        <v>7007.8355259009822</v>
      </c>
      <c r="N49" s="7">
        <f t="shared" si="18"/>
        <v>15317.590603642133</v>
      </c>
      <c r="O49" s="7">
        <f t="shared" si="18"/>
        <v>60837.389938961685</v>
      </c>
      <c r="P49" s="7">
        <f t="shared" si="18"/>
        <v>181340.93608095459</v>
      </c>
      <c r="Q49" s="7">
        <f t="shared" si="18"/>
        <v>349924.57230215997</v>
      </c>
      <c r="R49" s="7">
        <f t="shared" si="18"/>
        <v>514653.5207172652</v>
      </c>
      <c r="S49" s="7">
        <f t="shared" si="18"/>
        <v>1545657.2710516718</v>
      </c>
      <c r="T49" s="7">
        <f t="shared" si="18"/>
        <v>2487800.8389640441</v>
      </c>
      <c r="U49" s="7">
        <f t="shared" si="18"/>
        <v>6959716.6980569791</v>
      </c>
      <c r="V49" s="7">
        <f t="shared" si="18"/>
        <v>10275960.501184968</v>
      </c>
      <c r="W49" s="7">
        <f t="shared" si="18"/>
        <v>12011981.852203855</v>
      </c>
      <c r="X49" s="7">
        <f t="shared" si="18"/>
        <v>18988209.721337222</v>
      </c>
      <c r="Y49" s="7">
        <f t="shared" si="18"/>
        <v>18779834.86234023</v>
      </c>
      <c r="Z49" s="7">
        <f t="shared" si="18"/>
        <v>27459976.613193259</v>
      </c>
      <c r="AA49" s="7">
        <f t="shared" ref="AA49:AG49" si="19">AA19+AA18</f>
        <v>72849487.392145708</v>
      </c>
      <c r="AB49" s="7">
        <f t="shared" si="19"/>
        <v>92670605.202007547</v>
      </c>
      <c r="AC49" s="7">
        <f t="shared" si="19"/>
        <v>64703773.733958893</v>
      </c>
      <c r="AD49" s="7">
        <f t="shared" si="19"/>
        <v>42236974.675196275</v>
      </c>
      <c r="AE49" s="7">
        <f t="shared" si="19"/>
        <v>42368434.197219275</v>
      </c>
      <c r="AF49" s="7">
        <f t="shared" si="19"/>
        <v>33730466.86672733</v>
      </c>
      <c r="AG49" s="7">
        <f t="shared" si="19"/>
        <v>35038544.997919135</v>
      </c>
    </row>
    <row r="50" spans="1:33" x14ac:dyDescent="0.25">
      <c r="A50" t="s">
        <v>59</v>
      </c>
      <c r="C50" s="7">
        <f t="shared" ref="C50:Z50" si="20">C31+C30</f>
        <v>0</v>
      </c>
      <c r="D50" s="7">
        <f t="shared" si="20"/>
        <v>0</v>
      </c>
      <c r="E50" s="7">
        <f t="shared" si="20"/>
        <v>0</v>
      </c>
      <c r="F50" s="7">
        <f t="shared" si="20"/>
        <v>0</v>
      </c>
      <c r="G50" s="7">
        <f t="shared" si="20"/>
        <v>0</v>
      </c>
      <c r="H50" s="7">
        <f t="shared" si="20"/>
        <v>0</v>
      </c>
      <c r="I50" s="7">
        <f t="shared" si="20"/>
        <v>3029895.8736842112</v>
      </c>
      <c r="J50" s="7">
        <f t="shared" si="20"/>
        <v>7758595.6578421062</v>
      </c>
      <c r="K50" s="7">
        <f t="shared" si="20"/>
        <v>1545856.413622807</v>
      </c>
      <c r="L50" s="7">
        <f t="shared" si="20"/>
        <v>4340799.6761578955</v>
      </c>
      <c r="M50" s="7">
        <f t="shared" si="20"/>
        <v>3509131.2852894738</v>
      </c>
      <c r="N50" s="7">
        <f t="shared" si="20"/>
        <v>5934020.7698421059</v>
      </c>
      <c r="O50" s="7">
        <f t="shared" si="20"/>
        <v>11771289.003596492</v>
      </c>
      <c r="P50" s="7">
        <f t="shared" si="20"/>
        <v>21235065.818330705</v>
      </c>
      <c r="Q50" s="7">
        <f t="shared" si="20"/>
        <v>35141118.636778519</v>
      </c>
      <c r="R50" s="7">
        <f t="shared" si="20"/>
        <v>44497769.475822374</v>
      </c>
      <c r="S50" s="7">
        <f t="shared" si="20"/>
        <v>55341923.767780691</v>
      </c>
      <c r="T50" s="7">
        <f t="shared" si="20"/>
        <v>66664536.867978521</v>
      </c>
      <c r="U50" s="7">
        <f t="shared" si="20"/>
        <v>93092909.247318864</v>
      </c>
      <c r="V50" s="7">
        <f t="shared" si="20"/>
        <v>126525666.33989815</v>
      </c>
      <c r="W50" s="7">
        <f t="shared" si="20"/>
        <v>142261312.48049879</v>
      </c>
      <c r="X50" s="7">
        <f t="shared" si="20"/>
        <v>142479003.36778629</v>
      </c>
      <c r="Y50" s="7">
        <f t="shared" si="20"/>
        <v>166422082.736177</v>
      </c>
      <c r="Z50" s="7">
        <f t="shared" si="20"/>
        <v>173751395.40052408</v>
      </c>
      <c r="AA50" s="7">
        <f t="shared" ref="AA50:AG50" si="21">AA31+AA30</f>
        <v>186328369.91646266</v>
      </c>
      <c r="AB50" s="7">
        <f t="shared" si="21"/>
        <v>197668287.62063622</v>
      </c>
      <c r="AC50" s="7">
        <f t="shared" si="21"/>
        <v>205652326.63302279</v>
      </c>
      <c r="AD50" s="7">
        <f t="shared" si="21"/>
        <v>209552844.43528977</v>
      </c>
      <c r="AE50" s="7">
        <f t="shared" si="21"/>
        <v>207355550.10954678</v>
      </c>
      <c r="AF50" s="7">
        <f t="shared" si="21"/>
        <v>209606287.81869888</v>
      </c>
      <c r="AG50" s="7">
        <f t="shared" si="21"/>
        <v>211802837.82197365</v>
      </c>
    </row>
    <row r="51" spans="1:33" x14ac:dyDescent="0.25">
      <c r="A51" t="s">
        <v>48</v>
      </c>
      <c r="C51" s="7">
        <f t="shared" ref="C51:Z51" si="22">C28+C29</f>
        <v>0</v>
      </c>
      <c r="D51" s="7">
        <f t="shared" si="22"/>
        <v>0</v>
      </c>
      <c r="E51" s="7">
        <f t="shared" si="22"/>
        <v>0</v>
      </c>
      <c r="F51" s="7">
        <f t="shared" si="22"/>
        <v>0</v>
      </c>
      <c r="G51" s="7">
        <f t="shared" si="22"/>
        <v>0</v>
      </c>
      <c r="H51" s="7">
        <f t="shared" si="22"/>
        <v>0</v>
      </c>
      <c r="I51" s="7">
        <f t="shared" si="22"/>
        <v>0</v>
      </c>
      <c r="J51" s="7">
        <f t="shared" si="22"/>
        <v>0</v>
      </c>
      <c r="K51" s="7">
        <f t="shared" si="22"/>
        <v>6300.6315789473692</v>
      </c>
      <c r="L51" s="7">
        <f t="shared" si="22"/>
        <v>1716887.879922929</v>
      </c>
      <c r="M51" s="7">
        <f t="shared" si="22"/>
        <v>1579536.4100666936</v>
      </c>
      <c r="N51" s="7">
        <f t="shared" si="22"/>
        <v>9327523.8119436298</v>
      </c>
      <c r="O51" s="7">
        <f t="shared" si="22"/>
        <v>23147609.055447347</v>
      </c>
      <c r="P51" s="7">
        <f t="shared" si="22"/>
        <v>41170015.45411174</v>
      </c>
      <c r="Q51" s="7">
        <f t="shared" si="22"/>
        <v>66222136.368070766</v>
      </c>
      <c r="R51" s="7">
        <f t="shared" si="22"/>
        <v>89756383.940039173</v>
      </c>
      <c r="S51" s="7">
        <f t="shared" si="22"/>
        <v>107603981.35436857</v>
      </c>
      <c r="T51" s="7">
        <f t="shared" si="22"/>
        <v>127327220.75884214</v>
      </c>
      <c r="U51" s="7">
        <f t="shared" si="22"/>
        <v>136528866.40202385</v>
      </c>
      <c r="V51" s="7">
        <f t="shared" si="22"/>
        <v>145562504.84282181</v>
      </c>
      <c r="W51" s="7">
        <f t="shared" si="22"/>
        <v>141811832.69188434</v>
      </c>
      <c r="X51" s="7">
        <f t="shared" si="22"/>
        <v>160800233.02991807</v>
      </c>
      <c r="Y51" s="7">
        <f t="shared" si="22"/>
        <v>186996096.55044705</v>
      </c>
      <c r="Z51" s="7">
        <f t="shared" si="22"/>
        <v>209165465.89669368</v>
      </c>
      <c r="AA51" s="7">
        <f t="shared" ref="AA51:AG51" si="23">AA28+AA29</f>
        <v>205938451.27025551</v>
      </c>
      <c r="AB51" s="7">
        <f t="shared" si="23"/>
        <v>220998668.43915194</v>
      </c>
      <c r="AC51" s="7">
        <f t="shared" si="23"/>
        <v>219106581.71571612</v>
      </c>
      <c r="AD51" s="7">
        <f t="shared" si="23"/>
        <v>222271116.40640509</v>
      </c>
      <c r="AE51" s="7">
        <f t="shared" si="23"/>
        <v>217335571.50486726</v>
      </c>
      <c r="AF51" s="7">
        <f t="shared" si="23"/>
        <v>218764570.77513307</v>
      </c>
      <c r="AG51" s="7">
        <f t="shared" si="23"/>
        <v>220234251.13688153</v>
      </c>
    </row>
    <row r="66" spans="3:26" x14ac:dyDescent="0.2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3:26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3:26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3:26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3:26" x14ac:dyDescent="0.2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3:26" x14ac:dyDescent="0.25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3:26" x14ac:dyDescent="0.2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3:26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3:26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3:26" x14ac:dyDescent="0.2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3:26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3:26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3:26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3:26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3:26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</sheetData>
  <autoFilter ref="A1:AG38" xr:uid="{C1EEAF05-1167-46C6-B2E0-157ED0D96BEC}">
    <filterColumn colId="0">
      <filters>
        <filter val="bOP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antigen demand 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2024-04-04T17:45:12Z</dcterms:created>
  <dcterms:modified xsi:type="dcterms:W3CDTF">2024-05-02T21:54:00Z</dcterms:modified>
</cp:coreProperties>
</file>