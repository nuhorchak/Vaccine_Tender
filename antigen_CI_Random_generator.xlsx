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467" documentId="11_4A5645C871AEA98286DE389EAFF8EF0F542BC54D" xr6:coauthVersionLast="47" xr6:coauthVersionMax="47" xr10:uidLastSave="{CBC65D6F-7301-4708-8E29-B33A7B960330}"/>
  <bookViews>
    <workbookView xWindow="-120" yWindow="-120" windowWidth="20730" windowHeight="11040" firstSheet="12" activeTab="12" xr2:uid="{00000000-000D-0000-FFFF-FFFF00000000}"/>
  </bookViews>
  <sheets>
    <sheet name="Diphtheria" sheetId="1" r:id="rId1"/>
    <sheet name="Pertussis" sheetId="2" r:id="rId2"/>
    <sheet name="Polio" sheetId="3" r:id="rId3"/>
    <sheet name="Tetanus" sheetId="4" r:id="rId4"/>
    <sheet name="Rotavirus" sheetId="5" r:id="rId5"/>
    <sheet name="PCV" sheetId="6" r:id="rId6"/>
    <sheet name="Measles" sheetId="7" r:id="rId7"/>
    <sheet name="Mumps" sheetId="8" r:id="rId8"/>
    <sheet name="Rubella" sheetId="9" r:id="rId9"/>
    <sheet name="Hepatitis_B" sheetId="10" r:id="rId10"/>
    <sheet name="Hib" sheetId="11" r:id="rId11"/>
    <sheet name="HPV" sheetId="12" r:id="rId12"/>
    <sheet name="Scenario_dat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9" i="13"/>
  <c r="G22" i="13" s="1"/>
  <c r="F9" i="13"/>
  <c r="F22" i="13" s="1"/>
  <c r="E9" i="13"/>
  <c r="E22" i="13" s="1"/>
  <c r="D9" i="13"/>
  <c r="D22" i="13" s="1"/>
  <c r="C9" i="13"/>
  <c r="C22" i="13" s="1"/>
  <c r="H9" i="13"/>
  <c r="H22" i="13" s="1"/>
  <c r="I9" i="13"/>
  <c r="I22" i="13" s="1"/>
  <c r="J9" i="13"/>
  <c r="J22" i="13" s="1"/>
  <c r="K9" i="13"/>
  <c r="K22" i="13" s="1"/>
  <c r="E6" i="13"/>
  <c r="E19" i="13" s="1"/>
  <c r="D6" i="13"/>
  <c r="D19" i="13" s="1"/>
  <c r="C6" i="13"/>
  <c r="C19" i="13" s="1"/>
  <c r="J5" i="13"/>
  <c r="J18" i="13" s="1"/>
  <c r="F6" i="13"/>
  <c r="F19" i="13" s="1"/>
  <c r="K6" i="13"/>
  <c r="K19" i="13" s="1"/>
  <c r="J6" i="13"/>
  <c r="J19" i="13" s="1"/>
  <c r="I6" i="13"/>
  <c r="I19" i="13" s="1"/>
  <c r="H6" i="13"/>
  <c r="H19" i="13" s="1"/>
  <c r="G6" i="13"/>
  <c r="G19" i="13" s="1"/>
  <c r="F5" i="13"/>
  <c r="F18" i="13" s="1"/>
  <c r="E5" i="13"/>
  <c r="E18" i="13" s="1"/>
  <c r="D5" i="13"/>
  <c r="D18" i="13" s="1"/>
  <c r="C5" i="13"/>
  <c r="C18" i="13" s="1"/>
  <c r="K5" i="13"/>
  <c r="K18" i="13" s="1"/>
  <c r="B13" i="12"/>
  <c r="A13" i="12"/>
  <c r="D11" i="12"/>
  <c r="D10" i="12"/>
  <c r="D9" i="12"/>
  <c r="D8" i="12"/>
  <c r="D7" i="12"/>
  <c r="D6" i="12"/>
  <c r="D5" i="12"/>
  <c r="D4" i="12"/>
  <c r="D3" i="12"/>
  <c r="D2" i="12"/>
  <c r="D13" i="12" s="1"/>
  <c r="D13" i="11"/>
  <c r="F13" i="11" s="1"/>
  <c r="B13" i="11"/>
  <c r="A13" i="11"/>
  <c r="D11" i="11"/>
  <c r="D10" i="11"/>
  <c r="D9" i="11"/>
  <c r="D8" i="11"/>
  <c r="D7" i="11"/>
  <c r="D6" i="11"/>
  <c r="D5" i="11"/>
  <c r="D4" i="11"/>
  <c r="D3" i="11"/>
  <c r="D2" i="11"/>
  <c r="B13" i="10"/>
  <c r="A13" i="10"/>
  <c r="D11" i="10"/>
  <c r="D10" i="10"/>
  <c r="D9" i="10"/>
  <c r="D8" i="10"/>
  <c r="D7" i="10"/>
  <c r="D6" i="10"/>
  <c r="D5" i="10"/>
  <c r="D4" i="10"/>
  <c r="D3" i="10"/>
  <c r="D2" i="10"/>
  <c r="B13" i="9"/>
  <c r="A13" i="9"/>
  <c r="D11" i="9"/>
  <c r="D10" i="9"/>
  <c r="D9" i="9"/>
  <c r="D8" i="9"/>
  <c r="D7" i="9"/>
  <c r="D6" i="9"/>
  <c r="D5" i="9"/>
  <c r="D4" i="9"/>
  <c r="D3" i="9"/>
  <c r="D2" i="9"/>
  <c r="B13" i="8"/>
  <c r="A13" i="8"/>
  <c r="D11" i="8"/>
  <c r="D10" i="8"/>
  <c r="D9" i="8"/>
  <c r="D8" i="8"/>
  <c r="D13" i="8" s="1"/>
  <c r="F13" i="8" s="1"/>
  <c r="D7" i="8"/>
  <c r="G3" i="13" s="1"/>
  <c r="D6" i="8"/>
  <c r="F3" i="13" s="1"/>
  <c r="D5" i="8"/>
  <c r="E3" i="13" s="1"/>
  <c r="D4" i="8"/>
  <c r="D3" i="13" s="1"/>
  <c r="D3" i="8"/>
  <c r="C3" i="13" s="1"/>
  <c r="D2" i="8"/>
  <c r="B3" i="13" s="1"/>
  <c r="B13" i="7"/>
  <c r="F13" i="7" s="1"/>
  <c r="A13" i="7"/>
  <c r="D11" i="7"/>
  <c r="K2" i="13" s="1"/>
  <c r="D10" i="7"/>
  <c r="D9" i="7"/>
  <c r="D8" i="7"/>
  <c r="D7" i="7"/>
  <c r="D6" i="7"/>
  <c r="D13" i="7" s="1"/>
  <c r="D5" i="7"/>
  <c r="D4" i="7"/>
  <c r="D3" i="7"/>
  <c r="D2" i="7"/>
  <c r="B13" i="6"/>
  <c r="A13" i="6"/>
  <c r="D11" i="6"/>
  <c r="D10" i="6"/>
  <c r="D9" i="6"/>
  <c r="D8" i="6"/>
  <c r="D7" i="6"/>
  <c r="D6" i="6"/>
  <c r="D5" i="6"/>
  <c r="D4" i="6"/>
  <c r="D3" i="6"/>
  <c r="D2" i="6"/>
  <c r="B13" i="5"/>
  <c r="F13" i="5" s="1"/>
  <c r="A13" i="5"/>
  <c r="D11" i="5"/>
  <c r="K12" i="13" s="1"/>
  <c r="K25" i="13" s="1"/>
  <c r="D10" i="5"/>
  <c r="J12" i="13" s="1"/>
  <c r="J25" i="13" s="1"/>
  <c r="D9" i="5"/>
  <c r="I12" i="13" s="1"/>
  <c r="I25" i="13" s="1"/>
  <c r="D8" i="5"/>
  <c r="H12" i="13" s="1"/>
  <c r="H25" i="13" s="1"/>
  <c r="D7" i="5"/>
  <c r="G12" i="13" s="1"/>
  <c r="G25" i="13" s="1"/>
  <c r="D6" i="5"/>
  <c r="D5" i="5"/>
  <c r="D4" i="5"/>
  <c r="D3" i="5"/>
  <c r="C12" i="13" s="1"/>
  <c r="C25" i="13" s="1"/>
  <c r="D2" i="5"/>
  <c r="D13" i="5" s="1"/>
  <c r="B13" i="4"/>
  <c r="A13" i="4"/>
  <c r="D11" i="4"/>
  <c r="D10" i="4"/>
  <c r="D9" i="4"/>
  <c r="D8" i="4"/>
  <c r="D7" i="4"/>
  <c r="D6" i="4"/>
  <c r="D5" i="4"/>
  <c r="D4" i="4"/>
  <c r="D3" i="4"/>
  <c r="D2" i="4"/>
  <c r="D13" i="4" s="1"/>
  <c r="D13" i="3"/>
  <c r="F13" i="3" s="1"/>
  <c r="B13" i="3"/>
  <c r="A13" i="3"/>
  <c r="D11" i="3"/>
  <c r="D10" i="3"/>
  <c r="D9" i="3"/>
  <c r="D8" i="3"/>
  <c r="D7" i="3"/>
  <c r="D6" i="3"/>
  <c r="D5" i="3"/>
  <c r="D4" i="3"/>
  <c r="D3" i="3"/>
  <c r="D2" i="3"/>
  <c r="B13" i="2"/>
  <c r="A13" i="2"/>
  <c r="D11" i="2"/>
  <c r="D10" i="2"/>
  <c r="D9" i="2"/>
  <c r="D8" i="2"/>
  <c r="D7" i="2"/>
  <c r="D6" i="2"/>
  <c r="D5" i="2"/>
  <c r="D4" i="2"/>
  <c r="D3" i="2"/>
  <c r="D2" i="2"/>
  <c r="B13" i="1"/>
  <c r="A13" i="1"/>
  <c r="D11" i="1"/>
  <c r="D10" i="1"/>
  <c r="D9" i="1"/>
  <c r="D8" i="1"/>
  <c r="D7" i="1"/>
  <c r="D6" i="1"/>
  <c r="D5" i="1"/>
  <c r="D4" i="1"/>
  <c r="D3" i="1"/>
  <c r="D2" i="1"/>
  <c r="G16" i="13" l="1"/>
  <c r="F16" i="13"/>
  <c r="E16" i="13"/>
  <c r="D16" i="13"/>
  <c r="C16" i="13"/>
  <c r="B16" i="13"/>
  <c r="K15" i="13"/>
  <c r="H5" i="13"/>
  <c r="H18" i="13" s="1"/>
  <c r="F12" i="13"/>
  <c r="F25" i="13" s="1"/>
  <c r="E12" i="13"/>
  <c r="E25" i="13" s="1"/>
  <c r="D12" i="13"/>
  <c r="D25" i="13" s="1"/>
  <c r="J2" i="13"/>
  <c r="J15" i="13" s="1"/>
  <c r="I2" i="13"/>
  <c r="I15" i="13" s="1"/>
  <c r="H2" i="13"/>
  <c r="H15" i="13" s="1"/>
  <c r="E2" i="13"/>
  <c r="E15" i="13" s="1"/>
  <c r="D2" i="13"/>
  <c r="D15" i="13" s="1"/>
  <c r="C2" i="13"/>
  <c r="C15" i="13" s="1"/>
  <c r="B2" i="13"/>
  <c r="B15" i="13" s="1"/>
  <c r="I5" i="13"/>
  <c r="I18" i="13" s="1"/>
  <c r="J10" i="13"/>
  <c r="J23" i="13" s="1"/>
  <c r="I10" i="13"/>
  <c r="I23" i="13" s="1"/>
  <c r="H10" i="13"/>
  <c r="H23" i="13" s="1"/>
  <c r="K10" i="13"/>
  <c r="K23" i="13" s="1"/>
  <c r="B10" i="13"/>
  <c r="B23" i="13" s="1"/>
  <c r="C10" i="13"/>
  <c r="C23" i="13" s="1"/>
  <c r="B9" i="13"/>
  <c r="B22" i="13" s="1"/>
  <c r="E10" i="13"/>
  <c r="E23" i="13" s="1"/>
  <c r="J3" i="13"/>
  <c r="F10" i="13"/>
  <c r="F23" i="13" s="1"/>
  <c r="I3" i="13"/>
  <c r="I16" i="13" s="1"/>
  <c r="C13" i="13"/>
  <c r="C26" i="13" s="1"/>
  <c r="G2" i="13"/>
  <c r="G15" i="13" s="1"/>
  <c r="K3" i="13"/>
  <c r="K16" i="13" s="1"/>
  <c r="F13" i="4"/>
  <c r="G13" i="13"/>
  <c r="G26" i="13" s="1"/>
  <c r="F13" i="6"/>
  <c r="K13" i="13" s="1"/>
  <c r="K26" i="13" s="1"/>
  <c r="J4" i="13"/>
  <c r="J17" i="13" s="1"/>
  <c r="D10" i="13"/>
  <c r="D23" i="13" s="1"/>
  <c r="K4" i="13"/>
  <c r="K17" i="13" s="1"/>
  <c r="G10" i="13"/>
  <c r="G23" i="13" s="1"/>
  <c r="B5" i="13"/>
  <c r="B18" i="13" s="1"/>
  <c r="F13" i="13"/>
  <c r="F26" i="13" s="1"/>
  <c r="B4" i="13"/>
  <c r="B17" i="13" s="1"/>
  <c r="F13" i="12"/>
  <c r="G11" i="13" s="1"/>
  <c r="G24" i="13" s="1"/>
  <c r="H3" i="13"/>
  <c r="H16" i="13" s="1"/>
  <c r="D13" i="2"/>
  <c r="F13" i="2" s="1"/>
  <c r="D13" i="10"/>
  <c r="F13" i="10" s="1"/>
  <c r="D13" i="1"/>
  <c r="D13" i="9"/>
  <c r="F13" i="9" s="1"/>
  <c r="F2" i="13"/>
  <c r="F15" i="13" s="1"/>
  <c r="B12" i="13"/>
  <c r="B25" i="13" s="1"/>
  <c r="D13" i="6"/>
  <c r="J16" i="13" l="1"/>
  <c r="K8" i="13"/>
  <c r="K21" i="13" s="1"/>
  <c r="J8" i="13"/>
  <c r="J21" i="13" s="1"/>
  <c r="I8" i="13"/>
  <c r="I21" i="13" s="1"/>
  <c r="H8" i="13"/>
  <c r="H21" i="13" s="1"/>
  <c r="G8" i="13"/>
  <c r="G21" i="13" s="1"/>
  <c r="F8" i="13"/>
  <c r="F21" i="13" s="1"/>
  <c r="C8" i="13"/>
  <c r="C21" i="13" s="1"/>
  <c r="D8" i="13"/>
  <c r="D21" i="13" s="1"/>
  <c r="B8" i="13"/>
  <c r="B21" i="13" s="1"/>
  <c r="E8" i="13"/>
  <c r="E21" i="13" s="1"/>
  <c r="K7" i="13"/>
  <c r="K20" i="13" s="1"/>
  <c r="H7" i="13"/>
  <c r="H20" i="13" s="1"/>
  <c r="G7" i="13"/>
  <c r="G20" i="13" s="1"/>
  <c r="F7" i="13"/>
  <c r="F20" i="13" s="1"/>
  <c r="I7" i="13"/>
  <c r="I20" i="13" s="1"/>
  <c r="E7" i="13"/>
  <c r="E20" i="13" s="1"/>
  <c r="B7" i="13"/>
  <c r="B20" i="13" s="1"/>
  <c r="D7" i="13"/>
  <c r="D20" i="13" s="1"/>
  <c r="J7" i="13"/>
  <c r="J20" i="13" s="1"/>
  <c r="C7" i="13"/>
  <c r="C20" i="13" s="1"/>
  <c r="E13" i="13"/>
  <c r="E26" i="13" s="1"/>
  <c r="J13" i="13"/>
  <c r="J26" i="13" s="1"/>
  <c r="J11" i="13"/>
  <c r="J24" i="13" s="1"/>
  <c r="I11" i="13"/>
  <c r="I24" i="13" s="1"/>
  <c r="H11" i="13"/>
  <c r="H24" i="13" s="1"/>
  <c r="K11" i="13"/>
  <c r="K24" i="13" s="1"/>
  <c r="B6" i="13"/>
  <c r="B19" i="13" s="1"/>
  <c r="B11" i="13"/>
  <c r="B24" i="13" s="1"/>
  <c r="D11" i="13"/>
  <c r="D24" i="13" s="1"/>
  <c r="B13" i="13"/>
  <c r="B26" i="13" s="1"/>
  <c r="D13" i="13"/>
  <c r="D26" i="13" s="1"/>
  <c r="C11" i="13"/>
  <c r="C24" i="13" s="1"/>
  <c r="I4" i="13"/>
  <c r="I17" i="13" s="1"/>
  <c r="F4" i="13"/>
  <c r="F17" i="13" s="1"/>
  <c r="E4" i="13"/>
  <c r="E17" i="13" s="1"/>
  <c r="D4" i="13"/>
  <c r="D17" i="13" s="1"/>
  <c r="G4" i="13"/>
  <c r="G17" i="13" s="1"/>
  <c r="F11" i="13"/>
  <c r="F24" i="13" s="1"/>
  <c r="H4" i="13"/>
  <c r="H17" i="13" s="1"/>
  <c r="G5" i="13"/>
  <c r="G18" i="13" s="1"/>
  <c r="E11" i="13"/>
  <c r="E24" i="13" s="1"/>
  <c r="H13" i="13"/>
  <c r="H26" i="13" s="1"/>
  <c r="I13" i="13"/>
  <c r="I26" i="13" s="1"/>
  <c r="C4" i="13"/>
  <c r="C17" i="13" s="1"/>
</calcChain>
</file>

<file path=xl/sharedStrings.xml><?xml version="1.0" encoding="utf-8"?>
<sst xmlns="http://schemas.openxmlformats.org/spreadsheetml/2006/main" count="61" uniqueCount="16">
  <si>
    <t>Lower</t>
  </si>
  <si>
    <t>Upper</t>
  </si>
  <si>
    <t>sd</t>
  </si>
  <si>
    <t>Antigen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</si>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</sst>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1" fontId="0" fillId="0" borderId="0" xfId="0" applyNumberFormat="1"/>
    <xf numFmtId="0" fontId="0" fillId="0" borderId="4" xfId="0" applyBorder="1"/>
    <xf numFmtId="0" fontId="4" fillId="0" borderId="4" xfId="0" applyFont="1" applyBorder="1"/>
    <xf numFmtId="11" fontId="4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Scenario_data!$A$15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Scenario_data!$B$15:$K$15</c:f>
              <c:numCache>
                <c:formatCode>0.00E+00</c:formatCode>
                <c:ptCount val="10"/>
                <c:pt idx="0">
                  <c:v>327232858.03333443</c:v>
                </c:pt>
                <c:pt idx="1">
                  <c:v>649944236.34959435</c:v>
                </c:pt>
                <c:pt idx="2">
                  <c:v>560302998.90472198</c:v>
                </c:pt>
                <c:pt idx="3">
                  <c:v>1042625820.562032</c:v>
                </c:pt>
                <c:pt idx="4">
                  <c:v>510588894.16854215</c:v>
                </c:pt>
                <c:pt idx="5">
                  <c:v>479167335.02357817</c:v>
                </c:pt>
                <c:pt idx="6">
                  <c:v>976065417.33206522</c:v>
                </c:pt>
                <c:pt idx="7">
                  <c:v>1321623604.6141024</c:v>
                </c:pt>
                <c:pt idx="8">
                  <c:v>879952390.0379113</c:v>
                </c:pt>
                <c:pt idx="9">
                  <c:v>1197020211.462297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B-466B-BE2B-F7F1DF82D6E7}"/>
            </c:ext>
          </c:extLst>
        </c:ser>
        <c:ser>
          <c:idx val="1"/>
          <c:order val="1"/>
          <c:tx>
            <c:strRef>
              <c:f>Scenario_data!$A$16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Scenario_data!$B$16:$K$16</c:f>
              <c:numCache>
                <c:formatCode>0.00E+00</c:formatCode>
                <c:ptCount val="10"/>
                <c:pt idx="0">
                  <c:v>30566966.94629205</c:v>
                </c:pt>
                <c:pt idx="1">
                  <c:v>29027711.288915388</c:v>
                </c:pt>
                <c:pt idx="2">
                  <c:v>32270669.644030765</c:v>
                </c:pt>
                <c:pt idx="3">
                  <c:v>5946849.4759663558</c:v>
                </c:pt>
                <c:pt idx="4">
                  <c:v>37483032.037034526</c:v>
                </c:pt>
                <c:pt idx="5">
                  <c:v>42021681.512458093</c:v>
                </c:pt>
                <c:pt idx="6">
                  <c:v>34544390.715838939</c:v>
                </c:pt>
                <c:pt idx="7">
                  <c:v>70179578.126479328</c:v>
                </c:pt>
                <c:pt idx="8">
                  <c:v>54616437.796520501</c:v>
                </c:pt>
                <c:pt idx="9">
                  <c:v>59994176.318614952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B-466B-BE2B-F7F1DF82D6E7}"/>
            </c:ext>
          </c:extLst>
        </c:ser>
        <c:ser>
          <c:idx val="2"/>
          <c:order val="2"/>
          <c:tx>
            <c:strRef>
              <c:f>Scenario_data!$A$17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Scenario_data!$B$17:$K$17</c:f>
              <c:numCache>
                <c:formatCode>0.00E+00</c:formatCode>
                <c:ptCount val="10"/>
                <c:pt idx="0">
                  <c:v>354205415.20987809</c:v>
                </c:pt>
                <c:pt idx="1">
                  <c:v>236954804.18550211</c:v>
                </c:pt>
                <c:pt idx="2">
                  <c:v>616159579.41819811</c:v>
                </c:pt>
                <c:pt idx="3">
                  <c:v>580507730.72273779</c:v>
                </c:pt>
                <c:pt idx="4">
                  <c:v>303527153.47317624</c:v>
                </c:pt>
                <c:pt idx="5">
                  <c:v>732016026.1027863</c:v>
                </c:pt>
                <c:pt idx="6">
                  <c:v>594427335.00427151</c:v>
                </c:pt>
                <c:pt idx="7">
                  <c:v>684905075.0431416</c:v>
                </c:pt>
                <c:pt idx="8">
                  <c:v>667175195.82137167</c:v>
                </c:pt>
                <c:pt idx="9">
                  <c:v>850171021.21135867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B-466B-BE2B-F7F1DF82D6E7}"/>
            </c:ext>
          </c:extLst>
        </c:ser>
        <c:ser>
          <c:idx val="3"/>
          <c:order val="3"/>
          <c:tx>
            <c:strRef>
              <c:f>Scenario_data!$A$18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Scenario_data!$B$18:$K$18</c:f>
              <c:numCache>
                <c:formatCode>0.00E+00</c:formatCode>
                <c:ptCount val="10"/>
                <c:pt idx="0">
                  <c:v>545886518.23867655</c:v>
                </c:pt>
                <c:pt idx="1">
                  <c:v>654796722.74096465</c:v>
                </c:pt>
                <c:pt idx="2">
                  <c:v>472845159.87652242</c:v>
                </c:pt>
                <c:pt idx="3">
                  <c:v>709805108.61953497</c:v>
                </c:pt>
                <c:pt idx="4">
                  <c:v>830070687.12944019</c:v>
                </c:pt>
                <c:pt idx="5">
                  <c:v>1700247205.047471</c:v>
                </c:pt>
                <c:pt idx="6">
                  <c:v>1127085574.637809</c:v>
                </c:pt>
                <c:pt idx="7">
                  <c:v>1606166862.0387561</c:v>
                </c:pt>
                <c:pt idx="8">
                  <c:v>1246392508.9811087</c:v>
                </c:pt>
                <c:pt idx="9">
                  <c:v>2036109357.9502878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B-466B-BE2B-F7F1DF82D6E7}"/>
            </c:ext>
          </c:extLst>
        </c:ser>
        <c:ser>
          <c:idx val="4"/>
          <c:order val="4"/>
          <c:tx>
            <c:strRef>
              <c:f>Scenario_data!$A$19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Scenario_data!$B$19:$K$19</c:f>
              <c:numCache>
                <c:formatCode>0.00E+00</c:formatCode>
                <c:ptCount val="10"/>
                <c:pt idx="0">
                  <c:v>570605073.91759527</c:v>
                </c:pt>
                <c:pt idx="1">
                  <c:v>752572987.22965991</c:v>
                </c:pt>
                <c:pt idx="2">
                  <c:v>677117498.94918931</c:v>
                </c:pt>
                <c:pt idx="3">
                  <c:v>627117517.05473673</c:v>
                </c:pt>
                <c:pt idx="4">
                  <c:v>614532678.69396663</c:v>
                </c:pt>
                <c:pt idx="5">
                  <c:v>633721558.16306436</c:v>
                </c:pt>
                <c:pt idx="6">
                  <c:v>695026996.93511546</c:v>
                </c:pt>
                <c:pt idx="7">
                  <c:v>684598607.43860519</c:v>
                </c:pt>
                <c:pt idx="8">
                  <c:v>693760728.96945417</c:v>
                </c:pt>
                <c:pt idx="9">
                  <c:v>735345049.6186341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AB-466B-BE2B-F7F1DF82D6E7}"/>
            </c:ext>
          </c:extLst>
        </c:ser>
        <c:ser>
          <c:idx val="5"/>
          <c:order val="5"/>
          <c:tx>
            <c:strRef>
              <c:f>Scenario_data!$A$20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Scenario_data!$B$20:$K$20</c:f>
              <c:numCache>
                <c:formatCode>0.00E+00</c:formatCode>
                <c:ptCount val="10"/>
                <c:pt idx="0">
                  <c:v>345850274.94382304</c:v>
                </c:pt>
                <c:pt idx="1">
                  <c:v>351306495.40975714</c:v>
                </c:pt>
                <c:pt idx="2">
                  <c:v>349286088.21975571</c:v>
                </c:pt>
                <c:pt idx="3">
                  <c:v>348203704.08028978</c:v>
                </c:pt>
                <c:pt idx="4">
                  <c:v>418909703.87263548</c:v>
                </c:pt>
                <c:pt idx="5">
                  <c:v>387509863.47427124</c:v>
                </c:pt>
                <c:pt idx="6">
                  <c:v>401779528.58627391</c:v>
                </c:pt>
                <c:pt idx="7">
                  <c:v>289684556.48208266</c:v>
                </c:pt>
                <c:pt idx="8">
                  <c:v>378599943.87861127</c:v>
                </c:pt>
                <c:pt idx="9">
                  <c:v>339110933.25407159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AB-466B-BE2B-F7F1DF82D6E7}"/>
            </c:ext>
          </c:extLst>
        </c:ser>
        <c:ser>
          <c:idx val="6"/>
          <c:order val="6"/>
          <c:tx>
            <c:strRef>
              <c:f>Scenario_data!$A$21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Scenario_data!$B$21:$K$21</c:f>
              <c:numCache>
                <c:formatCode>0.00E+00</c:formatCode>
                <c:ptCount val="10"/>
                <c:pt idx="0">
                  <c:v>449867903.82097661</c:v>
                </c:pt>
                <c:pt idx="1">
                  <c:v>336859309.44006526</c:v>
                </c:pt>
                <c:pt idx="2">
                  <c:v>354261939.02673423</c:v>
                </c:pt>
                <c:pt idx="3">
                  <c:v>378203754.33729917</c:v>
                </c:pt>
                <c:pt idx="4">
                  <c:v>462984899.28802919</c:v>
                </c:pt>
                <c:pt idx="5">
                  <c:v>421022891.9110744</c:v>
                </c:pt>
                <c:pt idx="6">
                  <c:v>496862154.47590828</c:v>
                </c:pt>
                <c:pt idx="7">
                  <c:v>691898223.90495968</c:v>
                </c:pt>
                <c:pt idx="8">
                  <c:v>466214837.88700908</c:v>
                </c:pt>
                <c:pt idx="9">
                  <c:v>410560287.75263631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AB-466B-BE2B-F7F1DF82D6E7}"/>
            </c:ext>
          </c:extLst>
        </c:ser>
        <c:ser>
          <c:idx val="7"/>
          <c:order val="7"/>
          <c:tx>
            <c:strRef>
              <c:f>Scenario_data!$A$22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Scenario_data!$B$22:$K$22</c:f>
              <c:numCache>
                <c:formatCode>0.00E+00</c:formatCode>
                <c:ptCount val="10"/>
                <c:pt idx="0">
                  <c:v>314892480.85949016</c:v>
                </c:pt>
                <c:pt idx="1">
                  <c:v>362352073.69339001</c:v>
                </c:pt>
                <c:pt idx="2">
                  <c:v>385843061.42481089</c:v>
                </c:pt>
                <c:pt idx="3">
                  <c:v>374305696.21362072</c:v>
                </c:pt>
                <c:pt idx="4">
                  <c:v>269938022.25210083</c:v>
                </c:pt>
                <c:pt idx="5">
                  <c:v>401638846.53089845</c:v>
                </c:pt>
                <c:pt idx="6">
                  <c:v>333449511.40092641</c:v>
                </c:pt>
                <c:pt idx="7">
                  <c:v>405959606.50779802</c:v>
                </c:pt>
                <c:pt idx="8">
                  <c:v>419800670.41925281</c:v>
                </c:pt>
                <c:pt idx="9">
                  <c:v>345731100.20960015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AB-466B-BE2B-F7F1DF82D6E7}"/>
            </c:ext>
          </c:extLst>
        </c:ser>
        <c:ser>
          <c:idx val="8"/>
          <c:order val="8"/>
          <c:tx>
            <c:strRef>
              <c:f>Scenario_data!$A$23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Scenario_data!$B$23:$K$23</c:f>
              <c:numCache>
                <c:formatCode>0.00E+00</c:formatCode>
                <c:ptCount val="10"/>
                <c:pt idx="0">
                  <c:v>716469135.2208643</c:v>
                </c:pt>
                <c:pt idx="1">
                  <c:v>657974309.62493527</c:v>
                </c:pt>
                <c:pt idx="2">
                  <c:v>525451510.27095741</c:v>
                </c:pt>
                <c:pt idx="3">
                  <c:v>589525368.07691526</c:v>
                </c:pt>
                <c:pt idx="4">
                  <c:v>825200441.98331952</c:v>
                </c:pt>
                <c:pt idx="5">
                  <c:v>546877499.18765593</c:v>
                </c:pt>
                <c:pt idx="6">
                  <c:v>789554193.32267201</c:v>
                </c:pt>
                <c:pt idx="7">
                  <c:v>787211889.24952233</c:v>
                </c:pt>
                <c:pt idx="8">
                  <c:v>1120368516.7528012</c:v>
                </c:pt>
                <c:pt idx="9">
                  <c:v>679667475.8336184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AB-466B-BE2B-F7F1DF82D6E7}"/>
            </c:ext>
          </c:extLst>
        </c:ser>
        <c:ser>
          <c:idx val="9"/>
          <c:order val="9"/>
          <c:tx>
            <c:strRef>
              <c:f>Scenario_data!$A$24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Scenario_data!$B$24:$K$24</c:f>
              <c:numCache>
                <c:formatCode>0.00E+00</c:formatCode>
                <c:ptCount val="10"/>
                <c:pt idx="0">
                  <c:v>31963266.345840931</c:v>
                </c:pt>
                <c:pt idx="1">
                  <c:v>39307452.706052743</c:v>
                </c:pt>
                <c:pt idx="2">
                  <c:v>38250600.375207432</c:v>
                </c:pt>
                <c:pt idx="3">
                  <c:v>48122185.881140113</c:v>
                </c:pt>
                <c:pt idx="4">
                  <c:v>47653519.512356326</c:v>
                </c:pt>
                <c:pt idx="5">
                  <c:v>61292965.407283232</c:v>
                </c:pt>
                <c:pt idx="6">
                  <c:v>78042264.65959689</c:v>
                </c:pt>
                <c:pt idx="7">
                  <c:v>74149519.026301503</c:v>
                </c:pt>
                <c:pt idx="8">
                  <c:v>81327848.355241328</c:v>
                </c:pt>
                <c:pt idx="9">
                  <c:v>96041229.237888366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AB-466B-BE2B-F7F1DF82D6E7}"/>
            </c:ext>
          </c:extLst>
        </c:ser>
        <c:ser>
          <c:idx val="10"/>
          <c:order val="10"/>
          <c:tx>
            <c:strRef>
              <c:f>Scenario_data!$A$25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Scenario_data!$B$25:$K$25</c:f>
              <c:numCache>
                <c:formatCode>0.00E+00</c:formatCode>
                <c:ptCount val="10"/>
                <c:pt idx="0">
                  <c:v>151905241.58038071</c:v>
                </c:pt>
                <c:pt idx="1">
                  <c:v>184158506.34682065</c:v>
                </c:pt>
                <c:pt idx="2">
                  <c:v>114045264.6782148</c:v>
                </c:pt>
                <c:pt idx="3">
                  <c:v>345071647.16502643</c:v>
                </c:pt>
                <c:pt idx="4">
                  <c:v>220278680.87787583</c:v>
                </c:pt>
                <c:pt idx="5">
                  <c:v>446059995.10940337</c:v>
                </c:pt>
                <c:pt idx="6">
                  <c:v>256427774.78029674</c:v>
                </c:pt>
                <c:pt idx="7">
                  <c:v>413848784.27904564</c:v>
                </c:pt>
                <c:pt idx="8">
                  <c:v>543185133.04546654</c:v>
                </c:pt>
                <c:pt idx="9">
                  <c:v>542245098.33165169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AB-466B-BE2B-F7F1DF82D6E7}"/>
            </c:ext>
          </c:extLst>
        </c:ser>
        <c:ser>
          <c:idx val="11"/>
          <c:order val="11"/>
          <c:tx>
            <c:strRef>
              <c:f>Scenario_data!$A$26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Scenario_data!$B$26:$K$26</c:f>
              <c:numCache>
                <c:formatCode>0.00E+00</c:formatCode>
                <c:ptCount val="10"/>
                <c:pt idx="0">
                  <c:v>211403260.01881739</c:v>
                </c:pt>
                <c:pt idx="1">
                  <c:v>299613342.8843587</c:v>
                </c:pt>
                <c:pt idx="2">
                  <c:v>363423456.81929737</c:v>
                </c:pt>
                <c:pt idx="3">
                  <c:v>431025210.27462173</c:v>
                </c:pt>
                <c:pt idx="4">
                  <c:v>374903871.96941876</c:v>
                </c:pt>
                <c:pt idx="5">
                  <c:v>315754043.89689839</c:v>
                </c:pt>
                <c:pt idx="6">
                  <c:v>671941120.10131812</c:v>
                </c:pt>
                <c:pt idx="7">
                  <c:v>411655009.81450933</c:v>
                </c:pt>
                <c:pt idx="8">
                  <c:v>509524028.94588882</c:v>
                </c:pt>
                <c:pt idx="9">
                  <c:v>648953792.91621602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AB-466B-BE2B-F7F1DF82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306912"/>
        <c:axId val="336304992"/>
      </c:lineChart>
      <c:catAx>
        <c:axId val="3363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4992"/>
        <c:crosses val="autoZero"/>
        <c:auto val="1"/>
        <c:lblAlgn val="ctr"/>
        <c:lblOffset val="100"/>
        <c:noMultiLvlLbl val="0"/>
      </c:catAx>
      <c:valAx>
        <c:axId val="3363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382977</xdr:colOff>
      <xdr:row>1</xdr:row>
      <xdr:rowOff>21206</xdr:rowOff>
    </xdr:from>
    <xdr:to>
      <xdr:col>23</xdr:col>
      <xdr:colOff>530345</xdr:colOff>
      <xdr:row>28</xdr:row>
      <xdr:rowOff>39118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FB706-E6A6-1FC0-80DD-FCCB3E905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F13" sqref="F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545886518.23867655</v>
      </c>
      <c r="B2">
        <v>777076702.64843607</v>
      </c>
      <c r="D2">
        <f t="shared" ref="D2:D11" si="0">AVERAGE(A2:B2)</f>
        <v>661481610.44355631</v>
      </c>
    </row>
    <row r="3" spans="1:6" x14ac:dyDescent="0.25">
      <c r="A3">
        <v>508228721.08986032</v>
      </c>
      <c r="B3">
        <v>902179583.3433063</v>
      </c>
      <c r="D3">
        <f t="shared" si="0"/>
        <v>705204152.21658325</v>
      </c>
    </row>
    <row r="4" spans="1:6" x14ac:dyDescent="0.25">
      <c r="A4">
        <v>472845159.87652242</v>
      </c>
      <c r="B4">
        <v>1048139752.510308</v>
      </c>
      <c r="D4">
        <f t="shared" si="0"/>
        <v>760492456.19341516</v>
      </c>
    </row>
    <row r="5" spans="1:6" x14ac:dyDescent="0.25">
      <c r="A5">
        <v>437709524.92591959</v>
      </c>
      <c r="B5">
        <v>1223877877.9551761</v>
      </c>
      <c r="D5">
        <f t="shared" si="0"/>
        <v>830793701.44054782</v>
      </c>
    </row>
    <row r="6" spans="1:6" x14ac:dyDescent="0.25">
      <c r="A6">
        <v>402698196.9396286</v>
      </c>
      <c r="B6">
        <v>1437905479.398587</v>
      </c>
      <c r="D6">
        <f t="shared" si="0"/>
        <v>920301838.16910779</v>
      </c>
    </row>
    <row r="7" spans="1:6" x14ac:dyDescent="0.25">
      <c r="A7">
        <v>368115323.15745407</v>
      </c>
      <c r="B7">
        <v>1700247205.047471</v>
      </c>
      <c r="D7">
        <f t="shared" si="0"/>
        <v>1034181264.1024625</v>
      </c>
    </row>
    <row r="8" spans="1:6" x14ac:dyDescent="0.25">
      <c r="A8">
        <v>334354354.94743532</v>
      </c>
      <c r="B8">
        <v>2023368211.8516331</v>
      </c>
      <c r="D8">
        <f t="shared" si="0"/>
        <v>1178861283.3995342</v>
      </c>
    </row>
    <row r="9" spans="1:6" x14ac:dyDescent="0.25">
      <c r="A9">
        <v>301789669.78195262</v>
      </c>
      <c r="B9">
        <v>2423056152.5270262</v>
      </c>
      <c r="D9">
        <f t="shared" si="0"/>
        <v>1362422911.1544895</v>
      </c>
    </row>
    <row r="10" spans="1:6" x14ac:dyDescent="0.25">
      <c r="A10">
        <v>270737783.37456232</v>
      </c>
      <c r="B10">
        <v>2919476079.8360252</v>
      </c>
      <c r="D10">
        <f t="shared" si="0"/>
        <v>1595106931.6052938</v>
      </c>
    </row>
    <row r="11" spans="1:6" x14ac:dyDescent="0.25">
      <c r="A11">
        <v>241444983.2206544</v>
      </c>
      <c r="B11">
        <v>3538519113.1622062</v>
      </c>
      <c r="D11">
        <f t="shared" si="0"/>
        <v>1889982048.1914303</v>
      </c>
    </row>
    <row r="12" spans="1:6" x14ac:dyDescent="0.25">
      <c r="F12" t="s">
        <v>2</v>
      </c>
    </row>
    <row r="13" spans="1:6" x14ac:dyDescent="0.25">
      <c r="A13" s="4">
        <f>AVERAGE(A2:A11)</f>
        <v>388381023.55526656</v>
      </c>
      <c r="B13" s="4">
        <f>AVERAGE(B2:B11)</f>
        <v>1799384615.8280175</v>
      </c>
      <c r="C13" s="4"/>
      <c r="D13" s="4">
        <f>AVERAGE(D2:D11)</f>
        <v>1093882819.6916423</v>
      </c>
      <c r="E13" s="4"/>
      <c r="F13" s="4">
        <f>(B13-D13)/1.96</f>
        <v>359949895.98794651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A13" sqref="A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313184875.6168254</v>
      </c>
      <c r="B2">
        <v>397026393.63704878</v>
      </c>
      <c r="D2">
        <f t="shared" ref="D2:D11" si="0">AVERAGE(A2:B2)</f>
        <v>355105634.62693709</v>
      </c>
    </row>
    <row r="3" spans="1:6" x14ac:dyDescent="0.25">
      <c r="A3">
        <v>297220409.07591468</v>
      </c>
      <c r="B3">
        <v>418726778.96281028</v>
      </c>
      <c r="D3">
        <f t="shared" si="0"/>
        <v>357973594.01936245</v>
      </c>
    </row>
    <row r="4" spans="1:6" x14ac:dyDescent="0.25">
      <c r="A4">
        <v>284867436.90863109</v>
      </c>
      <c r="B4">
        <v>437276119.25633711</v>
      </c>
      <c r="D4">
        <f t="shared" si="0"/>
        <v>361071778.08248413</v>
      </c>
    </row>
    <row r="5" spans="1:6" x14ac:dyDescent="0.25">
      <c r="A5">
        <v>274333558.66616201</v>
      </c>
      <c r="B5">
        <v>454473782.72728658</v>
      </c>
      <c r="D5">
        <f t="shared" si="0"/>
        <v>364403670.6967243</v>
      </c>
    </row>
    <row r="6" spans="1:6" x14ac:dyDescent="0.25">
      <c r="A6">
        <v>264944390.69536629</v>
      </c>
      <c r="B6">
        <v>471001453.41055518</v>
      </c>
      <c r="D6">
        <f t="shared" si="0"/>
        <v>367972922.05296075</v>
      </c>
    </row>
    <row r="7" spans="1:6" x14ac:dyDescent="0.25">
      <c r="A7">
        <v>256363314.1406557</v>
      </c>
      <c r="B7">
        <v>487203392.12997788</v>
      </c>
      <c r="D7">
        <f t="shared" si="0"/>
        <v>371783353.13531679</v>
      </c>
    </row>
    <row r="8" spans="1:6" x14ac:dyDescent="0.25">
      <c r="A8">
        <v>248395387.0916445</v>
      </c>
      <c r="B8">
        <v>503282533.62184912</v>
      </c>
      <c r="D8">
        <f t="shared" si="0"/>
        <v>375838960.35674679</v>
      </c>
    </row>
    <row r="9" spans="1:6" x14ac:dyDescent="0.25">
      <c r="A9">
        <v>240916564.79568711</v>
      </c>
      <c r="B9">
        <v>519371275.90998042</v>
      </c>
      <c r="D9">
        <f t="shared" si="0"/>
        <v>380143920.35283375</v>
      </c>
    </row>
    <row r="10" spans="1:6" x14ac:dyDescent="0.25">
      <c r="A10">
        <v>233842532.2153208</v>
      </c>
      <c r="B10">
        <v>535562657.66348678</v>
      </c>
      <c r="D10">
        <f t="shared" si="0"/>
        <v>384702594.93940377</v>
      </c>
    </row>
    <row r="11" spans="1:6" x14ac:dyDescent="0.25">
      <c r="A11">
        <v>227113082.79582271</v>
      </c>
      <c r="B11">
        <v>551925989.68367708</v>
      </c>
      <c r="D11">
        <f t="shared" si="0"/>
        <v>389519536.23974991</v>
      </c>
    </row>
    <row r="12" spans="1:6" x14ac:dyDescent="0.25">
      <c r="F12" t="s">
        <v>2</v>
      </c>
    </row>
    <row r="13" spans="1:6" x14ac:dyDescent="0.25">
      <c r="A13" s="4">
        <f>AVERAGE(A2:A11)</f>
        <v>264118155.20020303</v>
      </c>
      <c r="B13" s="4">
        <f>AVERAGE(B2:B11)</f>
        <v>477585037.70030087</v>
      </c>
      <c r="C13" s="4"/>
      <c r="D13" s="4">
        <f>AVERAGE(D2:D11)</f>
        <v>370851596.45025194</v>
      </c>
      <c r="E13" s="4"/>
      <c r="F13" s="4">
        <f>(B13-D13)/1.96</f>
        <v>54455837.372473948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A13" sqref="A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549827474.98132467</v>
      </c>
      <c r="B2">
        <v>716469135.2208643</v>
      </c>
      <c r="D2">
        <f t="shared" ref="D2:D11" si="0">AVERAGE(A2:B2)</f>
        <v>633148305.10109448</v>
      </c>
    </row>
    <row r="3" spans="1:6" x14ac:dyDescent="0.25">
      <c r="A3">
        <v>534554254.60230482</v>
      </c>
      <c r="B3">
        <v>783694552.35479057</v>
      </c>
      <c r="D3">
        <f t="shared" si="0"/>
        <v>659124403.47854769</v>
      </c>
    </row>
    <row r="4" spans="1:6" x14ac:dyDescent="0.25">
      <c r="A4">
        <v>525451510.27095741</v>
      </c>
      <c r="B4">
        <v>847853208.89578772</v>
      </c>
      <c r="D4">
        <f t="shared" si="0"/>
        <v>686652359.58337259</v>
      </c>
    </row>
    <row r="5" spans="1:6" x14ac:dyDescent="0.25">
      <c r="A5">
        <v>519253104.41226047</v>
      </c>
      <c r="B5">
        <v>912407624.0362891</v>
      </c>
      <c r="D5">
        <f t="shared" si="0"/>
        <v>715830364.22427475</v>
      </c>
    </row>
    <row r="6" spans="1:6" x14ac:dyDescent="0.25">
      <c r="A6">
        <v>514757852.06144291</v>
      </c>
      <c r="B6">
        <v>978767909.04237306</v>
      </c>
      <c r="D6">
        <f t="shared" si="0"/>
        <v>746762880.55190802</v>
      </c>
    </row>
    <row r="7" spans="1:6" x14ac:dyDescent="0.25">
      <c r="A7">
        <v>511378303.13956457</v>
      </c>
      <c r="B7">
        <v>1047743797.031805</v>
      </c>
      <c r="D7">
        <f t="shared" si="0"/>
        <v>779561050.08568478</v>
      </c>
    </row>
    <row r="8" spans="1:6" x14ac:dyDescent="0.25">
      <c r="A8">
        <v>508780839.08917749</v>
      </c>
      <c r="B8">
        <v>1119905411.7408769</v>
      </c>
      <c r="D8">
        <f t="shared" si="0"/>
        <v>814343125.41502714</v>
      </c>
    </row>
    <row r="9" spans="1:6" x14ac:dyDescent="0.25">
      <c r="A9">
        <v>506757257.92836487</v>
      </c>
      <c r="B9">
        <v>1195712604.7760019</v>
      </c>
      <c r="D9">
        <f t="shared" si="0"/>
        <v>851234931.35218334</v>
      </c>
    </row>
    <row r="10" spans="1:6" x14ac:dyDescent="0.25">
      <c r="A10">
        <v>505168822.18110132</v>
      </c>
      <c r="B10">
        <v>1275571890.686219</v>
      </c>
      <c r="D10">
        <f t="shared" si="0"/>
        <v>890370356.43366015</v>
      </c>
    </row>
    <row r="11" spans="1:6" x14ac:dyDescent="0.25">
      <c r="A11">
        <v>503918489.12605762</v>
      </c>
      <c r="B11">
        <v>1359865264.464958</v>
      </c>
      <c r="D11">
        <f t="shared" si="0"/>
        <v>931891876.79550779</v>
      </c>
    </row>
    <row r="12" spans="1:6" x14ac:dyDescent="0.25">
      <c r="F12" t="s">
        <v>2</v>
      </c>
    </row>
    <row r="13" spans="1:6" x14ac:dyDescent="0.25">
      <c r="A13" s="4">
        <f>AVERAGE(A2:A11)</f>
        <v>517984790.77925557</v>
      </c>
      <c r="B13" s="4">
        <f>AVERAGE(B2:B11)</f>
        <v>1023799139.8249966</v>
      </c>
      <c r="C13" s="4"/>
      <c r="D13" s="4">
        <f>AVERAGE(D2:D11)</f>
        <v>770891965.30212605</v>
      </c>
      <c r="E13" s="4"/>
      <c r="F13" s="4">
        <f>(B13-D13)/1.96</f>
        <v>129034272.71575028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K5" sqref="K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570605073.91759527</v>
      </c>
      <c r="B2">
        <v>712021988.8411392</v>
      </c>
      <c r="D2">
        <f t="shared" ref="D2:D11" si="0">AVERAGE(A2:B2)</f>
        <v>641313531.37936723</v>
      </c>
    </row>
    <row r="3" spans="1:6" x14ac:dyDescent="0.25">
      <c r="A3">
        <v>546556435.55415082</v>
      </c>
      <c r="B3">
        <v>752572987.22965991</v>
      </c>
      <c r="D3">
        <f t="shared" si="0"/>
        <v>649564711.39190531</v>
      </c>
    </row>
    <row r="4" spans="1:6" x14ac:dyDescent="0.25">
      <c r="A4">
        <v>528200806.70503402</v>
      </c>
      <c r="B4">
        <v>787869354.32156754</v>
      </c>
      <c r="D4">
        <f t="shared" si="0"/>
        <v>658035080.51330078</v>
      </c>
    </row>
    <row r="5" spans="1:6" x14ac:dyDescent="0.25">
      <c r="A5">
        <v>512577784.94685572</v>
      </c>
      <c r="B5">
        <v>820877109.62421489</v>
      </c>
      <c r="D5">
        <f t="shared" si="0"/>
        <v>666727447.28553534</v>
      </c>
    </row>
    <row r="6" spans="1:6" x14ac:dyDescent="0.25">
      <c r="A6">
        <v>498585680.4414829</v>
      </c>
      <c r="B6">
        <v>852703034.15588212</v>
      </c>
      <c r="D6">
        <f t="shared" si="0"/>
        <v>675644357.29868245</v>
      </c>
    </row>
    <row r="7" spans="1:6" x14ac:dyDescent="0.25">
      <c r="A7">
        <v>485682110.78003752</v>
      </c>
      <c r="B7">
        <v>883894056.16960812</v>
      </c>
      <c r="D7">
        <f t="shared" si="0"/>
        <v>684788083.47482276</v>
      </c>
    </row>
    <row r="8" spans="1:6" x14ac:dyDescent="0.25">
      <c r="A8">
        <v>473558407.78072792</v>
      </c>
      <c r="B8">
        <v>914762825.56934071</v>
      </c>
      <c r="D8">
        <f t="shared" si="0"/>
        <v>694160616.67503428</v>
      </c>
    </row>
    <row r="9" spans="1:6" x14ac:dyDescent="0.25">
      <c r="A9">
        <v>462022405.12783933</v>
      </c>
      <c r="B9">
        <v>945504908.17209661</v>
      </c>
      <c r="D9">
        <f t="shared" si="0"/>
        <v>703763656.64996791</v>
      </c>
    </row>
    <row r="10" spans="1:6" x14ac:dyDescent="0.25">
      <c r="A10">
        <v>450946952.81506598</v>
      </c>
      <c r="B10">
        <v>976250253.89310932</v>
      </c>
      <c r="D10">
        <f t="shared" si="0"/>
        <v>713598603.35408759</v>
      </c>
    </row>
    <row r="11" spans="1:6" x14ac:dyDescent="0.25">
      <c r="A11">
        <v>440244172.18203962</v>
      </c>
      <c r="B11">
        <v>1007088925.104229</v>
      </c>
      <c r="D11">
        <f t="shared" si="0"/>
        <v>723666548.64313436</v>
      </c>
    </row>
    <row r="12" spans="1:6" x14ac:dyDescent="0.25">
      <c r="F12" t="s">
        <v>2</v>
      </c>
    </row>
    <row r="13" spans="1:6" x14ac:dyDescent="0.25">
      <c r="A13" s="4">
        <f>AVERAGE(A2:A11)</f>
        <v>496897983.02508289</v>
      </c>
      <c r="B13" s="4">
        <f>AVERAGE(B2:B11)</f>
        <v>865354544.30808473</v>
      </c>
      <c r="C13" s="4"/>
      <c r="D13" s="4">
        <f>AVERAGE(D2:D11)</f>
        <v>681126263.6665839</v>
      </c>
      <c r="E13" s="4"/>
      <c r="F13" s="4">
        <f>(B13-D13)/1.96</f>
        <v>93994020.735459611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A13" sqref="A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151905241.58038071</v>
      </c>
      <c r="B2">
        <v>239577204.00124341</v>
      </c>
      <c r="D2">
        <f t="shared" ref="D2:D11" si="0">AVERAGE(A2:B2)</f>
        <v>195741222.79081208</v>
      </c>
    </row>
    <row r="3" spans="1:6" x14ac:dyDescent="0.25">
      <c r="A3">
        <v>136461943.51271439</v>
      </c>
      <c r="B3">
        <v>288904036.91733217</v>
      </c>
      <c r="D3">
        <f t="shared" si="0"/>
        <v>212682990.21502328</v>
      </c>
    </row>
    <row r="4" spans="1:6" x14ac:dyDescent="0.25">
      <c r="A4">
        <v>114045264.6782148</v>
      </c>
      <c r="B4">
        <v>370114448.41798627</v>
      </c>
      <c r="D4">
        <f t="shared" si="0"/>
        <v>242079856.54810053</v>
      </c>
    </row>
    <row r="5" spans="1:6" x14ac:dyDescent="0.25">
      <c r="A5">
        <v>90252569.704395846</v>
      </c>
      <c r="B5">
        <v>458930348.94241369</v>
      </c>
      <c r="D5">
        <f t="shared" si="0"/>
        <v>274591459.32340479</v>
      </c>
    </row>
    <row r="6" spans="1:6" x14ac:dyDescent="0.25">
      <c r="A6">
        <v>65912540.766366363</v>
      </c>
      <c r="B6">
        <v>574056567.33353531</v>
      </c>
      <c r="D6">
        <f t="shared" si="0"/>
        <v>319984554.04995084</v>
      </c>
    </row>
    <row r="7" spans="1:6" x14ac:dyDescent="0.25">
      <c r="A7">
        <v>43127541.385232568</v>
      </c>
      <c r="B7">
        <v>705954510.04519236</v>
      </c>
      <c r="D7">
        <f t="shared" si="0"/>
        <v>374541025.71521246</v>
      </c>
    </row>
    <row r="8" spans="1:6" x14ac:dyDescent="0.25">
      <c r="A8">
        <v>23598513.649045091</v>
      </c>
      <c r="B8">
        <v>864360605.90164208</v>
      </c>
      <c r="D8">
        <f t="shared" si="0"/>
        <v>443979559.7753436</v>
      </c>
    </row>
    <row r="9" spans="1:6" x14ac:dyDescent="0.25">
      <c r="A9">
        <v>8988406.4510310721</v>
      </c>
      <c r="B9">
        <v>1045924562.597692</v>
      </c>
      <c r="D9">
        <f t="shared" si="0"/>
        <v>527456484.52436155</v>
      </c>
    </row>
    <row r="10" spans="1:6" x14ac:dyDescent="0.25">
      <c r="A10">
        <v>1001479.754194712</v>
      </c>
      <c r="B10">
        <v>1256328160.0249071</v>
      </c>
      <c r="D10">
        <f t="shared" si="0"/>
        <v>628664819.88955092</v>
      </c>
    </row>
    <row r="11" spans="1:6" x14ac:dyDescent="0.25">
      <c r="A11">
        <v>1278232.492485841</v>
      </c>
      <c r="B11">
        <v>1495074334.663096</v>
      </c>
      <c r="D11">
        <f t="shared" si="0"/>
        <v>748176283.57779086</v>
      </c>
    </row>
    <row r="12" spans="1:6" x14ac:dyDescent="0.25">
      <c r="F12" t="s">
        <v>2</v>
      </c>
    </row>
    <row r="13" spans="1:6" x14ac:dyDescent="0.25">
      <c r="A13" s="4">
        <f>AVERAGE(A2:A11)</f>
        <v>63657173.397406146</v>
      </c>
      <c r="B13" s="4">
        <f>AVERAGE(B2:B11)</f>
        <v>729922477.88450408</v>
      </c>
      <c r="C13" s="4"/>
      <c r="D13" s="4">
        <f>AVERAGE(D2:D11)</f>
        <v>396789825.64095503</v>
      </c>
      <c r="E13" s="4"/>
      <c r="F13" s="4">
        <f>(B13-D13)/1.96</f>
        <v>169965638.89976993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A13" sqref="A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211403260.01881739</v>
      </c>
      <c r="B2">
        <v>252940083.3603006</v>
      </c>
      <c r="D2">
        <f t="shared" ref="D2:D11" si="0">AVERAGE(A2:B2)</f>
        <v>232171671.68955898</v>
      </c>
    </row>
    <row r="3" spans="1:6" x14ac:dyDescent="0.25">
      <c r="A3">
        <v>208856647.25570789</v>
      </c>
      <c r="B3">
        <v>303936532.15251517</v>
      </c>
      <c r="D3">
        <f t="shared" si="0"/>
        <v>256396589.70411152</v>
      </c>
    </row>
    <row r="4" spans="1:6" x14ac:dyDescent="0.25">
      <c r="A4">
        <v>200898755.51546949</v>
      </c>
      <c r="B4">
        <v>363423456.81929737</v>
      </c>
      <c r="D4">
        <f t="shared" si="0"/>
        <v>282161106.16738343</v>
      </c>
    </row>
    <row r="5" spans="1:6" x14ac:dyDescent="0.25">
      <c r="A5">
        <v>188469763.52293101</v>
      </c>
      <c r="B5">
        <v>431025210.27462173</v>
      </c>
      <c r="D5">
        <f t="shared" si="0"/>
        <v>309747486.89877635</v>
      </c>
    </row>
    <row r="6" spans="1:6" x14ac:dyDescent="0.25">
      <c r="A6">
        <v>172308767.418744</v>
      </c>
      <c r="B6">
        <v>506523585.42713439</v>
      </c>
      <c r="D6">
        <f t="shared" si="0"/>
        <v>339416176.42293918</v>
      </c>
    </row>
    <row r="7" spans="1:6" x14ac:dyDescent="0.25">
      <c r="A7">
        <v>153059748.41270599</v>
      </c>
      <c r="B7">
        <v>589779079.34529769</v>
      </c>
      <c r="D7">
        <f t="shared" si="0"/>
        <v>371419413.87900186</v>
      </c>
    </row>
    <row r="8" spans="1:6" x14ac:dyDescent="0.25">
      <c r="A8">
        <v>131334057.0045342</v>
      </c>
      <c r="B8">
        <v>680693794.88016808</v>
      </c>
      <c r="D8">
        <f t="shared" si="0"/>
        <v>406013925.94235116</v>
      </c>
    </row>
    <row r="9" spans="1:6" x14ac:dyDescent="0.25">
      <c r="A9">
        <v>107756723.55536941</v>
      </c>
      <c r="B9">
        <v>779193758.36140025</v>
      </c>
      <c r="D9">
        <f t="shared" si="0"/>
        <v>443475240.95838481</v>
      </c>
    </row>
    <row r="10" spans="1:6" x14ac:dyDescent="0.25">
      <c r="A10">
        <v>83015401.090449125</v>
      </c>
      <c r="B10">
        <v>885219822.80726838</v>
      </c>
      <c r="D10">
        <f t="shared" si="0"/>
        <v>484117611.94885874</v>
      </c>
    </row>
    <row r="11" spans="1:6" x14ac:dyDescent="0.25">
      <c r="A11">
        <v>57933752.088722207</v>
      </c>
      <c r="B11">
        <v>998722648.43545532</v>
      </c>
      <c r="D11">
        <f t="shared" si="0"/>
        <v>528328200.26208878</v>
      </c>
    </row>
    <row r="12" spans="1:6" x14ac:dyDescent="0.25">
      <c r="F12" t="s">
        <v>2</v>
      </c>
    </row>
    <row r="13" spans="1:6" x14ac:dyDescent="0.25">
      <c r="A13" s="4">
        <f>AVERAGE(A2:A11)</f>
        <v>151503687.58834505</v>
      </c>
      <c r="B13" s="4">
        <f>AVERAGE(B2:B11)</f>
        <v>579145797.18634582</v>
      </c>
      <c r="C13" s="4"/>
      <c r="D13" s="4">
        <f>AVERAGE(D2:D11)</f>
        <v>365324742.38734549</v>
      </c>
      <c r="E13" s="4"/>
      <c r="F13" s="4">
        <f>(B13-D13)/1.96</f>
        <v>109092374.89744915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activeCell="A2" sqref="A2"/>
    </sheetView>
  </sheetViews>
  <sheetFormatPr defaultRowHeight="15" x14ac:dyDescent="0.25"/>
  <cols>
    <col min="1" max="1" width="12" bestFit="1" customWidth="1"/>
    <col min="2" max="2" width="11" bestFit="1" customWidth="1"/>
    <col min="4" max="4" width="12" bestFit="1" customWidth="1"/>
    <col min="6" max="6" width="12" bestFit="1" customWidth="1"/>
  </cols>
  <sheetData>
    <row r="1" spans="1:6" x14ac:dyDescent="0.25">
      <c r="A1" s="2" t="s">
        <v>0</v>
      </c>
      <c r="B1" s="2" t="s">
        <v>1</v>
      </c>
    </row>
    <row r="2" spans="1:6" x14ac:dyDescent="0.25">
      <c r="A2">
        <v>247261081.24249551</v>
      </c>
      <c r="B2">
        <v>668711630.97059476</v>
      </c>
      <c r="D2">
        <f t="shared" ref="D2:D11" si="0">AVERAGE(A2:B2)</f>
        <v>457986356.10654515</v>
      </c>
    </row>
    <row r="3" spans="1:6" x14ac:dyDescent="0.25">
      <c r="A3">
        <v>197768228.86693519</v>
      </c>
      <c r="B3">
        <v>810633988.61219323</v>
      </c>
      <c r="D3">
        <f t="shared" si="0"/>
        <v>504201108.73956418</v>
      </c>
    </row>
    <row r="4" spans="1:6" x14ac:dyDescent="0.25">
      <c r="A4">
        <v>174825189.23867741</v>
      </c>
      <c r="B4">
        <v>919869439.18637204</v>
      </c>
      <c r="D4">
        <f t="shared" si="0"/>
        <v>547347314.21252477</v>
      </c>
    </row>
    <row r="5" spans="1:6" x14ac:dyDescent="0.25">
      <c r="A5">
        <v>154608386.45836771</v>
      </c>
      <c r="B5">
        <v>1042625820.562032</v>
      </c>
      <c r="D5">
        <f t="shared" si="0"/>
        <v>598617103.51019979</v>
      </c>
    </row>
    <row r="6" spans="1:6" x14ac:dyDescent="0.25">
      <c r="A6">
        <v>134237518.08333459</v>
      </c>
      <c r="B6">
        <v>1175631224.0320301</v>
      </c>
      <c r="D6">
        <f t="shared" si="0"/>
        <v>654934371.05768239</v>
      </c>
    </row>
    <row r="7" spans="1:6" x14ac:dyDescent="0.25">
      <c r="A7">
        <v>115665666.1817659</v>
      </c>
      <c r="B7">
        <v>1313492788.0105519</v>
      </c>
      <c r="D7">
        <f t="shared" si="0"/>
        <v>714579227.09615886</v>
      </c>
    </row>
    <row r="8" spans="1:6" x14ac:dyDescent="0.25">
      <c r="A8">
        <v>98792333.830466211</v>
      </c>
      <c r="B8">
        <v>1458229675.7044909</v>
      </c>
      <c r="D8">
        <f t="shared" si="0"/>
        <v>778511004.76747859</v>
      </c>
    </row>
    <row r="9" spans="1:6" x14ac:dyDescent="0.25">
      <c r="A9">
        <v>83133859.166098088</v>
      </c>
      <c r="B9">
        <v>1611380998.66399</v>
      </c>
      <c r="D9">
        <f t="shared" si="0"/>
        <v>847257428.91504407</v>
      </c>
    </row>
    <row r="10" spans="1:6" x14ac:dyDescent="0.25">
      <c r="A10">
        <v>68628718.481991574</v>
      </c>
      <c r="B10">
        <v>1773063836.501817</v>
      </c>
      <c r="D10">
        <f t="shared" si="0"/>
        <v>920846277.49190426</v>
      </c>
    </row>
    <row r="11" spans="1:6" x14ac:dyDescent="0.25">
      <c r="A11">
        <v>55327890.063936763</v>
      </c>
      <c r="B11">
        <v>1943511990.9258599</v>
      </c>
      <c r="D11">
        <f t="shared" si="0"/>
        <v>999419940.49489832</v>
      </c>
    </row>
    <row r="12" spans="1:6" x14ac:dyDescent="0.25">
      <c r="F12" t="s">
        <v>2</v>
      </c>
    </row>
    <row r="13" spans="1:6" x14ac:dyDescent="0.25">
      <c r="A13" s="4">
        <f>AVERAGE(A2:A11)</f>
        <v>133024887.16140687</v>
      </c>
      <c r="B13" s="4">
        <f>AVERAGE(B2:B11)</f>
        <v>1271715139.3169932</v>
      </c>
      <c r="C13" s="4"/>
      <c r="D13" s="4">
        <f>AVERAGE(D2:D11)</f>
        <v>702370013.2392</v>
      </c>
      <c r="E13" s="4"/>
      <c r="F13" s="4">
        <f>(B13-D13)/1.96</f>
        <v>290482207.18254757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selection activeCell="D2" sqref="D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15606210.17351607</v>
      </c>
      <c r="B2">
        <v>39449727.696229212</v>
      </c>
      <c r="D2">
        <f t="shared" ref="D2:D11" si="0">AVERAGE(A2:B2)</f>
        <v>27527968.934872642</v>
      </c>
    </row>
    <row r="3" spans="1:6" x14ac:dyDescent="0.25">
      <c r="A3">
        <v>11550680.10724384</v>
      </c>
      <c r="B3">
        <v>47723828.221244819</v>
      </c>
      <c r="D3">
        <f t="shared" si="0"/>
        <v>29637254.164244331</v>
      </c>
    </row>
    <row r="4" spans="1:6" x14ac:dyDescent="0.25">
      <c r="A4">
        <v>8463058.944489466</v>
      </c>
      <c r="B4">
        <v>55849318.35336896</v>
      </c>
      <c r="D4">
        <f t="shared" si="0"/>
        <v>32156188.648929212</v>
      </c>
    </row>
    <row r="5" spans="1:6" x14ac:dyDescent="0.25">
      <c r="A5">
        <v>5946849.4759663558</v>
      </c>
      <c r="B5">
        <v>64308511.223516516</v>
      </c>
      <c r="D5">
        <f t="shared" si="0"/>
        <v>35127680.349741437</v>
      </c>
    </row>
    <row r="6" spans="1:6" x14ac:dyDescent="0.25">
      <c r="A6">
        <v>3887788.5696554538</v>
      </c>
      <c r="B6">
        <v>73301485.885334834</v>
      </c>
      <c r="D6">
        <f t="shared" si="0"/>
        <v>38594637.227495141</v>
      </c>
    </row>
    <row r="7" spans="1:6" x14ac:dyDescent="0.25">
      <c r="A7">
        <v>2254283.6558757699</v>
      </c>
      <c r="B7">
        <v>82945650.8301332</v>
      </c>
      <c r="D7">
        <f t="shared" si="0"/>
        <v>42599967.243004486</v>
      </c>
    </row>
    <row r="8" spans="1:6" x14ac:dyDescent="0.25">
      <c r="A8">
        <v>1048378.729640061</v>
      </c>
      <c r="B8">
        <v>93324777.984527171</v>
      </c>
      <c r="D8">
        <f t="shared" si="0"/>
        <v>47186578.357083619</v>
      </c>
    </row>
    <row r="9" spans="1:6" x14ac:dyDescent="0.25">
      <c r="A9">
        <v>288418.11666728382</v>
      </c>
      <c r="B9">
        <v>104506338.9444261</v>
      </c>
      <c r="D9">
        <f t="shared" si="0"/>
        <v>52397378.530546695</v>
      </c>
    </row>
    <row r="10" spans="1:6" x14ac:dyDescent="0.25">
      <c r="A10">
        <v>1567.8178362311489</v>
      </c>
      <c r="B10">
        <v>116548983.6305794</v>
      </c>
      <c r="D10">
        <f t="shared" si="0"/>
        <v>58275275.724207811</v>
      </c>
    </row>
    <row r="11" spans="1:6" x14ac:dyDescent="0.25">
      <c r="A11">
        <v>220145.98263171711</v>
      </c>
      <c r="B11">
        <v>129506209.81513061</v>
      </c>
      <c r="D11">
        <f t="shared" si="0"/>
        <v>64863177.89888116</v>
      </c>
    </row>
    <row r="12" spans="1:6" x14ac:dyDescent="0.25">
      <c r="F12" t="s">
        <v>2</v>
      </c>
    </row>
    <row r="13" spans="1:6" x14ac:dyDescent="0.25">
      <c r="A13" s="4">
        <f>AVERAGE(A2:A11)</f>
        <v>4926738.1573522259</v>
      </c>
      <c r="B13" s="4">
        <f>AVERAGE(B2:B11)</f>
        <v>80746483.258449078</v>
      </c>
      <c r="C13" s="4"/>
      <c r="D13" s="4">
        <f>AVERAGE(D2:D11)</f>
        <v>42836610.707900658</v>
      </c>
      <c r="E13" s="4"/>
      <c r="F13" s="4">
        <f>(B13-D13)/1.96</f>
        <v>19341771.709463481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activeCell="B13" sqref="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190948844.07116279</v>
      </c>
      <c r="B2">
        <v>560668762.91228616</v>
      </c>
      <c r="D2">
        <f t="shared" ref="D2:D11" si="0">AVERAGE(A2:B2)</f>
        <v>375808803.49172449</v>
      </c>
    </row>
    <row r="3" spans="1:6" x14ac:dyDescent="0.25">
      <c r="A3">
        <v>158982392.35144421</v>
      </c>
      <c r="B3">
        <v>656639443.69823086</v>
      </c>
      <c r="D3">
        <f t="shared" si="0"/>
        <v>407810918.02483755</v>
      </c>
    </row>
    <row r="4" spans="1:6" x14ac:dyDescent="0.25">
      <c r="A4">
        <v>151311679.9446007</v>
      </c>
      <c r="B4">
        <v>734748895.59781075</v>
      </c>
      <c r="D4">
        <f t="shared" si="0"/>
        <v>443030287.77120572</v>
      </c>
    </row>
    <row r="5" spans="1:6" x14ac:dyDescent="0.25">
      <c r="A5">
        <v>144568843.93537959</v>
      </c>
      <c r="B5">
        <v>833845846.65265334</v>
      </c>
      <c r="D5">
        <f t="shared" si="0"/>
        <v>489207345.29401648</v>
      </c>
    </row>
    <row r="6" spans="1:6" x14ac:dyDescent="0.25">
      <c r="A6">
        <v>135936333.51880071</v>
      </c>
      <c r="B6">
        <v>935183993.09773898</v>
      </c>
      <c r="D6">
        <f t="shared" si="0"/>
        <v>535560163.30826986</v>
      </c>
    </row>
    <row r="7" spans="1:6" x14ac:dyDescent="0.25">
      <c r="A7">
        <v>128974444.51362661</v>
      </c>
      <c r="B7">
        <v>1035702010.497537</v>
      </c>
      <c r="D7">
        <f t="shared" si="0"/>
        <v>582338227.50558186</v>
      </c>
    </row>
    <row r="8" spans="1:6" x14ac:dyDescent="0.25">
      <c r="A8">
        <v>123252406.44158401</v>
      </c>
      <c r="B8">
        <v>1140865505.156076</v>
      </c>
      <c r="D8">
        <f t="shared" si="0"/>
        <v>632058955.79883003</v>
      </c>
    </row>
    <row r="9" spans="1:6" x14ac:dyDescent="0.25">
      <c r="A9">
        <v>117854670.1636892</v>
      </c>
      <c r="B9">
        <v>1250573329.867188</v>
      </c>
      <c r="D9">
        <f t="shared" si="0"/>
        <v>684214000.01543856</v>
      </c>
    </row>
    <row r="10" spans="1:6" x14ac:dyDescent="0.25">
      <c r="A10">
        <v>112790961.9868522</v>
      </c>
      <c r="B10">
        <v>1363909117.3884921</v>
      </c>
      <c r="D10">
        <f t="shared" si="0"/>
        <v>738350039.68767214</v>
      </c>
    </row>
    <row r="11" spans="1:6" x14ac:dyDescent="0.25">
      <c r="A11">
        <v>108100068.2739616</v>
      </c>
      <c r="B11">
        <v>1481295234.0425</v>
      </c>
      <c r="D11">
        <f t="shared" si="0"/>
        <v>794697651.15823078</v>
      </c>
    </row>
    <row r="12" spans="1:6" x14ac:dyDescent="0.25">
      <c r="F12" t="s">
        <v>2</v>
      </c>
    </row>
    <row r="13" spans="1:6" x14ac:dyDescent="0.25">
      <c r="A13" s="4">
        <f>AVERAGE(A2:A11)</f>
        <v>137272064.52011016</v>
      </c>
      <c r="B13" s="4">
        <f>AVERAGE(B2:B11)</f>
        <v>999343213.89105129</v>
      </c>
      <c r="C13" s="4"/>
      <c r="D13" s="4">
        <f>AVERAGE(D2:D11)</f>
        <v>568307639.20558083</v>
      </c>
      <c r="E13" s="4"/>
      <c r="F13" s="4">
        <f>(B13-D13)/1.96</f>
        <v>219916109.53340331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selection activeCell="A13" sqref="A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313064095.43054122</v>
      </c>
      <c r="B2">
        <v>449867903.82097661</v>
      </c>
      <c r="D2">
        <f t="shared" ref="D2:D11" si="0">AVERAGE(A2:B2)</f>
        <v>381465999.62575889</v>
      </c>
    </row>
    <row r="3" spans="1:6" x14ac:dyDescent="0.25">
      <c r="A3">
        <v>284172162.19225121</v>
      </c>
      <c r="B3">
        <v>494109545.4175849</v>
      </c>
      <c r="D3">
        <f t="shared" si="0"/>
        <v>389140853.80491805</v>
      </c>
    </row>
    <row r="4" spans="1:6" x14ac:dyDescent="0.25">
      <c r="A4">
        <v>236929106.38589969</v>
      </c>
      <c r="B4">
        <v>551227913.124102</v>
      </c>
      <c r="D4">
        <f t="shared" si="0"/>
        <v>394078509.75500083</v>
      </c>
    </row>
    <row r="5" spans="1:6" x14ac:dyDescent="0.25">
      <c r="A5">
        <v>204226774.46613339</v>
      </c>
      <c r="B5">
        <v>593697094.67696595</v>
      </c>
      <c r="D5">
        <f t="shared" si="0"/>
        <v>398961934.57154965</v>
      </c>
    </row>
    <row r="6" spans="1:6" x14ac:dyDescent="0.25">
      <c r="A6">
        <v>178608432.22487739</v>
      </c>
      <c r="B6">
        <v>628975015.5441829</v>
      </c>
      <c r="D6">
        <f t="shared" si="0"/>
        <v>403791723.88453013</v>
      </c>
    </row>
    <row r="7" spans="1:6" x14ac:dyDescent="0.25">
      <c r="A7">
        <v>157442189.9524743</v>
      </c>
      <c r="B7">
        <v>659694743.61152732</v>
      </c>
      <c r="D7">
        <f t="shared" si="0"/>
        <v>408568466.78200078</v>
      </c>
    </row>
    <row r="8" spans="1:6" x14ac:dyDescent="0.25">
      <c r="A8">
        <v>139425132.9823041</v>
      </c>
      <c r="B8">
        <v>687160358.78162241</v>
      </c>
      <c r="D8">
        <f t="shared" si="0"/>
        <v>413292745.88196325</v>
      </c>
    </row>
    <row r="9" spans="1:6" x14ac:dyDescent="0.25">
      <c r="A9">
        <v>123796046.04026081</v>
      </c>
      <c r="B9">
        <v>712134228.76658809</v>
      </c>
      <c r="D9">
        <f t="shared" si="0"/>
        <v>417965137.40342444</v>
      </c>
    </row>
    <row r="10" spans="1:6" x14ac:dyDescent="0.25">
      <c r="A10">
        <v>110062834.5576396</v>
      </c>
      <c r="B10">
        <v>735109587.91571593</v>
      </c>
      <c r="D10">
        <f t="shared" si="0"/>
        <v>422586211.23667777</v>
      </c>
    </row>
    <row r="11" spans="1:6" x14ac:dyDescent="0.25">
      <c r="A11">
        <v>97884695.500129983</v>
      </c>
      <c r="B11">
        <v>756428366.52549577</v>
      </c>
      <c r="D11">
        <f t="shared" si="0"/>
        <v>427156531.01281285</v>
      </c>
    </row>
    <row r="12" spans="1:6" x14ac:dyDescent="0.25">
      <c r="F12" t="s">
        <v>2</v>
      </c>
    </row>
    <row r="13" spans="1:6" x14ac:dyDescent="0.25">
      <c r="A13" s="4">
        <f>AVERAGE(A2:A11)</f>
        <v>184561146.97325116</v>
      </c>
      <c r="B13" s="4">
        <f>AVERAGE(B2:B11)</f>
        <v>626840475.8184762</v>
      </c>
      <c r="C13" s="4"/>
      <c r="D13" s="4">
        <f>AVERAGE(D2:D11)</f>
        <v>405700811.39586365</v>
      </c>
      <c r="E13" s="4"/>
      <c r="F13" s="4">
        <f>(B13-D13)/1.96</f>
        <v>112826359.39929211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>
      <selection activeCell="A13" sqref="A13"/>
    </sheetView>
  </sheetViews>
  <sheetFormatPr defaultRowHeight="15" x14ac:dyDescent="0.25"/>
  <sheetData>
    <row r="1" spans="1:6" x14ac:dyDescent="0.25">
      <c r="A1" s="3" t="s">
        <v>0</v>
      </c>
      <c r="B1" s="3" t="s">
        <v>1</v>
      </c>
    </row>
    <row r="2" spans="1:6" x14ac:dyDescent="0.25">
      <c r="A2">
        <v>263149726.4973551</v>
      </c>
      <c r="B2">
        <v>335380421.76351452</v>
      </c>
      <c r="D2">
        <f t="shared" ref="D2:D11" si="0">AVERAGE(A2:B2)</f>
        <v>299265074.13043481</v>
      </c>
    </row>
    <row r="3" spans="1:6" x14ac:dyDescent="0.25">
      <c r="A3">
        <v>260202444.8283492</v>
      </c>
      <c r="B3">
        <v>362352073.69339001</v>
      </c>
      <c r="D3">
        <f t="shared" si="0"/>
        <v>311277259.26086962</v>
      </c>
    </row>
    <row r="4" spans="1:6" x14ac:dyDescent="0.25">
      <c r="A4">
        <v>260735827.35779801</v>
      </c>
      <c r="B4">
        <v>385843061.42481089</v>
      </c>
      <c r="D4">
        <f t="shared" si="0"/>
        <v>323289444.39130443</v>
      </c>
    </row>
    <row r="5" spans="1:6" x14ac:dyDescent="0.25">
      <c r="A5">
        <v>263070934.2555798</v>
      </c>
      <c r="B5">
        <v>407532324.78789872</v>
      </c>
      <c r="D5">
        <f t="shared" si="0"/>
        <v>335301629.52173924</v>
      </c>
    </row>
    <row r="6" spans="1:6" x14ac:dyDescent="0.25">
      <c r="A6">
        <v>266557442.3135716</v>
      </c>
      <c r="B6">
        <v>428070186.99077648</v>
      </c>
      <c r="D6">
        <f t="shared" si="0"/>
        <v>347313814.65217406</v>
      </c>
    </row>
    <row r="7" spans="1:6" x14ac:dyDescent="0.25">
      <c r="A7">
        <v>270861826.19833142</v>
      </c>
      <c r="B7">
        <v>447790173.36688638</v>
      </c>
      <c r="D7">
        <f t="shared" si="0"/>
        <v>359325999.78260887</v>
      </c>
    </row>
    <row r="8" spans="1:6" x14ac:dyDescent="0.25">
      <c r="A8">
        <v>275785956.5632695</v>
      </c>
      <c r="B8">
        <v>466890413.26281792</v>
      </c>
      <c r="D8">
        <f t="shared" si="0"/>
        <v>371338184.91304374</v>
      </c>
    </row>
    <row r="9" spans="1:6" x14ac:dyDescent="0.25">
      <c r="A9">
        <v>281200741.17843771</v>
      </c>
      <c r="B9">
        <v>485499998.90851933</v>
      </c>
      <c r="D9">
        <f t="shared" si="0"/>
        <v>383350370.04347849</v>
      </c>
    </row>
    <row r="10" spans="1:6" x14ac:dyDescent="0.25">
      <c r="A10">
        <v>287016512.27467412</v>
      </c>
      <c r="B10">
        <v>503708598.07315248</v>
      </c>
      <c r="D10">
        <f t="shared" si="0"/>
        <v>395362555.1739133</v>
      </c>
    </row>
    <row r="11" spans="1:6" x14ac:dyDescent="0.25">
      <c r="A11">
        <v>293167983.29504508</v>
      </c>
      <c r="B11">
        <v>521581497.31365108</v>
      </c>
      <c r="D11">
        <f t="shared" si="0"/>
        <v>407374740.30434811</v>
      </c>
    </row>
    <row r="12" spans="1:6" x14ac:dyDescent="0.25">
      <c r="F12" t="s">
        <v>2</v>
      </c>
    </row>
    <row r="13" spans="1:6" x14ac:dyDescent="0.25">
      <c r="A13" s="4">
        <f>AVERAGE(A2:A11)</f>
        <v>272174939.47624111</v>
      </c>
      <c r="B13" s="4">
        <f>AVERAGE(B2:B11)</f>
        <v>434464874.95854175</v>
      </c>
      <c r="C13" s="4"/>
      <c r="D13" s="4">
        <f>AVERAGE(D2:D11)</f>
        <v>353319907.21739149</v>
      </c>
      <c r="E13" s="4"/>
      <c r="F13" s="4">
        <f>(B13-D13)/1.96</f>
        <v>41400493.745484829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selection activeCell="D2" sqref="D2"/>
    </sheetView>
  </sheetViews>
  <sheetFormatPr defaultRowHeight="15" x14ac:dyDescent="0.25"/>
  <sheetData>
    <row r="1" spans="1:6" x14ac:dyDescent="0.25">
      <c r="A1" s="3" t="s">
        <v>0</v>
      </c>
      <c r="B1" s="3" t="s">
        <v>1</v>
      </c>
    </row>
    <row r="2" spans="1:6" x14ac:dyDescent="0.25">
      <c r="A2">
        <v>25915770.51731832</v>
      </c>
      <c r="B2">
        <v>31963266.345840931</v>
      </c>
      <c r="D2">
        <f t="shared" ref="D2:D11" si="0">AVERAGE(A2:B2)</f>
        <v>28939518.431579627</v>
      </c>
    </row>
    <row r="3" spans="1:6" x14ac:dyDescent="0.25">
      <c r="A3">
        <v>32672389.333723851</v>
      </c>
      <c r="B3">
        <v>39307452.706052743</v>
      </c>
      <c r="D3">
        <f t="shared" si="0"/>
        <v>35989921.019888297</v>
      </c>
    </row>
    <row r="4" spans="1:6" x14ac:dyDescent="0.25">
      <c r="A4">
        <v>35258738.193920977</v>
      </c>
      <c r="B4">
        <v>46720358.840827107</v>
      </c>
      <c r="D4">
        <f t="shared" si="0"/>
        <v>40989548.517374039</v>
      </c>
    </row>
    <row r="5" spans="1:6" x14ac:dyDescent="0.25">
      <c r="A5">
        <v>39200401.038449273</v>
      </c>
      <c r="B5">
        <v>52982966.643657863</v>
      </c>
      <c r="D5">
        <f t="shared" si="0"/>
        <v>46091683.841053568</v>
      </c>
    </row>
    <row r="6" spans="1:6" x14ac:dyDescent="0.25">
      <c r="A6">
        <v>44801882.931156076</v>
      </c>
      <c r="B6">
        <v>62638826.957431652</v>
      </c>
      <c r="D6">
        <f t="shared" si="0"/>
        <v>53720354.944293864</v>
      </c>
    </row>
    <row r="7" spans="1:6" x14ac:dyDescent="0.25">
      <c r="A7">
        <v>47468482.931389228</v>
      </c>
      <c r="B7">
        <v>69521043.214136243</v>
      </c>
      <c r="D7">
        <f t="shared" si="0"/>
        <v>58494763.072762735</v>
      </c>
    </row>
    <row r="8" spans="1:6" x14ac:dyDescent="0.25">
      <c r="A8">
        <v>53936392.052826867</v>
      </c>
      <c r="B8">
        <v>79895884.902370557</v>
      </c>
      <c r="D8">
        <f t="shared" si="0"/>
        <v>66916138.477598712</v>
      </c>
    </row>
    <row r="9" spans="1:6" x14ac:dyDescent="0.25">
      <c r="A9">
        <v>57364080.2476006</v>
      </c>
      <c r="B9">
        <v>88600252.548571095</v>
      </c>
      <c r="D9">
        <f t="shared" si="0"/>
        <v>72982166.398085847</v>
      </c>
    </row>
    <row r="10" spans="1:6" x14ac:dyDescent="0.25">
      <c r="A10">
        <v>63252402.675496884</v>
      </c>
      <c r="B10">
        <v>98899565.376091331</v>
      </c>
      <c r="D10">
        <f t="shared" si="0"/>
        <v>81075984.025794104</v>
      </c>
    </row>
    <row r="11" spans="1:6" x14ac:dyDescent="0.25">
      <c r="A11">
        <v>68321695.588667631</v>
      </c>
      <c r="B11">
        <v>109568223.25169291</v>
      </c>
      <c r="D11">
        <f t="shared" si="0"/>
        <v>88944959.420180261</v>
      </c>
    </row>
    <row r="12" spans="1:6" x14ac:dyDescent="0.25">
      <c r="F12" t="s">
        <v>2</v>
      </c>
    </row>
    <row r="13" spans="1:6" x14ac:dyDescent="0.25">
      <c r="A13" s="4">
        <f>AVERAGE(A2:A11)</f>
        <v>46819223.551054969</v>
      </c>
      <c r="B13" s="4">
        <f>AVERAGE(B2:B11)</f>
        <v>68009784.078667253</v>
      </c>
      <c r="C13" s="4"/>
      <c r="D13" s="4">
        <f>AVERAGE(D2:D11)</f>
        <v>57414503.814861104</v>
      </c>
      <c r="E13" s="4"/>
      <c r="F13" s="4">
        <f>(B13-D13)/1.96</f>
        <v>5405755.2366357902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tabSelected="1" zoomScale="106" zoomScaleNormal="106" workbookViewId="0">
      <selection activeCell="K28" sqref="A28:K40"/>
    </sheetView>
  </sheetViews>
  <sheetFormatPr defaultRowHeight="15" x14ac:dyDescent="0.25"/>
  <cols>
    <col min="2" max="11" width="12" bestFit="1" customWidth="1"/>
    <col min="13" max="13" width="12.85546875" bestFit="1" customWidth="1"/>
  </cols>
  <sheetData>
    <row r="1" spans="1:24" x14ac:dyDescent="0.25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4" x14ac:dyDescent="0.25">
      <c r="A2" s="5" t="s">
        <v>4</v>
      </c>
      <c r="B2" s="4">
        <f ca="1">_xlfn.NORM.INV(RAND(),Measles!$D2,Measles!$F$13)</f>
        <v>327232858.03333443</v>
      </c>
      <c r="C2" s="4">
        <f ca="1">_xlfn.NORM.INV(RAND(),Measles!$D3,Measles!$F$13)</f>
        <v>649944236.34959435</v>
      </c>
      <c r="D2" s="4">
        <f ca="1">_xlfn.NORM.INV(RAND(),Measles!$D4,Measles!$F$13)</f>
        <v>560302998.90472198</v>
      </c>
      <c r="E2" s="4">
        <f ca="1">_xlfn.NORM.INV(RAND(),Measles!$D5,Measles!$F$13)</f>
        <v>1264474654.9508467</v>
      </c>
      <c r="F2" s="4">
        <f ca="1">_xlfn.NORM.INV(RAND(),Measles!$D6,Measles!$F$13)</f>
        <v>510588894.16854215</v>
      </c>
      <c r="G2" s="4">
        <f ca="1">_xlfn.NORM.INV(RAND(),Measles!$D7,Measles!$F$13)</f>
        <v>479167335.02357817</v>
      </c>
      <c r="H2" s="4">
        <f ca="1">_xlfn.NORM.INV(RAND(),Measles!$D8,Measles!$F$13)</f>
        <v>976065417.33206522</v>
      </c>
      <c r="I2" s="4">
        <f ca="1">_xlfn.NORM.INV(RAND(),Measles!$D9,Measles!$F$13)</f>
        <v>1321623604.6141024</v>
      </c>
      <c r="J2" s="4">
        <f ca="1">_xlfn.NORM.INV(RAND(),Measles!$D10,Measles!$F$13)</f>
        <v>879952390.0379113</v>
      </c>
      <c r="K2" s="4">
        <f ca="1">_xlfn.NORM.INV(RAND(),Measles!$D11,Measles!$F$13)</f>
        <v>1197020211.462297</v>
      </c>
    </row>
    <row r="3" spans="1:24" x14ac:dyDescent="0.25">
      <c r="A3" s="5" t="s">
        <v>5</v>
      </c>
      <c r="B3" s="4">
        <f ca="1">_xlfn.NORM.INV(RAND(),Mumps!$D2,Mumps!$F$13)</f>
        <v>30566966.94629205</v>
      </c>
      <c r="C3" s="4">
        <f ca="1">_xlfn.NORM.INV(RAND(),Mumps!$D3,Mumps!$F$13)</f>
        <v>29027711.288915388</v>
      </c>
      <c r="D3" s="4">
        <f ca="1">_xlfn.NORM.INV(RAND(),Mumps!$D4,Mumps!$F$13)</f>
        <v>32270669.644030765</v>
      </c>
      <c r="E3" s="4">
        <f ca="1">_xlfn.NORM.INV(RAND(),Mumps!$D5,Mumps!$F$13)</f>
        <v>4526348.6193893775</v>
      </c>
      <c r="F3" s="4">
        <f ca="1">_xlfn.NORM.INV(RAND(),Mumps!$D6,Mumps!$F$13)</f>
        <v>37483032.037034526</v>
      </c>
      <c r="G3" s="4">
        <f ca="1">_xlfn.NORM.INV(RAND(),Mumps!$D7,Mumps!$F$13)</f>
        <v>42021681.512458093</v>
      </c>
      <c r="H3" s="4">
        <f ca="1">_xlfn.NORM.INV(RAND(),Mumps!$D8,Mumps!$F$13)</f>
        <v>34544390.715838939</v>
      </c>
      <c r="I3" s="4">
        <f ca="1">_xlfn.NORM.INV(RAND(),Mumps!$D9,Mumps!$F$13)</f>
        <v>70179578.126479328</v>
      </c>
      <c r="J3" s="4">
        <f ca="1">_xlfn.NORM.INV(RAND(),Mumps!$D10,Mumps!$F$13)</f>
        <v>54616437.796520501</v>
      </c>
      <c r="K3" s="4">
        <f ca="1">_xlfn.NORM.INV(RAND(),Mumps!$D11,Mumps!$F$13)</f>
        <v>59994176.318614952</v>
      </c>
    </row>
    <row r="4" spans="1:24" x14ac:dyDescent="0.25">
      <c r="A4" s="5" t="s">
        <v>6</v>
      </c>
      <c r="B4" s="4">
        <f ca="1">_xlfn.NORM.INV(RAND(),Rubella!$D2,Rubella!$F$13)</f>
        <v>354205415.20987809</v>
      </c>
      <c r="C4" s="4">
        <f ca="1">_xlfn.NORM.INV(RAND(),Rubella!$D3,Rubella!$F$13)</f>
        <v>236954804.18550211</v>
      </c>
      <c r="D4" s="4">
        <f ca="1">_xlfn.NORM.INV(RAND(),Rubella!$D4,Rubella!$F$13)</f>
        <v>616159579.41819811</v>
      </c>
      <c r="E4" s="4">
        <f ca="1">_xlfn.NORM.INV(RAND(),Rubella!$D5,Rubella!$F$13)</f>
        <v>580507730.72273779</v>
      </c>
      <c r="F4" s="4">
        <f ca="1">_xlfn.NORM.INV(RAND(),Rubella!$D6,Rubella!$F$13)</f>
        <v>303527153.47317624</v>
      </c>
      <c r="G4" s="4">
        <f ca="1">_xlfn.NORM.INV(RAND(),Rubella!$D7,Rubella!$F$13)</f>
        <v>732016026.1027863</v>
      </c>
      <c r="H4" s="4">
        <f ca="1">_xlfn.NORM.INV(RAND(),Rubella!$D8,Rubella!$F$13)</f>
        <v>594427335.00427151</v>
      </c>
      <c r="I4" s="4">
        <f ca="1">_xlfn.NORM.INV(RAND(),Rubella!$D9,Rubella!$F$13)</f>
        <v>684905075.0431416</v>
      </c>
      <c r="J4" s="4">
        <f ca="1">_xlfn.NORM.INV(RAND(),Rubella!$D10,Rubella!$F$13)</f>
        <v>667175195.82137167</v>
      </c>
      <c r="K4" s="4">
        <f ca="1">_xlfn.NORM.INV(RAND(),Rubella!$D11,Rubella!$F$13)</f>
        <v>850171021.21135867</v>
      </c>
    </row>
    <row r="5" spans="1:24" x14ac:dyDescent="0.25">
      <c r="A5" s="5" t="s">
        <v>7</v>
      </c>
      <c r="B5" s="4">
        <f ca="1">_xlfn.NORM.INV(RAND(),Diphtheria!$D2,Diphtheria!$F$13)</f>
        <v>285756801.16792679</v>
      </c>
      <c r="C5" s="4">
        <f ca="1">_xlfn.NORM.INV(RAND(),Diphtheria!$D3,Diphtheria!$F$13)</f>
        <v>654796722.74096465</v>
      </c>
      <c r="D5" s="4">
        <f ca="1">_xlfn.NORM.INV(RAND(),Diphtheria!$D4,Diphtheria!$F$13)</f>
        <v>443540455.95709848</v>
      </c>
      <c r="E5" s="4">
        <f ca="1">_xlfn.NORM.INV(RAND(),Diphtheria!$D5,Diphtheria!$F$13)</f>
        <v>709805108.61953497</v>
      </c>
      <c r="F5" s="4">
        <f ca="1">_xlfn.NORM.INV(RAND(),Diphtheria!$D6,Diphtheria!$F$13)</f>
        <v>830070687.12944019</v>
      </c>
      <c r="G5" s="4">
        <f ca="1">_xlfn.NORM.INV(RAND(),Diphtheria!$D8,Diphtheria!$F$13)</f>
        <v>1730562276.7648411</v>
      </c>
      <c r="H5" s="4">
        <f ca="1">_xlfn.NORM.INV(RAND(),Diphtheria!$D9,Diphtheria!$F$13)</f>
        <v>1127085574.637809</v>
      </c>
      <c r="I5" s="4">
        <f ca="1">_xlfn.NORM.INV(RAND(),Diphtheria!$D10,Diphtheria!$F$13)</f>
        <v>1606166862.0387561</v>
      </c>
      <c r="J5" s="4">
        <f ca="1">_xlfn.NORM.INV(RAND(),Diphtheria!$D10,Diphtheria!$F$13)</f>
        <v>1246392508.9811087</v>
      </c>
      <c r="K5" s="4">
        <f ca="1">_xlfn.NORM.INV(RAND(),Diphtheria!$D11,Diphtheria!$F$13)</f>
        <v>2036109357.9502878</v>
      </c>
    </row>
    <row r="6" spans="1:24" x14ac:dyDescent="0.25">
      <c r="A6" s="5" t="s">
        <v>8</v>
      </c>
      <c r="B6" s="4">
        <f ca="1">_xlfn.NORM.INV(RAND(),Tetanus!$D2,Tetanus!$F$13)</f>
        <v>389671648.55273438</v>
      </c>
      <c r="C6" s="4">
        <f ca="1">_xlfn.NORM.INV(RAND(),Tetanus!$D3,Tetanus!$F$13)</f>
        <v>853453478.34760988</v>
      </c>
      <c r="D6" s="4">
        <f ca="1">_xlfn.NORM.INV(RAND(),Tetanus!$D4,Tetanus!$F$13)</f>
        <v>677117498.94918931</v>
      </c>
      <c r="E6" s="4">
        <f ca="1">_xlfn.NORM.INV(RAND(),Tetanus!$D5,Tetanus!$F$13)</f>
        <v>627117517.05473673</v>
      </c>
      <c r="F6" s="4">
        <f ca="1">_xlfn.NORM.INV(RAND(),Tetanus!$D6,Tetanus!$F$13)</f>
        <v>614532678.69396663</v>
      </c>
      <c r="G6" s="4">
        <f ca="1">_xlfn.NORM.INV(RAND(),Tetanus!$D7,Tetanus!$F$13)</f>
        <v>633721558.16306436</v>
      </c>
      <c r="H6" s="4">
        <f ca="1">_xlfn.NORM.INV(RAND(),Tetanus!$D8,Tetanus!$F$13)</f>
        <v>695026996.93511546</v>
      </c>
      <c r="I6" s="4">
        <f ca="1">_xlfn.NORM.INV(RAND(),Tetanus!$D9,Tetanus!$F$13)</f>
        <v>684598607.43860519</v>
      </c>
      <c r="J6" s="4">
        <f ca="1">_xlfn.NORM.INV(RAND(),Tetanus!$D10,Tetanus!$F$13)</f>
        <v>693760728.96945417</v>
      </c>
      <c r="K6" s="4">
        <f ca="1">_xlfn.NORM.INV(RAND(),Tetanus!$D11,Tetanus!$F$13)</f>
        <v>735345049.6186341</v>
      </c>
    </row>
    <row r="7" spans="1:24" x14ac:dyDescent="0.25">
      <c r="A7" s="5" t="s">
        <v>9</v>
      </c>
      <c r="B7" s="4">
        <f ca="1">_xlfn.NORM.INV(RAND(),Pertussis!$D2,Pertussis!$F$13)</f>
        <v>345850274.94382304</v>
      </c>
      <c r="C7" s="4">
        <f ca="1">_xlfn.NORM.INV(RAND(),Pertussis!$D2,Pertussis!$F$13)</f>
        <v>351306495.40975714</v>
      </c>
      <c r="D7" s="4">
        <f ca="1">_xlfn.NORM.INV(RAND(),Pertussis!$D4,Pertussis!$F$13)</f>
        <v>349286088.21975571</v>
      </c>
      <c r="E7" s="4">
        <f ca="1">_xlfn.NORM.INV(RAND(),Pertussis!$D5,Pertussis!$F$13)</f>
        <v>348203704.08028978</v>
      </c>
      <c r="F7" s="4">
        <f ca="1">_xlfn.NORM.INV(RAND(),Pertussis!$D6,Pertussis!$F$13)</f>
        <v>418909703.87263548</v>
      </c>
      <c r="G7" s="4">
        <f ca="1">_xlfn.NORM.INV(RAND(),Pertussis!$D7,Pertussis!$F$13)</f>
        <v>387509863.47427124</v>
      </c>
      <c r="H7" s="4">
        <f ca="1">_xlfn.NORM.INV(RAND(),Pertussis!$D8,Pertussis!$F$13)</f>
        <v>401779528.58627391</v>
      </c>
      <c r="I7" s="4">
        <f ca="1">_xlfn.NORM.INV(RAND(),Pertussis!$D9,Pertussis!$F$13)</f>
        <v>289684556.48208266</v>
      </c>
      <c r="J7" s="4">
        <f ca="1">_xlfn.NORM.INV(RAND(),Pertussis!$D10,Pertussis!$F$13)</f>
        <v>378599943.87861127</v>
      </c>
      <c r="K7" s="4">
        <f ca="1">_xlfn.NORM.INV(RAND(),Pertussis!$D11,Pertussis!$F$13)</f>
        <v>339110933.25407159</v>
      </c>
    </row>
    <row r="8" spans="1:24" x14ac:dyDescent="0.25">
      <c r="A8" s="5" t="s">
        <v>10</v>
      </c>
      <c r="B8" s="4">
        <f ca="1">_xlfn.NORM.INV(RAND(),Hepatitis_B!$D2,Hepatitis_B!$F$13)</f>
        <v>525169381.61697102</v>
      </c>
      <c r="C8" s="4">
        <f ca="1">_xlfn.NORM.INV(RAND(),Hepatitis_B!$D3,Hepatitis_B!$F$13)</f>
        <v>336859309.44006526</v>
      </c>
      <c r="D8" s="4">
        <f ca="1">_xlfn.NORM.INV(RAND(),Hepatitis_B!$D4,Hepatitis_B!$F$13)</f>
        <v>354261939.02673423</v>
      </c>
      <c r="E8" s="4">
        <f ca="1">_xlfn.NORM.INV(RAND(),Hepatitis_B!$D5,Hepatitis_B!$F$13)</f>
        <v>378203754.33729917</v>
      </c>
      <c r="F8" s="4">
        <f ca="1">_xlfn.NORM.INV(RAND(),Hepatitis_B!$D6,Hepatitis_B!$F$13)</f>
        <v>462984899.28802919</v>
      </c>
      <c r="G8" s="4">
        <f ca="1">_xlfn.NORM.INV(RAND(),Hepatitis_B!$D7,Hepatitis_B!$F$13)</f>
        <v>421022891.9110744</v>
      </c>
      <c r="H8" s="4">
        <f ca="1">_xlfn.NORM.INV(RAND(),Hepatitis_B!$D8,Hepatitis_B!$F$13)</f>
        <v>496862154.47590828</v>
      </c>
      <c r="I8" s="4">
        <f ca="1">_xlfn.NORM.INV(RAND(),Hepatitis_B!$D9,Hepatitis_B!$F$13)</f>
        <v>691898223.90495968</v>
      </c>
      <c r="J8" s="4">
        <f ca="1">_xlfn.NORM.INV(RAND(),Hepatitis_B!$D10,Hepatitis_B!$F$13)</f>
        <v>466214837.88700908</v>
      </c>
      <c r="K8" s="4">
        <f ca="1">_xlfn.NORM.INV(RAND(),Hepatitis_B!$D11,Hepatitis_B!$F$13)</f>
        <v>410560287.75263631</v>
      </c>
    </row>
    <row r="9" spans="1:24" x14ac:dyDescent="0.25">
      <c r="A9" s="5" t="s">
        <v>11</v>
      </c>
      <c r="B9" s="4">
        <f ca="1">_xlfn.NORM.INV(RAND(),Hib!$D2,Hib!$F$13)</f>
        <v>314892480.85949016</v>
      </c>
      <c r="C9" s="4">
        <f ca="1">_xlfn.NORM.INV(RAND(),Hib!$D3,Hib!$F$13)</f>
        <v>373753724.56387347</v>
      </c>
      <c r="D9" s="4">
        <f ca="1">_xlfn.NORM.INV(RAND(),Hib!$D4,Hib!$F$13)</f>
        <v>414428216.90577292</v>
      </c>
      <c r="E9" s="4">
        <f ca="1">_xlfn.NORM.INV(RAND(),Hib!$D5,Hib!$F$13)</f>
        <v>374305696.21362072</v>
      </c>
      <c r="F9" s="4">
        <f ca="1">_xlfn.NORM.INV(RAND(),Hib!$D6,Hib!$F$13)</f>
        <v>269938022.25210083</v>
      </c>
      <c r="G9" s="4">
        <f ca="1">_xlfn.NORM.INV(RAND(),Hib!$D7,Hib!$F$13)</f>
        <v>401638846.53089845</v>
      </c>
      <c r="H9" s="4">
        <f ca="1">_xlfn.NORM.INV(RAND(),Hib!$D8,Hib!$F$13)</f>
        <v>333449511.40092641</v>
      </c>
      <c r="I9" s="4">
        <f ca="1">_xlfn.NORM.INV(RAND(),Hib!$D9,Hib!$F$13)</f>
        <v>405959606.50779802</v>
      </c>
      <c r="J9" s="4">
        <f ca="1">_xlfn.NORM.INV(RAND(),Hib!$D10,Hib!$F$13)</f>
        <v>419800670.41925281</v>
      </c>
      <c r="K9" s="4">
        <f ca="1">_xlfn.NORM.INV(RAND(),Hib!$D11,Hib!$F$13)</f>
        <v>345731100.20960015</v>
      </c>
    </row>
    <row r="10" spans="1:24" x14ac:dyDescent="0.25">
      <c r="A10" s="5" t="s">
        <v>12</v>
      </c>
      <c r="B10" s="4">
        <f ca="1">_xlfn.NORM.INV(RAND(),Polio!$D2,Polio!$F$13)</f>
        <v>780887703.11928654</v>
      </c>
      <c r="C10" s="4">
        <f ca="1">_xlfn.NORM.INV(RAND(),Polio!$D3,Polio!$F$13)</f>
        <v>657974309.62493527</v>
      </c>
      <c r="D10" s="4">
        <f ca="1">_xlfn.NORM.INV(RAND(),Polio!$D4,Polio!$F$13)</f>
        <v>390813543.28725153</v>
      </c>
      <c r="E10" s="4">
        <f ca="1">_xlfn.NORM.INV(RAND(),Polio!$D5,Polio!$F$13)</f>
        <v>589525368.07691526</v>
      </c>
      <c r="F10" s="4">
        <f ca="1">_xlfn.NORM.INV(RAND(),Polio!$D6,Polio!$F$13)</f>
        <v>825200441.98331952</v>
      </c>
      <c r="G10" s="4">
        <f ca="1">_xlfn.NORM.INV(RAND(),Polio!$D7,Polio!$F$13)</f>
        <v>546877499.18765593</v>
      </c>
      <c r="H10" s="4">
        <f ca="1">_xlfn.NORM.INV(RAND(),Polio!$D8,Polio!$F$13)</f>
        <v>789554193.32267201</v>
      </c>
      <c r="I10" s="4">
        <f ca="1">_xlfn.NORM.INV(RAND(),Polio!$D9,Polio!$F$13)</f>
        <v>787211889.24952233</v>
      </c>
      <c r="J10" s="4">
        <f ca="1">_xlfn.NORM.INV(RAND(),Polio!$D10,Polio!$F$13)</f>
        <v>1120368516.7528012</v>
      </c>
      <c r="K10" s="4">
        <f ca="1">_xlfn.NORM.INV(RAND(),Polio!$D11,Polio!$F$13)</f>
        <v>679667475.8336184</v>
      </c>
    </row>
    <row r="11" spans="1:24" x14ac:dyDescent="0.25">
      <c r="A11" s="5" t="s">
        <v>13</v>
      </c>
      <c r="B11" s="4">
        <f ca="1">_xlfn.NORM.INV(RAND(),HPV!$D2,HPV!$F$13)</f>
        <v>35010959.237957411</v>
      </c>
      <c r="C11" s="4">
        <f ca="1">_xlfn.NORM.INV(RAND(),HPV!$D3,HPV!$F$13)</f>
        <v>40083367.200387515</v>
      </c>
      <c r="D11" s="4">
        <f ca="1">_xlfn.NORM.INV(RAND(),HPV!$D4,HPV!$F$13)</f>
        <v>38250600.375207432</v>
      </c>
      <c r="E11" s="4">
        <f ca="1">_xlfn.NORM.INV(RAND(),HPV!$D5,HPV!$F$13)</f>
        <v>48122185.881140113</v>
      </c>
      <c r="F11" s="4">
        <f ca="1">_xlfn.NORM.INV(RAND(),HPV!$D6,HPV!$F$13)</f>
        <v>47653519.512356326</v>
      </c>
      <c r="G11" s="4">
        <f ca="1">_xlfn.NORM.INV(RAND(),HPV!$D7,HPV!$F$13)</f>
        <v>61292965.407283232</v>
      </c>
      <c r="H11" s="4">
        <f ca="1">_xlfn.NORM.INV(RAND(),HPV!$D8,HPV!$F$13)</f>
        <v>78042264.65959689</v>
      </c>
      <c r="I11" s="4">
        <f ca="1">_xlfn.NORM.INV(RAND(),HPV!$D9,HPV!$F$13)</f>
        <v>74149519.026301503</v>
      </c>
      <c r="J11" s="4">
        <f ca="1">_xlfn.NORM.INV(RAND(),HPV!$D10,HPV!$F$13)</f>
        <v>81327848.355241328</v>
      </c>
      <c r="K11" s="4">
        <f ca="1">_xlfn.NORM.INV(RAND(),HPV!$D11,HPV!$F$13)</f>
        <v>96041229.237888366</v>
      </c>
    </row>
    <row r="12" spans="1:24" x14ac:dyDescent="0.25">
      <c r="A12" s="5" t="s">
        <v>14</v>
      </c>
      <c r="B12" s="4">
        <f ca="1">_xlfn.NORM.INV(RAND(),Rotavirus!$D2,Rotavirus!$F$13)</f>
        <v>-79432639.848430216</v>
      </c>
      <c r="C12" s="4">
        <f ca="1">_xlfn.NORM.INV(RAND(),Rotavirus!$D3,Rotavirus!$F$13)</f>
        <v>184158506.34682065</v>
      </c>
      <c r="D12" s="4">
        <f ca="1">_xlfn.NORM.INV(RAND(),Rotavirus!$D4,Rotavirus!$F$13)</f>
        <v>76757840.314862043</v>
      </c>
      <c r="E12" s="4">
        <f ca="1">_xlfn.NORM.INV(RAND(),Rotavirus!$D5,Rotavirus!$F$13)</f>
        <v>345071647.16502643</v>
      </c>
      <c r="F12" s="4">
        <f ca="1">_xlfn.NORM.INV(RAND(),Rotavirus!$D6,Rotavirus!$F$13)</f>
        <v>220278680.87787583</v>
      </c>
      <c r="G12" s="4">
        <f ca="1">_xlfn.NORM.INV(RAND(),Rotavirus!$D7,Rotavirus!$F$13)</f>
        <v>446059995.10940337</v>
      </c>
      <c r="H12" s="4">
        <f ca="1">_xlfn.NORM.INV(RAND(),Rotavirus!$D8,Rotavirus!$F$13)</f>
        <v>256427774.78029674</v>
      </c>
      <c r="I12" s="4">
        <f ca="1">_xlfn.NORM.INV(RAND(),Rotavirus!$D9,Rotavirus!$F$13)</f>
        <v>413848784.27904564</v>
      </c>
      <c r="J12" s="4">
        <f ca="1">_xlfn.NORM.INV(RAND(),Rotavirus!$D10,Rotavirus!$F$13)</f>
        <v>543185133.04546654</v>
      </c>
      <c r="K12" s="4">
        <f ca="1">_xlfn.NORM.INV(RAND(),Rotavirus!$D11,Rotavirus!$F$13)</f>
        <v>542245098.33165169</v>
      </c>
    </row>
    <row r="13" spans="1:24" x14ac:dyDescent="0.25">
      <c r="A13" s="5" t="s">
        <v>15</v>
      </c>
      <c r="B13" s="4">
        <f ca="1">_xlfn.NORM.INV(RAND(),PCV!$D2,PCV!$F$13)</f>
        <v>78344908.491983622</v>
      </c>
      <c r="C13" s="4">
        <f ca="1">_xlfn.NORM.INV(RAND(),PCV!$D3,PCV!$F$13)</f>
        <v>299613342.8843587</v>
      </c>
      <c r="D13" s="4">
        <f ca="1">_xlfn.NORM.INV(RAND(),PCV!$D4,PCV!$F$13)</f>
        <v>386057331.42783689</v>
      </c>
      <c r="E13" s="4">
        <f ca="1">_xlfn.NORM.INV(RAND(),PCV!$D5,PCV!$F$13)</f>
        <v>495453687.25461262</v>
      </c>
      <c r="F13" s="4">
        <f ca="1">_xlfn.NORM.INV(RAND(),PCV!$D6,PCV!$F$13)</f>
        <v>374903871.96941876</v>
      </c>
      <c r="G13" s="4">
        <f ca="1">_xlfn.NORM.INV(RAND(),PCV!$D7,PCV!$F$13)</f>
        <v>315754043.89689839</v>
      </c>
      <c r="H13" s="4">
        <f ca="1">_xlfn.NORM.INV(RAND(),PCV!$D8,PCV!$F$13)</f>
        <v>671941120.10131812</v>
      </c>
      <c r="I13" s="4">
        <f ca="1">_xlfn.NORM.INV(RAND(),PCV!$D9,PCV!$F$13)</f>
        <v>411655009.81450933</v>
      </c>
      <c r="J13" s="4">
        <f ca="1">_xlfn.NORM.INV(RAND(),PCV!$D10,PCV!$F$13)</f>
        <v>509524028.94588882</v>
      </c>
      <c r="K13" s="4">
        <f ca="1">_xlfn.NORM.INV(RAND(),Hepatitis_B!$D11,PCV!$F$13)</f>
        <v>648953792.91621602</v>
      </c>
    </row>
    <row r="15" spans="1:24" x14ac:dyDescent="0.25">
      <c r="A15" s="6" t="s">
        <v>4</v>
      </c>
      <c r="B15" s="7">
        <f ca="1">IF(B2&gt;Measles!B2,Measles!B2,IF(Scenario_data!B2 &lt;Measles!A2,Measles!A2,Scenario_data!B2))</f>
        <v>327232858.03333443</v>
      </c>
      <c r="C15" s="7">
        <f ca="1">IF(C2&gt;Measles!B3,Measles!B3,IF(Scenario_data!C2 &lt;Measles!A3,Measles!A3,Scenario_data!C2))</f>
        <v>649944236.34959435</v>
      </c>
      <c r="D15" s="7">
        <f ca="1">IF(D2&gt;Measles!B4,Measles!B4,IF(Scenario_data!D2 &lt;Measles!A4,Measles!A4,Scenario_data!D2))</f>
        <v>560302998.90472198</v>
      </c>
      <c r="E15" s="7">
        <f ca="1">IF(E2&gt;Measles!B5,Measles!B5,IF(Scenario_data!E2 &lt;Measles!A5,Measles!A5,Scenario_data!E2))</f>
        <v>1042625820.562032</v>
      </c>
      <c r="F15" s="7">
        <f ca="1">IF(F2&gt;Measles!B6,Measles!B6,IF(Scenario_data!F2 &lt;Measles!A6,Measles!A6,Scenario_data!F2))</f>
        <v>510588894.16854215</v>
      </c>
      <c r="G15" s="7">
        <f ca="1">IF(G2&gt;Measles!B7,Measles!B7,IF(Scenario_data!G2 &lt;Measles!A7,Measles!A7,Scenario_data!G2))</f>
        <v>479167335.02357817</v>
      </c>
      <c r="H15" s="7">
        <f ca="1">IF(H2&gt;Measles!B8,Measles!B8,IF(Scenario_data!H2 &lt;Measles!A8,Measles!A8,Scenario_data!H2))</f>
        <v>976065417.33206522</v>
      </c>
      <c r="I15" s="7">
        <f ca="1">IF(I2&gt;Measles!B9,Measles!B9,IF(Scenario_data!I2 &lt;Measles!A9,Measles!A9,Scenario_data!I2))</f>
        <v>1321623604.6141024</v>
      </c>
      <c r="J15" s="7">
        <f ca="1">IF(J2&gt;Measles!B10,Measles!B10,IF(Scenario_data!J2 &lt;Measles!A10,Measles!A10,Scenario_data!J2))</f>
        <v>879952390.0379113</v>
      </c>
      <c r="K15" s="7">
        <f ca="1">IF(K2&gt;Measles!B11,Measles!B11,IF(Scenario_data!K2 &lt;Measles!A11,Measles!A11,Scenario_data!K2))</f>
        <v>1197020211.462297</v>
      </c>
      <c r="W15" s="4"/>
      <c r="X15" s="4"/>
    </row>
    <row r="16" spans="1:24" x14ac:dyDescent="0.25">
      <c r="A16" s="6" t="s">
        <v>5</v>
      </c>
      <c r="B16" s="7">
        <f ca="1">IF(B3&gt;Mumps!B2,Mumps!B2,IF(Scenario_data!B3 &lt;Mumps!A2,Mumps!A2,Scenario_data!B3))</f>
        <v>30566966.94629205</v>
      </c>
      <c r="C16" s="7">
        <f ca="1">IF(C3&gt;Mumps!B3,Mumps!B3,IF(Scenario_data!C3 &lt;Mumps!A3,Mumps!A3,Scenario_data!C3))</f>
        <v>29027711.288915388</v>
      </c>
      <c r="D16" s="7">
        <f ca="1">IF(D3&gt;Mumps!B4,Mumps!B4,IF(Scenario_data!D3 &lt;Mumps!A4,Mumps!A4,Scenario_data!D3))</f>
        <v>32270669.644030765</v>
      </c>
      <c r="E16" s="7">
        <f ca="1">IF(E3&gt;Mumps!B5,Mumps!B5,IF(Scenario_data!E3 &lt;Mumps!A5,Mumps!A5,Scenario_data!E3))</f>
        <v>5946849.4759663558</v>
      </c>
      <c r="F16" s="7">
        <f ca="1">IF(F3&gt;Mumps!B6,Mumps!B6,IF(Scenario_data!F3 &lt;Mumps!A6,Mumps!A6,Scenario_data!F3))</f>
        <v>37483032.037034526</v>
      </c>
      <c r="G16" s="7">
        <f ca="1">IF(G3&gt;Mumps!B7,Mumps!B7,IF(Scenario_data!G3 &lt;Mumps!A7,Mumps!A7,Scenario_data!G3))</f>
        <v>42021681.512458093</v>
      </c>
      <c r="H16" s="7">
        <f ca="1">IF(H3&gt;Mumps!B8,Mumps!B8,IF(Scenario_data!H3 &lt;Mumps!A8,Mumps!A8,Scenario_data!H3))</f>
        <v>34544390.715838939</v>
      </c>
      <c r="I16" s="7">
        <f ca="1">IF(I3&gt;Mumps!B9,Mumps!B9,IF(Scenario_data!I3 &lt;Mumps!A9,Mumps!A9,Scenario_data!I3))</f>
        <v>70179578.126479328</v>
      </c>
      <c r="J16" s="7">
        <f ca="1">IF(J3&gt;Mumps!B10,Mumps!B10,IF(Scenario_data!J3 &lt;Mumps!A10,Mumps!A10,Scenario_data!J3))</f>
        <v>54616437.796520501</v>
      </c>
      <c r="K16" s="7">
        <f ca="1">IF(K3&gt;Mumps!B11,Mumps!B11,IF(Scenario_data!K3 &lt;Mumps!A11,Mumps!A11,Scenario_data!K3))</f>
        <v>59994176.318614952</v>
      </c>
    </row>
    <row r="17" spans="1:13" x14ac:dyDescent="0.25">
      <c r="A17" s="6" t="s">
        <v>6</v>
      </c>
      <c r="B17" s="7">
        <f ca="1">IF(B4&gt;Rubella!B2,Rubella!B2,IF(Scenario_data!B4 &lt;Rubella!A2,Rubella!A2,Scenario_data!B4))</f>
        <v>354205415.20987809</v>
      </c>
      <c r="C17" s="7">
        <f ca="1">IF(C4&gt;Rubella!B3,Rubella!B3,IF(Scenario_data!C4 &lt;Rubella!A3,Rubella!A3,Scenario_data!C4))</f>
        <v>236954804.18550211</v>
      </c>
      <c r="D17" s="7">
        <f ca="1">IF(D4&gt;Rubella!B4,Rubella!B4,IF(Scenario_data!D4 &lt;Rubella!A4,Rubella!A4,Scenario_data!D4))</f>
        <v>616159579.41819811</v>
      </c>
      <c r="E17" s="7">
        <f ca="1">IF(E4&gt;Rubella!B5,Rubella!B5,IF(Scenario_data!E4 &lt;Rubella!A5,Rubella!A5,Scenario_data!E4))</f>
        <v>580507730.72273779</v>
      </c>
      <c r="F17" s="7">
        <f ca="1">IF(F4&gt;Rubella!B6,Rubella!B6,IF(Scenario_data!F4 &lt;Rubella!A6,Rubella!A6,Scenario_data!F4))</f>
        <v>303527153.47317624</v>
      </c>
      <c r="G17" s="7">
        <f ca="1">IF(G4&gt;Rubella!B7,Rubella!B7,IF(Scenario_data!G4 &lt;Rubella!A7,Rubella!A7,Scenario_data!G4))</f>
        <v>732016026.1027863</v>
      </c>
      <c r="H17" s="7">
        <f ca="1">IF(H4&gt;Rubella!B8,Rubella!B8,IF(Scenario_data!H4 &lt;Rubella!A8,Rubella!A8,Scenario_data!H4))</f>
        <v>594427335.00427151</v>
      </c>
      <c r="I17" s="7">
        <f ca="1">IF(I4&gt;Rubella!B9,Rubella!B9,IF(Scenario_data!I4 &lt;Rubella!A9,Rubella!A9,Scenario_data!I4))</f>
        <v>684905075.0431416</v>
      </c>
      <c r="J17" s="7">
        <f ca="1">IF(J4&gt;Rubella!B10,Rubella!B10,IF(Scenario_data!J4 &lt;Rubella!A10,Rubella!A10,Scenario_data!J4))</f>
        <v>667175195.82137167</v>
      </c>
      <c r="K17" s="7">
        <f ca="1">IF(K4&gt;Rubella!B12=1,Rubella!B11,IF(Scenario_data!K4 &lt;Rubella!A11,Rubella!A11,Scenario_data!K4))</f>
        <v>850171021.21135867</v>
      </c>
    </row>
    <row r="18" spans="1:13" x14ac:dyDescent="0.25">
      <c r="A18" s="6" t="s">
        <v>7</v>
      </c>
      <c r="B18" s="7">
        <f ca="1">IF(B5&gt;Diphtheria!B2,Diphtheria!B2,IF(Scenario_data!B5 &lt;Diphtheria!A2,Diphtheria!A2,Scenario_data!B5))</f>
        <v>545886518.23867655</v>
      </c>
      <c r="C18" s="7">
        <f ca="1">IF(C5&gt;Diphtheria!B3,Diphtheria!B3,IF(Scenario_data!C5 &lt;Diphtheria!A3,Diphtheria!A3,Scenario_data!C5))</f>
        <v>654796722.74096465</v>
      </c>
      <c r="D18" s="7">
        <f ca="1">IF(D5&gt;Diphtheria!B4,Diphtheria!B4,IF(Scenario_data!D5 &lt;Diphtheria!A4,Diphtheria!A4,Scenario_data!D5))</f>
        <v>472845159.87652242</v>
      </c>
      <c r="E18" s="7">
        <f ca="1">IF(E5&gt;Diphtheria!B5,Diphtheria!B5,IF(Scenario_data!E5 &lt;Diphtheria!A5,Diphtheria!A5,Scenario_data!E5))</f>
        <v>709805108.61953497</v>
      </c>
      <c r="F18" s="7">
        <f ca="1">IF(F5&gt;Diphtheria!B6,Diphtheria!B6,IF(Scenario_data!F5 &lt;Diphtheria!A6,Diphtheria!A6,Scenario_data!F5))</f>
        <v>830070687.12944019</v>
      </c>
      <c r="G18" s="7">
        <f ca="1">IF(G5&gt;Diphtheria!B7,Diphtheria!B7,IF(Scenario_data!G5 &lt;Diphtheria!A7,Diphtheria!A7,Scenario_data!G5))</f>
        <v>1700247205.047471</v>
      </c>
      <c r="H18" s="7">
        <f ca="1">IF(H5&gt;Diphtheria!B8,Diphtheria!B8,IF(Scenario_data!H5 &lt;Diphtheria!A8,Diphtheria!A8,Scenario_data!H5))</f>
        <v>1127085574.637809</v>
      </c>
      <c r="I18" s="7">
        <f ca="1">IF(I5&gt;Diphtheria!B9,Diphtheria!B9,IF(Scenario_data!I5 &lt;Diphtheria!A9,Diphtheria!A9,Scenario_data!I5))</f>
        <v>1606166862.0387561</v>
      </c>
      <c r="J18" s="7">
        <f ca="1">IF(J5&gt;Diphtheria!B10,Diphtheria!B10,IF(Scenario_data!J5 &lt;Diphtheria!A10,Diphtheria!A10,Scenario_data!J5))</f>
        <v>1246392508.9811087</v>
      </c>
      <c r="K18" s="7">
        <f ca="1">IF(K5&gt;Diphtheria!B11,Diphtheria!B11,IF(Scenario_data!K5 &lt;Diphtheria!A11,Diphtheria!A11,Scenario_data!K5))</f>
        <v>2036109357.9502878</v>
      </c>
    </row>
    <row r="19" spans="1:13" x14ac:dyDescent="0.25">
      <c r="A19" s="6" t="s">
        <v>8</v>
      </c>
      <c r="B19" s="7">
        <f ca="1">IF(B6&gt;Tetanus!B2,Tetanus!B2,IF(Scenario_data!B6 &lt;Tetanus!A2,Tetanus!A2,Scenario_data!B6))</f>
        <v>570605073.91759527</v>
      </c>
      <c r="C19" s="7">
        <f ca="1">IF(C6&gt;Tetanus!B3,Tetanus!B3,IF(Scenario_data!C6 &lt;Tetanus!A3,Tetanus!A3,Scenario_data!C6))</f>
        <v>752572987.22965991</v>
      </c>
      <c r="D19" s="7">
        <f ca="1">IF(D6&gt;Tetanus!B4,Tetanus!B4,IF(Scenario_data!D6 &lt;Tetanus!A4,Tetanus!A4,Scenario_data!D6))</f>
        <v>677117498.94918931</v>
      </c>
      <c r="E19" s="7">
        <f ca="1">IF(E6&gt;Tetanus!B5,Tetanus!B5,IF(Scenario_data!E6 &lt;Tetanus!A5,Tetanus!A5,Scenario_data!E6))</f>
        <v>627117517.05473673</v>
      </c>
      <c r="F19" s="7">
        <f ca="1">IF(F6&gt;Tetanus!B6,Tetanus!B6,IF(Scenario_data!F6 &lt;Tetanus!A6,Tetanus!A6,Scenario_data!F6))</f>
        <v>614532678.69396663</v>
      </c>
      <c r="G19" s="7">
        <f ca="1">IF(G6&gt;Tetanus!B7,Tetanus!B7,IF(Scenario_data!G6 &lt;Tetanus!A7,Tetanus!A7,Scenario_data!G6))</f>
        <v>633721558.16306436</v>
      </c>
      <c r="H19" s="7">
        <f ca="1">IF(H6&gt;Tetanus!B8,Tetanus!B8,IF(Scenario_data!H6 &lt;Tetanus!A8,Tetanus!A8,Scenario_data!H6))</f>
        <v>695026996.93511546</v>
      </c>
      <c r="I19" s="7">
        <f ca="1">IF(I6&gt;Tetanus!B9,Tetanus!B9,IF(Scenario_data!I6 &lt;Tetanus!A9,Tetanus!A9,Scenario_data!I6))</f>
        <v>684598607.43860519</v>
      </c>
      <c r="J19" s="7">
        <f ca="1">IF(J6&gt;Tetanus!B10,Tetanus!B10,IF(Scenario_data!J6 &lt;Tetanus!A10,Tetanus!A10,Scenario_data!J6))</f>
        <v>693760728.96945417</v>
      </c>
      <c r="K19" s="7">
        <f ca="1">IF(K6&gt;Tetanus!B11,Tetanus!B11,IF(Scenario_data!K6 &lt;Tetanus!A11,Tetanus!A11,Scenario_data!K6))</f>
        <v>735345049.6186341</v>
      </c>
    </row>
    <row r="20" spans="1:13" x14ac:dyDescent="0.25">
      <c r="A20" s="6" t="s">
        <v>9</v>
      </c>
      <c r="B20" s="7">
        <f ca="1">IF(B7&gt;Pertussis!B2,Pertussis!B2,IF(Scenario_data!B7 &lt;Pertussis!A2,Pertussis!A2,Scenario_data!B7))</f>
        <v>345850274.94382304</v>
      </c>
      <c r="C20" s="7">
        <f ca="1">IF(C7&gt;Pertussis!B3,Pertussis!B3,IF(Scenario_data!C7 &lt;Pertussis!A3,Pertussis!A3,Scenario_data!C7))</f>
        <v>351306495.40975714</v>
      </c>
      <c r="D20" s="7">
        <f ca="1">IF(D7&gt;Pertussis!B4,Pertussis!B4,IF(Scenario_data!D7 &lt;Pertussis!A4,Pertussis!A4,Scenario_data!D7))</f>
        <v>349286088.21975571</v>
      </c>
      <c r="E20" s="7">
        <f ca="1">IF(E7&gt;Pertussis!B5,Pertussis!B5,IF(Scenario_data!E7 &lt;Pertussis!A5,Pertussis!A5,Scenario_data!E7))</f>
        <v>348203704.08028978</v>
      </c>
      <c r="F20" s="7">
        <f ca="1">IF(F7&gt;Pertussis!B6,Pertussis!B6,IF(Scenario_data!F7 &lt;Pertussis!A6,Pertussis!A6,Scenario_data!F7))</f>
        <v>418909703.87263548</v>
      </c>
      <c r="G20" s="7">
        <f ca="1">IF(G7&gt;Pertussis!B7,Pertussis!B7,IF(Scenario_data!G7 &lt;Pertussis!A7,Pertussis!A7,Scenario_data!G7))</f>
        <v>387509863.47427124</v>
      </c>
      <c r="H20" s="7">
        <f ca="1">IF(H7&gt;Pertussis!B8,Pertussis!B8,IF(Scenario_data!H7 &lt;Pertussis!A8,Pertussis!A8,Scenario_data!H7))</f>
        <v>401779528.58627391</v>
      </c>
      <c r="I20" s="7">
        <f ca="1">IF(I7&gt;Pertussis!B9,Pertussis!B9,IF(Scenario_data!I7 &lt;Pertussis!A9,Pertussis!A9,Scenario_data!I7))</f>
        <v>289684556.48208266</v>
      </c>
      <c r="J20" s="7">
        <f ca="1">IF(J7&gt;Pertussis!B10,Pertussis!B10,IF(Scenario_data!J7 &lt;Pertussis!A10,Pertussis!A10,Scenario_data!J7))</f>
        <v>378599943.87861127</v>
      </c>
      <c r="K20" s="7">
        <f ca="1">IF(K7&gt;Pertussis!B11,Pertussis!B11,IF(Scenario_data!K7 &lt;Pertussis!A11,Pertussis!A11,Scenario_data!K7))</f>
        <v>339110933.25407159</v>
      </c>
    </row>
    <row r="21" spans="1:13" x14ac:dyDescent="0.25">
      <c r="A21" s="6" t="s">
        <v>10</v>
      </c>
      <c r="B21" s="7">
        <f ca="1">IF(B8&gt;Hepatitis_B!B2,Hepatitis_B!B2,IF(Scenario_data!B8 &lt;Hepatitis_B!A2,Hepatitis_B!A2,Scenario_data!B8))</f>
        <v>449867903.82097661</v>
      </c>
      <c r="C21" s="7">
        <f ca="1">IF(C8&gt;Hepatitis_B!B3,Hepatitis_B!B3,IF(Scenario_data!C8 &lt;Hepatitis_B!A3,Hepatitis_B!A3,Scenario_data!C8))</f>
        <v>336859309.44006526</v>
      </c>
      <c r="D21" s="7">
        <f ca="1">IF(D8&gt;Hepatitis_B!B4,Hepatitis_B!B4,IF(Scenario_data!D8 &lt;Hepatitis_B!A4,Hepatitis_B!A4,Scenario_data!D8))</f>
        <v>354261939.02673423</v>
      </c>
      <c r="E21" s="7">
        <f ca="1">IF(E8&gt;Hepatitis_B!B5,Hepatitis_B!B5,IF(Scenario_data!E8 &lt;Hepatitis_B!A5,Hepatitis_B!A5,Scenario_data!E8))</f>
        <v>378203754.33729917</v>
      </c>
      <c r="F21" s="7">
        <f ca="1">IF(F8&gt;Hepatitis_B!B6,Hepatitis_B!B6,IF(Scenario_data!F8 &lt;Hepatitis_B!A6,Hepatitis_B!A6,Scenario_data!F8))</f>
        <v>462984899.28802919</v>
      </c>
      <c r="G21" s="7">
        <f ca="1">IF(G8&gt;Hepatitis_B!B7,Hepatitis_B!B7,IF(Scenario_data!G8 &lt;Hepatitis_B!A7,Hepatitis_B!A7,Scenario_data!G8))</f>
        <v>421022891.9110744</v>
      </c>
      <c r="H21" s="7">
        <f ca="1">IF(H8&gt;Hepatitis_B!B8,Hepatitis_B!B8,IF(Scenario_data!H8 &lt;Hepatitis_B!A8,Hepatitis_B!A8,Scenario_data!H8))</f>
        <v>496862154.47590828</v>
      </c>
      <c r="I21" s="7">
        <f ca="1">IF(I8&gt;Hepatitis_B!B9,Hepatitis_B!B9,IF(Scenario_data!I8 &lt;Hepatitis_B!A9,Hepatitis_B!A9,Scenario_data!I8))</f>
        <v>691898223.90495968</v>
      </c>
      <c r="J21" s="7">
        <f ca="1">IF(J8&gt;Hepatitis_B!B10,Hepatitis_B!B10,IF(Scenario_data!J8 &lt;Hepatitis_B!A10,Hepatitis_B!A10,Scenario_data!J8))</f>
        <v>466214837.88700908</v>
      </c>
      <c r="K21" s="7">
        <f ca="1">IF(K8&gt;Hepatitis_B!B11,Hepatitis_B!B11,IF(Scenario_data!K8 &lt;Hepatitis_B!A11,Hepatitis_B!A11,Scenario_data!K8))</f>
        <v>410560287.75263631</v>
      </c>
    </row>
    <row r="22" spans="1:13" x14ac:dyDescent="0.25">
      <c r="A22" s="6" t="s">
        <v>11</v>
      </c>
      <c r="B22" s="7">
        <f ca="1">IF(B9&gt;Hib!B2,Hib!B2,IF(Scenario_data!B9 &lt;Hib!A2,Hib!A2,Scenario_data!B9))</f>
        <v>314892480.85949016</v>
      </c>
      <c r="C22" s="7">
        <f ca="1">IF(C9&gt;Hib!B3,Hib!B3,IF(Scenario_data!C9 &lt;Hib!A3,Hib!A3,Scenario_data!C9))</f>
        <v>362352073.69339001</v>
      </c>
      <c r="D22" s="7">
        <f ca="1">IF(D9&gt;Hib!B4,Hib!B4,IF(Scenario_data!D9 &lt;Hib!A4,Hib!A4,Scenario_data!D9))</f>
        <v>385843061.42481089</v>
      </c>
      <c r="E22" s="7">
        <f ca="1">IF(E9&gt;Hib!B5,Hib!B5,IF(Scenario_data!E9 &lt;Hib!A5,Hib!A5,Scenario_data!E9))</f>
        <v>374305696.21362072</v>
      </c>
      <c r="F22" s="7">
        <f ca="1">IF(F9&gt;Hib!B6,Hib!B6,IF(Scenario_data!F9 &lt;Hib!A6,Hib!A6,Scenario_data!F9))</f>
        <v>269938022.25210083</v>
      </c>
      <c r="G22" s="7">
        <f ca="1">IF(G9&gt;Hib!B7,Hib!B7,IF(Scenario_data!G9 &lt;Hib!A7,Hib!A7,Scenario_data!G9))</f>
        <v>401638846.53089845</v>
      </c>
      <c r="H22" s="7">
        <f ca="1">IF(H9&gt;Hib!B8,Hib!B8,IF(Scenario_data!H9 &lt;Hib!A8,Hib!A8,Scenario_data!H9))</f>
        <v>333449511.40092641</v>
      </c>
      <c r="I22" s="7">
        <f ca="1">IF(I9&gt;Hib!B9,Hib!B9,IF(Scenario_data!I9 &lt;Hib!A9,Hib!A9,Scenario_data!I9))</f>
        <v>405959606.50779802</v>
      </c>
      <c r="J22" s="7">
        <f ca="1">IF(J9&gt;Hib!B10,Hib!B10,IF(Scenario_data!J9 &lt;Hib!A10,Hib!A10,Scenario_data!J9))</f>
        <v>419800670.41925281</v>
      </c>
      <c r="K22" s="7">
        <f ca="1">IF(K9&gt;Hib!B11,Hib!B11,IF(Scenario_data!K9 &lt;Hib!A11,Hib!A11,Scenario_data!K9))</f>
        <v>345731100.20960015</v>
      </c>
    </row>
    <row r="23" spans="1:13" x14ac:dyDescent="0.25">
      <c r="A23" s="6" t="s">
        <v>12</v>
      </c>
      <c r="B23" s="7">
        <f ca="1">IF(B10&gt;Polio!B2,Polio!B2,IF(Scenario_data!B10 &lt;Polio!A2,Polio!A2,Scenario_data!B10))</f>
        <v>716469135.2208643</v>
      </c>
      <c r="C23" s="7">
        <f ca="1">IF(C10&gt;Polio!B3,Polio!B3,IF(Scenario_data!C10 &lt;Polio!A3,Polio!A3,Scenario_data!C10))</f>
        <v>657974309.62493527</v>
      </c>
      <c r="D23" s="7">
        <f ca="1">IF(D10&gt;Polio!B4,Polio!B4,IF(Scenario_data!D10 &lt;Polio!A4,Polio!A4,Scenario_data!D10))</f>
        <v>525451510.27095741</v>
      </c>
      <c r="E23" s="7">
        <f ca="1">IF(E10&gt;Polio!B5,Polio!B5,IF(Scenario_data!E10 &lt;Polio!A5,Polio!A5,Scenario_data!E10))</f>
        <v>589525368.07691526</v>
      </c>
      <c r="F23" s="7">
        <f ca="1">IF(F10&gt;Polio!B6,Polio!B6,IF(Scenario_data!F10 &lt;Polio!A6,Polio!A6,Scenario_data!F10))</f>
        <v>825200441.98331952</v>
      </c>
      <c r="G23" s="7">
        <f ca="1">IF(G10&gt;Polio!B7,Polio!B7,IF(Scenario_data!G10 &lt;Polio!A7,Polio!A7,Scenario_data!G10))</f>
        <v>546877499.18765593</v>
      </c>
      <c r="H23" s="7">
        <f ca="1">IF(H10&gt;Polio!B8,Polio!B8,IF(Scenario_data!H10 &lt;Polio!A8,Polio!A8,Scenario_data!H10))</f>
        <v>789554193.32267201</v>
      </c>
      <c r="I23" s="7">
        <f ca="1">IF(I10&gt;Polio!B9,Polio!B9,IF(Scenario_data!I10 &lt;Polio!A9,Polio!A9,Scenario_data!I10))</f>
        <v>787211889.24952233</v>
      </c>
      <c r="J23" s="7">
        <f ca="1">IF(J10&gt;Polio!B10,Polio!B10,IF(Scenario_data!J10 &lt;Polio!A10,Polio!A10,Scenario_data!J10))</f>
        <v>1120368516.7528012</v>
      </c>
      <c r="K23" s="7">
        <f ca="1">IF(K10&gt;Polio!B11,Polio!B11,IF(Scenario_data!K10 &lt;Polio!A11,Polio!A11,Scenario_data!K10))</f>
        <v>679667475.8336184</v>
      </c>
    </row>
    <row r="24" spans="1:13" x14ac:dyDescent="0.25">
      <c r="A24" s="6" t="s">
        <v>13</v>
      </c>
      <c r="B24" s="7">
        <f ca="1">IF(B11&gt;HPV!B2,HPV!B2,IF(Scenario_data!B11 &lt;HPV!A2,HPV!A2,Scenario_data!B11))</f>
        <v>31963266.345840931</v>
      </c>
      <c r="C24" s="7">
        <f ca="1">IF(C11&gt;HPV!B3,HPV!B3,IF(Scenario_data!C11 &lt;HPV!A3,HPV!A3,Scenario_data!C11))</f>
        <v>39307452.706052743</v>
      </c>
      <c r="D24" s="7">
        <f ca="1">IF(D11&gt;HPV!B4,HPV!B4,IF(Scenario_data!D11 &lt;HPV!A4,HPV!A4,Scenario_data!D11))</f>
        <v>38250600.375207432</v>
      </c>
      <c r="E24" s="7">
        <f ca="1">IF(E11&gt;HPV!B5,HPV!B5,IF(Scenario_data!E11 &lt;HPV!A5,HPV!A5,Scenario_data!E11))</f>
        <v>48122185.881140113</v>
      </c>
      <c r="F24" s="7">
        <f ca="1">IF(F11&gt;HPV!B6,HPV!B6,IF(Scenario_data!F11 &lt;HPV!A6,HPV!A6,Scenario_data!F11))</f>
        <v>47653519.512356326</v>
      </c>
      <c r="G24" s="7">
        <f ca="1">IF(G11&gt;HPV!B7,HPV!B7,IF(Scenario_data!G11 &lt;HPV!A7,HPV!A7,Scenario_data!G11))</f>
        <v>61292965.407283232</v>
      </c>
      <c r="H24" s="7">
        <f ca="1">IF(H11&gt;HPV!B8,HPV!B8,IF(Scenario_data!H11 &lt;HPV!A8,HPV!A8,Scenario_data!H11))</f>
        <v>78042264.65959689</v>
      </c>
      <c r="I24" s="7">
        <f ca="1">IF(I11&gt;HPV!B9,HPV!B9,IF(Scenario_data!I11 &lt;HPV!A9,HPV!A9,Scenario_data!I11))</f>
        <v>74149519.026301503</v>
      </c>
      <c r="J24" s="7">
        <f ca="1">IF(J11&gt;HPV!B10,HPV!B10,IF(Scenario_data!J11 &lt;HPV!A10,HPV!A10,Scenario_data!J11))</f>
        <v>81327848.355241328</v>
      </c>
      <c r="K24" s="7">
        <f ca="1">IF(K11&gt;HPV!B11,HPV!B11,IF(Scenario_data!K11 &lt;HPV!A11,HPV!A11,Scenario_data!K11))</f>
        <v>96041229.237888366</v>
      </c>
    </row>
    <row r="25" spans="1:13" x14ac:dyDescent="0.25">
      <c r="A25" s="6" t="s">
        <v>14</v>
      </c>
      <c r="B25" s="7">
        <f ca="1">IF(B12&gt;Rotavirus!B2,Rotavirus!B2,IF(Scenario_data!B12 &lt;Rotavirus!A2,Rotavirus!A2,Scenario_data!B12))</f>
        <v>151905241.58038071</v>
      </c>
      <c r="C25" s="7">
        <f ca="1">IF(C12&gt;Rotavirus!B3,Rotavirus!B3,IF(Scenario_data!C12 &lt;Rotavirus!A3,Rotavirus!A3,Scenario_data!C12))</f>
        <v>184158506.34682065</v>
      </c>
      <c r="D25" s="7">
        <f ca="1">IF(D12&gt;Rotavirus!B4,Rotavirus!B4,IF(Scenario_data!D12 &lt;Rotavirus!A4,Rotavirus!A4,Scenario_data!D12))</f>
        <v>114045264.6782148</v>
      </c>
      <c r="E25" s="7">
        <f ca="1">IF(E12&gt;Rotavirus!B5,Rotavirus!B5,IF(Scenario_data!E12 &lt;Rotavirus!A5,Rotavirus!A5,Scenario_data!E12))</f>
        <v>345071647.16502643</v>
      </c>
      <c r="F25" s="7">
        <f ca="1">IF(F12&gt;Rotavirus!B6,Rotavirus!B6,IF(Scenario_data!F12 &lt;Rotavirus!A6,Rotavirus!A6,Scenario_data!F12))</f>
        <v>220278680.87787583</v>
      </c>
      <c r="G25" s="7">
        <f ca="1">IF(G12&gt;Rotavirus!B7,Rotavirus!B7,IF(Scenario_data!G12 &lt;Rotavirus!A7,Rotavirus!A7,Scenario_data!G12))</f>
        <v>446059995.10940337</v>
      </c>
      <c r="H25" s="7">
        <f ca="1">IF(H12&gt;Rotavirus!B8,Rotavirus!B8,IF(Scenario_data!H12 &lt;Rotavirus!A8,Rotavirus!A8,Scenario_data!H12))</f>
        <v>256427774.78029674</v>
      </c>
      <c r="I25" s="7">
        <f ca="1">IF(I12&gt;Rotavirus!B9,Rotavirus!B9,IF(Scenario_data!I12 &lt;Rotavirus!A9,Rotavirus!A9,Scenario_data!I12))</f>
        <v>413848784.27904564</v>
      </c>
      <c r="J25" s="7">
        <f ca="1">IF(J12&gt;Rotavirus!B10,Rotavirus!B10,IF(Scenario_data!J12 &lt;Rotavirus!A10,Rotavirus!A10,Scenario_data!J12))</f>
        <v>543185133.04546654</v>
      </c>
      <c r="K25" s="7">
        <f ca="1">IF(K12&gt;Rotavirus!B11,Rotavirus!B11,IF(Scenario_data!K12 &lt;Rotavirus!A11,Rotavirus!A11,Scenario_data!K12))</f>
        <v>542245098.33165169</v>
      </c>
      <c r="M25" s="4"/>
    </row>
    <row r="26" spans="1:13" x14ac:dyDescent="0.25">
      <c r="A26" s="6" t="s">
        <v>15</v>
      </c>
      <c r="B26" s="7">
        <f ca="1">IF(B13&gt;PCV!B2,PCV!B2,IF(Scenario_data!B13 &lt;PCV!A2,PCV!A2,Scenario_data!B13))</f>
        <v>211403260.01881739</v>
      </c>
      <c r="C26" s="7">
        <f ca="1">IF(C13&gt;PCV!B3,PCV!B3,IF(Scenario_data!C13 &lt;PCV!A3,PCV!A3,Scenario_data!C13))</f>
        <v>299613342.8843587</v>
      </c>
      <c r="D26" s="7">
        <f ca="1">IF(D13&gt;PCV!B4,PCV!B4,IF(Scenario_data!D13 &lt;PCV!A4,PCV!A4,Scenario_data!D13))</f>
        <v>363423456.81929737</v>
      </c>
      <c r="E26" s="7">
        <f ca="1">IF(E13&gt;PCV!B5,PCV!B5,IF(Scenario_data!E13 &lt;PCV!A5,PCV!A5,Scenario_data!E13))</f>
        <v>431025210.27462173</v>
      </c>
      <c r="F26" s="7">
        <f ca="1">IF(F13&gt;PCV!B6,PCV!B6,IF(Scenario_data!F13 &lt;PCV!A6,PCV!A6,Scenario_data!F13))</f>
        <v>374903871.96941876</v>
      </c>
      <c r="G26" s="7">
        <f ca="1">IF(G13&gt;PCV!B7,PCV!B7,IF(Scenario_data!G13 &lt;PCV!A7,PCV!A7,Scenario_data!G13))</f>
        <v>315754043.89689839</v>
      </c>
      <c r="H26" s="7">
        <f ca="1">IF(H13&gt;PCV!B8,PCV!B8,IF(Scenario_data!H13 &lt;PCV!A8,PCV!A8,Scenario_data!H13))</f>
        <v>671941120.10131812</v>
      </c>
      <c r="I26" s="7">
        <f ca="1">IF(I13&gt;PCV!B9,PCV!B9,IF(Scenario_data!I13 &lt;PCV!A9,PCV!A9,Scenario_data!I13))</f>
        <v>411655009.81450933</v>
      </c>
      <c r="J26" s="7">
        <f ca="1">IF(J13&gt;PCV!B10,PCV!B10,IF(Scenario_data!J13 &lt;PCV!A10,PCV!A10,Scenario_data!J13))</f>
        <v>509524028.94588882</v>
      </c>
      <c r="K26" s="7">
        <f ca="1">IF(K13&gt;PCV!B11,PCV!B11,IF(Scenario_data!K13 &lt;PCV!A11,PCV!A11,Scenario_data!K13))</f>
        <v>648953792.91621602</v>
      </c>
      <c r="M26" s="4"/>
    </row>
    <row r="27" spans="1:13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3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3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3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3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3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2:1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</row>
  </sheetData>
  <conditionalFormatting sqref="B2:K1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Diphtheria</vt:lpstr>
      <vt:lpstr>Pertussis</vt:lpstr>
      <vt:lpstr>Polio</vt:lpstr>
      <vt:lpstr>Tetanus</vt:lpstr>
      <vt:lpstr>Rotavirus</vt:lpstr>
      <vt:lpstr>PCV</vt:lpstr>
      <vt:lpstr>Measles</vt:lpstr>
      <vt:lpstr>Mumps</vt:lpstr>
      <vt:lpstr>Rubella</vt:lpstr>
      <vt:lpstr>Hepatitis_B</vt:lpstr>
      <vt:lpstr>Hib</vt:lpstr>
      <vt:lpstr>HPV</vt:lpstr>
      <vt:lpstr>Scenario_data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2024-04-08T20:27:48Z</dcterms:created>
  <dcterms:modified xsi:type="dcterms:W3CDTF">2024-04-09T20:36:45Z</dcterms:modified>
</cp:coreProperties>
</file>