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216" documentId="13_ncr:1_{68782C53-48E3-42CA-912A-5E0671CC39DA}" xr6:coauthVersionLast="47" xr6:coauthVersionMax="47" xr10:uidLastSave="{BA8122D5-EDF5-4662-BD7C-12F76566BD82}"/>
  <bookViews>
    <workbookView xWindow="-120" yWindow="-120" windowWidth="20730" windowHeight="11040" firstSheet="2" activeTab="2" xr2:uid="{752E71BE-3FD4-4CCA-ABF0-6C5710D300B4}"/>
  </bookViews>
  <sheets>
    <sheet name="vaccine-producer list" sheetId="8" r:id="rId1"/>
    <sheet name="total_capacity_calcs" sheetId="7" r:id="rId2"/>
    <sheet name="Prod_capacity_agg" sheetId="9" r:id="rId3"/>
    <sheet name="Producers_short_name" sheetId="5" r:id="rId4"/>
    <sheet name="Medium_Capacity" sheetId="6" r:id="rId5"/>
    <sheet name="Sheet1" sheetId="10" r:id="rId6"/>
  </sheets>
  <definedNames>
    <definedName name="_xlnm._FilterDatabase" localSheetId="4" hidden="1">Medium_Capacity!$A$2:$O$18</definedName>
    <definedName name="_xlnm._FilterDatabase" localSheetId="2" hidden="1">Prod_capacity_agg!$A$1:$K$1</definedName>
    <definedName name="_xlnm._FilterDatabase" localSheetId="1" hidden="1">total_capacity_calcs!$A$229:$L$296</definedName>
    <definedName name="_xlnm._FilterDatabase" localSheetId="0" hidden="1">'vaccine-producer list'!$A$1:$R$54</definedName>
    <definedName name="GAVI_countries" localSheetId="1">#REF!</definedName>
    <definedName name="GAVI_countries" localSheetId="0">#REF!</definedName>
    <definedName name="GAVI_countries">#REF!</definedName>
  </definedNames>
  <calcPr calcId="191029" concurrentCalc="0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9" i="7" l="1"/>
  <c r="C208" i="7"/>
  <c r="E207" i="7"/>
  <c r="F207" i="7"/>
  <c r="G207" i="7"/>
  <c r="H207" i="7"/>
  <c r="I207" i="7"/>
  <c r="J207" i="7"/>
  <c r="K207" i="7"/>
  <c r="L207" i="7"/>
  <c r="D207" i="7"/>
  <c r="C207" i="7"/>
  <c r="L18" i="6"/>
  <c r="Q2" i="6"/>
  <c r="R2" i="6"/>
  <c r="Q3" i="6"/>
  <c r="R3" i="6"/>
  <c r="Q4" i="6"/>
  <c r="S4" i="6"/>
  <c r="R4" i="6"/>
  <c r="Q5" i="6"/>
  <c r="R5" i="6"/>
  <c r="S5" i="6"/>
  <c r="T5" i="6"/>
  <c r="Q6" i="6"/>
  <c r="S6" i="6"/>
  <c r="R6" i="6"/>
  <c r="T6" i="6"/>
  <c r="Q7" i="6"/>
  <c r="R7" i="6"/>
  <c r="Q8" i="6"/>
  <c r="R8" i="6"/>
  <c r="S8" i="6"/>
  <c r="Q9" i="6"/>
  <c r="R9" i="6"/>
  <c r="Q10" i="6"/>
  <c r="R10" i="6"/>
  <c r="S10" i="6"/>
  <c r="T10" i="6"/>
  <c r="U10" i="6"/>
  <c r="Q11" i="6"/>
  <c r="R11" i="6"/>
  <c r="Q12" i="6"/>
  <c r="R12" i="6"/>
  <c r="S12" i="6"/>
  <c r="Q13" i="6"/>
  <c r="R13" i="6"/>
  <c r="S13" i="6"/>
  <c r="T13" i="6"/>
  <c r="Q14" i="6"/>
  <c r="R14" i="6"/>
  <c r="Q15" i="6"/>
  <c r="R15" i="6"/>
  <c r="S15" i="6"/>
  <c r="T15" i="6"/>
  <c r="U15" i="6"/>
  <c r="V15" i="6"/>
  <c r="X15" i="6"/>
  <c r="W15" i="6"/>
  <c r="Q16" i="6"/>
  <c r="R16" i="6"/>
  <c r="S16" i="6"/>
  <c r="U16" i="6"/>
  <c r="T16" i="6"/>
  <c r="V16" i="6"/>
  <c r="Q17" i="6"/>
  <c r="R17" i="6"/>
  <c r="L3" i="6"/>
  <c r="M3" i="6"/>
  <c r="L4" i="6"/>
  <c r="M4" i="6"/>
  <c r="L5" i="6"/>
  <c r="M5" i="6"/>
  <c r="N5" i="6"/>
  <c r="L6" i="6"/>
  <c r="M6" i="6"/>
  <c r="L7" i="6"/>
  <c r="M7" i="6"/>
  <c r="L8" i="6"/>
  <c r="M8" i="6"/>
  <c r="L9" i="6"/>
  <c r="M9" i="6"/>
  <c r="L10" i="6"/>
  <c r="M10" i="6"/>
  <c r="N10" i="6"/>
  <c r="L11" i="6"/>
  <c r="M11" i="6"/>
  <c r="L12" i="6"/>
  <c r="M12" i="6"/>
  <c r="L13" i="6"/>
  <c r="M13" i="6"/>
  <c r="L14" i="6"/>
  <c r="M14" i="6"/>
  <c r="L15" i="6"/>
  <c r="M15" i="6"/>
  <c r="L16" i="6"/>
  <c r="M16" i="6"/>
  <c r="N16" i="6"/>
  <c r="L17" i="6"/>
  <c r="M17" i="6"/>
  <c r="N17" i="6"/>
  <c r="M18" i="6"/>
  <c r="L2" i="6"/>
  <c r="M2" i="6"/>
  <c r="N62" i="9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30" i="7"/>
  <c r="L232" i="7"/>
  <c r="K230" i="7"/>
  <c r="K232" i="7"/>
  <c r="J230" i="7"/>
  <c r="J232" i="7"/>
  <c r="I230" i="7"/>
  <c r="I232" i="7"/>
  <c r="H230" i="7"/>
  <c r="H232" i="7"/>
  <c r="G230" i="7"/>
  <c r="G232" i="7"/>
  <c r="F230" i="7"/>
  <c r="F232" i="7"/>
  <c r="E230" i="7"/>
  <c r="E232" i="7"/>
  <c r="D230" i="7"/>
  <c r="D232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  <c r="Y15" i="6"/>
  <c r="T7" i="6"/>
  <c r="U6" i="6"/>
  <c r="V6" i="6"/>
  <c r="Z15" i="6"/>
  <c r="U5" i="6"/>
  <c r="V5" i="6"/>
  <c r="T17" i="6"/>
  <c r="U12" i="6"/>
  <c r="T4" i="6"/>
  <c r="W16" i="6"/>
  <c r="S11" i="6"/>
  <c r="T11" i="6"/>
  <c r="X16" i="6"/>
  <c r="V10" i="6"/>
  <c r="W10" i="6"/>
  <c r="S17" i="6"/>
  <c r="S9" i="6"/>
  <c r="S14" i="6"/>
  <c r="U13" i="6"/>
  <c r="T8" i="6"/>
  <c r="S3" i="6"/>
  <c r="S2" i="6"/>
  <c r="T12" i="6"/>
  <c r="S7" i="6"/>
  <c r="N2" i="6"/>
  <c r="O2" i="6"/>
  <c r="N11" i="6"/>
  <c r="O11" i="6"/>
  <c r="P11" i="6"/>
  <c r="N18" i="6"/>
  <c r="O18" i="6"/>
  <c r="N9" i="6"/>
  <c r="O9" i="6"/>
  <c r="P9" i="6"/>
  <c r="O5" i="6"/>
  <c r="P5" i="6"/>
  <c r="N12" i="6"/>
  <c r="O12" i="6"/>
  <c r="O17" i="6"/>
  <c r="P17" i="6"/>
  <c r="N14" i="6"/>
  <c r="O14" i="6"/>
  <c r="N13" i="6"/>
  <c r="O13" i="6"/>
  <c r="N4" i="6"/>
  <c r="O4" i="6"/>
  <c r="O16" i="6"/>
  <c r="P16" i="6"/>
  <c r="N3" i="6"/>
  <c r="O3" i="6"/>
  <c r="N15" i="6"/>
  <c r="O15" i="6"/>
  <c r="N8" i="6"/>
  <c r="O10" i="6"/>
  <c r="P10" i="6"/>
  <c r="N7" i="6"/>
  <c r="O7" i="6"/>
  <c r="N6" i="6"/>
  <c r="P18" i="6"/>
  <c r="Q18" i="6"/>
  <c r="U2" i="6"/>
  <c r="Y10" i="6"/>
  <c r="X10" i="6"/>
  <c r="T9" i="6"/>
  <c r="V4" i="6"/>
  <c r="W12" i="6"/>
  <c r="V17" i="6"/>
  <c r="X5" i="6"/>
  <c r="W5" i="6"/>
  <c r="U17" i="6"/>
  <c r="T2" i="6"/>
  <c r="V13" i="6"/>
  <c r="W6" i="6"/>
  <c r="T14" i="6"/>
  <c r="T3" i="6"/>
  <c r="U11" i="6"/>
  <c r="U8" i="6"/>
  <c r="U7" i="6"/>
  <c r="Y16" i="6"/>
  <c r="V12" i="6"/>
  <c r="U4" i="6"/>
  <c r="AA15" i="6"/>
  <c r="P12" i="6"/>
  <c r="P2" i="6"/>
  <c r="P14" i="6"/>
  <c r="P7" i="6"/>
  <c r="O6" i="6"/>
  <c r="P6" i="6"/>
  <c r="P13" i="6"/>
  <c r="O8" i="6"/>
  <c r="P8" i="6"/>
  <c r="P15" i="6"/>
  <c r="P4" i="6"/>
  <c r="P3" i="6"/>
  <c r="R18" i="6"/>
  <c r="S18" i="6"/>
  <c r="X12" i="6"/>
  <c r="Z5" i="6"/>
  <c r="AA16" i="6"/>
  <c r="V11" i="6"/>
  <c r="V7" i="6"/>
  <c r="Z10" i="6"/>
  <c r="AA10" i="6"/>
  <c r="Y12" i="6"/>
  <c r="Z16" i="6"/>
  <c r="Y6" i="6"/>
  <c r="U9" i="6"/>
  <c r="U14" i="6"/>
  <c r="W13" i="6"/>
  <c r="V2" i="6"/>
  <c r="V8" i="6"/>
  <c r="W17" i="6"/>
  <c r="X17" i="6"/>
  <c r="U3" i="6"/>
  <c r="AB15" i="6"/>
  <c r="W2" i="6"/>
  <c r="W4" i="6"/>
  <c r="Y5" i="6"/>
  <c r="X6" i="6"/>
  <c r="T18" i="6"/>
  <c r="U18" i="6"/>
  <c r="X4" i="6"/>
  <c r="X2" i="6"/>
  <c r="Y2" i="6"/>
  <c r="V3" i="6"/>
  <c r="X11" i="6"/>
  <c r="AC10" i="6"/>
  <c r="W9" i="6"/>
  <c r="AB10" i="6"/>
  <c r="AC15" i="6"/>
  <c r="Y17" i="6"/>
  <c r="V9" i="6"/>
  <c r="W11" i="6"/>
  <c r="W8" i="6"/>
  <c r="W14" i="6"/>
  <c r="W7" i="6"/>
  <c r="X13" i="6"/>
  <c r="Z6" i="6"/>
  <c r="AB16" i="6"/>
  <c r="Z12" i="6"/>
  <c r="AA5" i="6"/>
  <c r="V14" i="6"/>
  <c r="V18" i="6"/>
  <c r="W18" i="6"/>
  <c r="AB6" i="6"/>
  <c r="AE15" i="6"/>
  <c r="AB5" i="6"/>
  <c r="Z13" i="6"/>
  <c r="Y8" i="6"/>
  <c r="AB12" i="6"/>
  <c r="AC16" i="6"/>
  <c r="AD10" i="6"/>
  <c r="AA6" i="6"/>
  <c r="AD15" i="6"/>
  <c r="W3" i="6"/>
  <c r="Z2" i="6"/>
  <c r="AA12" i="6"/>
  <c r="Y13" i="6"/>
  <c r="Y11" i="6"/>
  <c r="Z11" i="6"/>
  <c r="X7" i="6"/>
  <c r="X9" i="6"/>
  <c r="X8" i="6"/>
  <c r="Y4" i="6"/>
  <c r="X14" i="6"/>
  <c r="Z17" i="6"/>
  <c r="X18" i="6"/>
  <c r="Z8" i="6"/>
  <c r="Y7" i="6"/>
  <c r="AD12" i="6"/>
  <c r="Y14" i="6"/>
  <c r="Z14" i="6"/>
  <c r="AA8" i="6"/>
  <c r="AA11" i="6"/>
  <c r="AE16" i="6"/>
  <c r="Z9" i="6"/>
  <c r="AB13" i="6"/>
  <c r="Z4" i="6"/>
  <c r="AA13" i="6"/>
  <c r="AC12" i="6"/>
  <c r="Y9" i="6"/>
  <c r="AB2" i="6"/>
  <c r="AD16" i="6"/>
  <c r="AF15" i="6"/>
  <c r="AG15" i="6"/>
  <c r="AE10" i="6"/>
  <c r="X3" i="6"/>
  <c r="AC6" i="6"/>
  <c r="AC5" i="6"/>
  <c r="AA17" i="6"/>
  <c r="AA2" i="6"/>
  <c r="Z18" i="6"/>
  <c r="Y18" i="6"/>
  <c r="AB17" i="6"/>
  <c r="AD6" i="6"/>
  <c r="AC11" i="6"/>
  <c r="AF16" i="6"/>
  <c r="AA7" i="6"/>
  <c r="Z7" i="6"/>
  <c r="AD13" i="6"/>
  <c r="AA14" i="6"/>
  <c r="Y3" i="6"/>
  <c r="AF10" i="6"/>
  <c r="AD5" i="6"/>
  <c r="AH15" i="6"/>
  <c r="AA4" i="6"/>
  <c r="AA9" i="6"/>
  <c r="AE12" i="6"/>
  <c r="AC2" i="6"/>
  <c r="AB8" i="6"/>
  <c r="AC13" i="6"/>
  <c r="AB11" i="6"/>
  <c r="AB18" i="6"/>
  <c r="AA18" i="6"/>
  <c r="AE2" i="6"/>
  <c r="AB7" i="6"/>
  <c r="AC9" i="6"/>
  <c r="AD2" i="6"/>
  <c r="AG16" i="6"/>
  <c r="AH10" i="6"/>
  <c r="AC7" i="6"/>
  <c r="AD8" i="6"/>
  <c r="AF12" i="6"/>
  <c r="AC4" i="6"/>
  <c r="AC8" i="6"/>
  <c r="AB9" i="6"/>
  <c r="AB4" i="6"/>
  <c r="AE6" i="6"/>
  <c r="AG10" i="6"/>
  <c r="AC17" i="6"/>
  <c r="AE5" i="6"/>
  <c r="AD11" i="6"/>
  <c r="AE11" i="6"/>
  <c r="AC14" i="6"/>
  <c r="AI15" i="6"/>
  <c r="AE13" i="6"/>
  <c r="AF13" i="6"/>
  <c r="Z3" i="6"/>
  <c r="AA3" i="6"/>
  <c r="AB14" i="6"/>
  <c r="AD18" i="6"/>
  <c r="AE18" i="6"/>
  <c r="AC18" i="6"/>
  <c r="AK15" i="6"/>
  <c r="AF11" i="6"/>
  <c r="AE17" i="6"/>
  <c r="AI10" i="6"/>
  <c r="AE9" i="6"/>
  <c r="AG5" i="6"/>
  <c r="AE14" i="6"/>
  <c r="AE7" i="6"/>
  <c r="AI16" i="6"/>
  <c r="AF5" i="6"/>
  <c r="AJ15" i="6"/>
  <c r="AH16" i="6"/>
  <c r="AD4" i="6"/>
  <c r="AF2" i="6"/>
  <c r="AD17" i="6"/>
  <c r="AD9" i="6"/>
  <c r="AD7" i="6"/>
  <c r="AF6" i="6"/>
  <c r="AD14" i="6"/>
  <c r="AE8" i="6"/>
  <c r="AG13" i="6"/>
  <c r="AG12" i="6"/>
  <c r="AB3" i="6"/>
  <c r="AI5" i="6"/>
  <c r="AF7" i="6"/>
  <c r="AJ10" i="6"/>
  <c r="AK10" i="6"/>
  <c r="AH12" i="6"/>
  <c r="AF18" i="6"/>
  <c r="AG11" i="6"/>
  <c r="AH11" i="6"/>
  <c r="AG9" i="6"/>
  <c r="AF14" i="6"/>
  <c r="AF9" i="6"/>
  <c r="AF17" i="6"/>
  <c r="AF8" i="6"/>
  <c r="AJ16" i="6"/>
  <c r="AG6" i="6"/>
  <c r="AH6" i="6"/>
  <c r="AG2" i="6"/>
  <c r="AL15" i="6"/>
  <c r="AH13" i="6"/>
  <c r="AE4" i="6"/>
  <c r="AH5" i="6"/>
  <c r="AC3" i="6"/>
  <c r="AM10" i="6"/>
  <c r="AM15" i="6"/>
  <c r="AG8" i="6"/>
  <c r="AK16" i="6"/>
  <c r="AL16" i="6"/>
  <c r="AI6" i="6"/>
  <c r="AG4" i="6"/>
  <c r="AI11" i="6"/>
  <c r="AL10" i="6"/>
  <c r="AH7" i="6"/>
  <c r="AF4" i="6"/>
  <c r="AH2" i="6"/>
  <c r="AG18" i="6"/>
  <c r="AH9" i="6"/>
  <c r="AI13" i="6"/>
  <c r="AG17" i="6"/>
  <c r="AI12" i="6"/>
  <c r="AE3" i="6"/>
  <c r="AG14" i="6"/>
  <c r="AH14" i="6"/>
  <c r="AJ5" i="6"/>
  <c r="AK5" i="6"/>
  <c r="AG7" i="6"/>
  <c r="AD3" i="6"/>
  <c r="AL5" i="6"/>
  <c r="AK6" i="6"/>
  <c r="AK12" i="6"/>
  <c r="AO15" i="6"/>
  <c r="AI14" i="6"/>
  <c r="AM16" i="6"/>
  <c r="AH8" i="6"/>
  <c r="AJ12" i="6"/>
  <c r="AN15" i="6"/>
  <c r="AH17" i="6"/>
  <c r="AJ13" i="6"/>
  <c r="AJ2" i="6"/>
  <c r="AH18" i="6"/>
  <c r="AH4" i="6"/>
  <c r="AI9" i="6"/>
  <c r="AF3" i="6"/>
  <c r="AN10" i="6"/>
  <c r="AJ11" i="6"/>
  <c r="AK11" i="6"/>
  <c r="AI7" i="6"/>
  <c r="AI2" i="6"/>
  <c r="AJ6" i="6"/>
  <c r="AO16" i="6"/>
  <c r="AI8" i="6"/>
  <c r="AO10" i="6"/>
  <c r="AM6" i="6"/>
  <c r="AK9" i="6"/>
  <c r="AJ4" i="6"/>
  <c r="AI17" i="6"/>
  <c r="AL13" i="6"/>
  <c r="AJ9" i="6"/>
  <c r="AL11" i="6"/>
  <c r="AJ7" i="6"/>
  <c r="AK7" i="6"/>
  <c r="AI4" i="6"/>
  <c r="AP15" i="6"/>
  <c r="AG3" i="6"/>
  <c r="AI18" i="6"/>
  <c r="AJ18" i="6"/>
  <c r="AL12" i="6"/>
  <c r="AJ14" i="6"/>
  <c r="AL6" i="6"/>
  <c r="AM5" i="6"/>
  <c r="AN5" i="6"/>
  <c r="AK2" i="6"/>
  <c r="AK13" i="6"/>
  <c r="AN16" i="6"/>
  <c r="AM9" i="6"/>
  <c r="AQ10" i="6"/>
  <c r="AM2" i="6"/>
  <c r="AO5" i="6"/>
  <c r="AN6" i="6"/>
  <c r="AN12" i="6"/>
  <c r="AK14" i="6"/>
  <c r="AI3" i="6"/>
  <c r="AK4" i="6"/>
  <c r="AL2" i="6"/>
  <c r="AM12" i="6"/>
  <c r="AN11" i="6"/>
  <c r="AL4" i="6"/>
  <c r="AK18" i="6"/>
  <c r="AP10" i="6"/>
  <c r="AJ17" i="6"/>
  <c r="AJ8" i="6"/>
  <c r="AL7" i="6"/>
  <c r="AH3" i="6"/>
  <c r="AQ15" i="6"/>
  <c r="AP16" i="6"/>
  <c r="AM13" i="6"/>
  <c r="AL9" i="6"/>
  <c r="AM11" i="6"/>
  <c r="AJ3" i="6"/>
  <c r="AO13" i="6"/>
  <c r="AN7" i="6"/>
  <c r="AK8" i="6"/>
  <c r="AL8" i="6"/>
  <c r="AL17" i="6"/>
  <c r="AR10" i="6"/>
  <c r="AN13" i="6"/>
  <c r="AM7" i="6"/>
  <c r="AS15" i="6"/>
  <c r="AL14" i="6"/>
  <c r="AQ16" i="6"/>
  <c r="AM18" i="6"/>
  <c r="AK17" i="6"/>
  <c r="AO12" i="6"/>
  <c r="AO6" i="6"/>
  <c r="AN2" i="6"/>
  <c r="AP5" i="6"/>
  <c r="AO11" i="6"/>
  <c r="AM4" i="6"/>
  <c r="AN4" i="6"/>
  <c r="AN9" i="6"/>
  <c r="AR15" i="6"/>
  <c r="AL18" i="6"/>
  <c r="AP9" i="6"/>
  <c r="AP2" i="6"/>
  <c r="AP11" i="6"/>
  <c r="AN17" i="6"/>
  <c r="AM8" i="6"/>
  <c r="AP6" i="6"/>
  <c r="AO4" i="6"/>
  <c r="AR5" i="6"/>
  <c r="AP12" i="6"/>
  <c r="AQ12" i="6"/>
  <c r="AM17" i="6"/>
  <c r="AO9" i="6"/>
  <c r="AO2" i="6"/>
  <c r="AR16" i="6"/>
  <c r="AQ5" i="6"/>
  <c r="AS10" i="6"/>
  <c r="AL3" i="6"/>
  <c r="AN18" i="6"/>
  <c r="AO7" i="6"/>
  <c r="AM14" i="6"/>
  <c r="AT15" i="6"/>
  <c r="AU15" i="6"/>
  <c r="AP13" i="6"/>
  <c r="AK3" i="6"/>
  <c r="AO8" i="6"/>
  <c r="AS5" i="6"/>
  <c r="AT5" i="6"/>
  <c r="AT16" i="6"/>
  <c r="AO18" i="6"/>
  <c r="AQ7" i="6"/>
  <c r="AQ13" i="6"/>
  <c r="AN14" i="6"/>
  <c r="AV15" i="6"/>
  <c r="AT10" i="6"/>
  <c r="AS16" i="6"/>
  <c r="AQ11" i="6"/>
  <c r="AQ2" i="6"/>
  <c r="AP7" i="6"/>
  <c r="AQ9" i="6"/>
  <c r="AQ6" i="6"/>
  <c r="AM3" i="6"/>
  <c r="AO17" i="6"/>
  <c r="AP4" i="6"/>
  <c r="AR12" i="6"/>
  <c r="AN8" i="6"/>
  <c r="AR4" i="6"/>
  <c r="AS13" i="6"/>
  <c r="AS6" i="6"/>
  <c r="AS9" i="6"/>
  <c r="AV16" i="6"/>
  <c r="AS11" i="6"/>
  <c r="AU16" i="6"/>
  <c r="AW15" i="6"/>
  <c r="AX15" i="6"/>
  <c r="AQ17" i="6"/>
  <c r="AS7" i="6"/>
  <c r="AR13" i="6"/>
  <c r="AR7" i="6"/>
  <c r="AR6" i="6"/>
  <c r="AR9" i="6"/>
  <c r="AR2" i="6"/>
  <c r="AU5" i="6"/>
  <c r="AR11" i="6"/>
  <c r="AP18" i="6"/>
  <c r="AO14" i="6"/>
  <c r="AP17" i="6"/>
  <c r="AU10" i="6"/>
  <c r="AV10" i="6"/>
  <c r="AN3" i="6"/>
  <c r="AP8" i="6"/>
  <c r="AQ4" i="6"/>
  <c r="AS12" i="6"/>
  <c r="AR17" i="6"/>
  <c r="AQ8" i="6"/>
  <c r="AQ14" i="6"/>
  <c r="AT11" i="6"/>
  <c r="AW5" i="6"/>
  <c r="AT2" i="6"/>
  <c r="AY15" i="6"/>
  <c r="AX16" i="6"/>
  <c r="AU7" i="6"/>
  <c r="AW10" i="6"/>
  <c r="AW16" i="6"/>
  <c r="AO3" i="6"/>
  <c r="AT9" i="6"/>
  <c r="AU9" i="6"/>
  <c r="AV5" i="6"/>
  <c r="AP14" i="6"/>
  <c r="AT6" i="6"/>
  <c r="AS2" i="6"/>
  <c r="AQ18" i="6"/>
  <c r="AU12" i="6"/>
  <c r="AT7" i="6"/>
  <c r="AS4" i="6"/>
  <c r="AT13" i="6"/>
  <c r="AT12" i="6"/>
  <c r="AV7" i="6"/>
  <c r="AU13" i="6"/>
  <c r="AY5" i="6"/>
  <c r="AU2" i="6"/>
  <c r="AV2" i="6"/>
  <c r="AV6" i="6"/>
  <c r="AR8" i="6"/>
  <c r="AW7" i="6"/>
  <c r="AT4" i="6"/>
  <c r="AW12" i="6"/>
  <c r="AV11" i="6"/>
  <c r="AR14" i="6"/>
  <c r="AX5" i="6"/>
  <c r="AV9" i="6"/>
  <c r="AR18" i="6"/>
  <c r="AS18" i="6"/>
  <c r="AU6" i="6"/>
  <c r="AU11" i="6"/>
  <c r="AS17" i="6"/>
  <c r="AY16" i="6"/>
  <c r="AP3" i="6"/>
  <c r="AV12" i="6"/>
  <c r="AX10" i="6"/>
  <c r="AY10" i="6"/>
  <c r="AX12" i="6"/>
  <c r="AS8" i="6"/>
  <c r="AX6" i="6"/>
  <c r="AW6" i="6"/>
  <c r="AT17" i="6"/>
  <c r="AQ3" i="6"/>
  <c r="AW13" i="6"/>
  <c r="AU4" i="6"/>
  <c r="AY12" i="6"/>
  <c r="AW11" i="6"/>
  <c r="AW2" i="6"/>
  <c r="AT18" i="6"/>
  <c r="AX7" i="6"/>
  <c r="AY7" i="6"/>
  <c r="AV13" i="6"/>
  <c r="AS14" i="6"/>
  <c r="AW9" i="6"/>
  <c r="AY6" i="6"/>
  <c r="AX13" i="6"/>
  <c r="AY13" i="6"/>
  <c r="AT8" i="6"/>
  <c r="AU8" i="6"/>
  <c r="AT14" i="6"/>
  <c r="AU14" i="6"/>
  <c r="AV4" i="6"/>
  <c r="AU17" i="6"/>
  <c r="AV17" i="6"/>
  <c r="AX9" i="6"/>
  <c r="AY9" i="6"/>
  <c r="AR3" i="6"/>
  <c r="AS3" i="6"/>
  <c r="AU18" i="6"/>
  <c r="AV18" i="6"/>
  <c r="AX11" i="6"/>
  <c r="AY11" i="6"/>
  <c r="AX2" i="6"/>
  <c r="AY2" i="6"/>
  <c r="AV8" i="6"/>
  <c r="AW18" i="6"/>
  <c r="AX18" i="6"/>
  <c r="AT3" i="6"/>
  <c r="AW17" i="6"/>
  <c r="AV14" i="6"/>
  <c r="AW4" i="6"/>
  <c r="AY18" i="6"/>
  <c r="AX4" i="6"/>
  <c r="AY4" i="6"/>
  <c r="AW8" i="6"/>
  <c r="AW14" i="6"/>
  <c r="AX14" i="6"/>
  <c r="AX17" i="6"/>
  <c r="AY17" i="6"/>
  <c r="AU3" i="6"/>
  <c r="AX8" i="6"/>
  <c r="AY8" i="6"/>
  <c r="AV3" i="6"/>
  <c r="AY14" i="6"/>
  <c r="AW3" i="6"/>
  <c r="AX3" i="6"/>
  <c r="AY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sharedStrings.xml><?xml version="1.0" encoding="utf-8"?>
<sst xmlns="http://schemas.openxmlformats.org/spreadsheetml/2006/main" count="757" uniqueCount="173">
  <si>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</si>
  <si>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</si>
  <si>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</si>
  <si>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</si>
  <si>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</si>
  <si>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</si>
  <si>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</si>
  <si>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</si>
  <si>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</si>
  <si>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</si>
  <si>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</si>
  <si>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</si>
  <si>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</si>
  <si>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</si>
  <si>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</si>
  <si>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</si>
  <si>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</si>
  <si>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</si>
  <si>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</si>
  <si>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</si>
  <si>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</si>
  <si>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</si>
  <si>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</si>
  <si>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</si>
  <si>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</si>
  <si>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</si>
  <si>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</si>
  <si>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</si>
  <si>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</si>
  <si>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</si>
  <si>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</si>
  <si>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</si>
  <si>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</si>
  <si>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</si>
  <si>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</si>
  <si>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</si>
  <si>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</si>
  <si>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</si>
  <si>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</si>
  <si>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</si>
  <si>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</si>
  <si>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</si>
  <si>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</si>
  <si>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</si>
  <si>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</si>
  <si>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</si>
  <si>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</si>
  <si>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</si>
  <si>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</si>
  <si>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</si>
  <si>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</si>
  <si>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</si>
  <si>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</si>
  <si>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</si>
  <si>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</si>
  <si>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</si>
  <si>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</si>
  <si>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</si>
  <si>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</si>
  <si>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</si>
  <si>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</si>
  <si>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</si>
  <si>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</si>
  <si>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</si>
  <si>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</si>
  <si>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</si>
  <si>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</si>
  <si>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</si>
  <si>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</si>
  <si>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</si>
  <si>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</si>
  <si>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</si>
  <si>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</si>
  <si>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</si>
  <si>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</si>
  <si>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</si>
  <si>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</si>
  <si>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</si>
  <si>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</si>
  <si>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</si>
  <si>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</si>
  <si>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</si>
  <si>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</si>
  <si>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</si>
  <si>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</si>
  <si>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</si>
  <si>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</si>
  <si>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</si>
  <si>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</si>
  <si>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</si>
  <si>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</si>
  <si>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</si>
  <si>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</si>
  <si>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</si>
  <si>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</si>
  <si>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</si>
  <si>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</si>
  <si>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</si>
  <si>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</si>
  <si>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</si>
  <si>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</si>
  <si>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</si>
  <si>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</si>
  <si>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</si>
  <si>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</si>
  <si>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</si>
  <si>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</si>
  <si>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</si>
  <si>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</si>
  <si>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</si>
  <si>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</si>
  <si>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</si>
  <si>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</si>
  <si>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</si>
  <si>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</si>
  <si>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</si>
  <si>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</si>
  <si>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</si>
  <si>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</si>
  <si>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</si>
  <si>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</si>
  <si>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</si>
  <si>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</si>
  <si>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</si>
  <si>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</si>
  <si>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</si>
  <si>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</si>
  <si>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</si>
  <si>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</si>
  <si>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</si>
  <si>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</si>
  <si>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</si>
  <si>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</si>
  <si>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</si>
  <si>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</si>
  <si>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</si>
  <si>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</si>
  <si>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</si>
  <si>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</si>
  <si>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</si>
  <si>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</si>
  <si>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</si>
  <si>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</si>
  <si>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</si>
  <si>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</si>
  <si>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</si>
  <si>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</si>
  <si>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</si>
  <si>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</si>
  <si>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</si>
  <si>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</si>
  <si>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</si>
  <si>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</si>
  <si>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</si>
  <si>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</si>
  <si>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</si>
  <si>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</si>
  <si>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</si>
  <si>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</si>
  <si>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</si>
  <si>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</si>
  <si>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</si>
  <si>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</si>
  <si>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</si>
  <si>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</si>
  <si>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</si>
  <si>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</si>
  <si>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</si>
  <si>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</si>
  <si>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</si>
  <si>
    <t>Producer X</t>
  </si>
  <si>
    <t>"Producer_X"</t>
  </si>
  <si>
    <t>CO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</si>
</sst>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98658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7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43" fontId="0" fillId="0" borderId="0" xfId="0" applyNumberFormat="1"/>
    <xf numFmtId="4" fontId="0" fillId="0" borderId="0" xfId="0" applyNumberFormat="1"/>
    <xf numFmtId="4" fontId="10" fillId="0" borderId="0" xfId="0" applyNumberFormat="1" applyFont="1" applyAlignment="1">
      <alignment vertical="center"/>
    </xf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T54"/>
  <sheetViews>
    <sheetView zoomScale="79" zoomScaleNormal="100" workbookViewId="0">
      <selection activeCell="A12" sqref="A12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170</v>
      </c>
    </row>
    <row r="2" spans="1:20" x14ac:dyDescent="0.25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</row>
    <row r="3" spans="1:20" x14ac:dyDescent="0.25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</row>
    <row r="4" spans="1:20" x14ac:dyDescent="0.25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</row>
    <row r="5" spans="1:20" x14ac:dyDescent="0.25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</row>
    <row r="6" spans="1:20" x14ac:dyDescent="0.25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</row>
    <row r="7" spans="1:20" x14ac:dyDescent="0.25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</row>
    <row r="8" spans="1:20" x14ac:dyDescent="0.25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</row>
    <row r="9" spans="1:20" x14ac:dyDescent="0.25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</row>
    <row r="10" spans="1:20" x14ac:dyDescent="0.25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</row>
    <row r="11" spans="1:20" x14ac:dyDescent="0.25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</row>
    <row r="12" spans="1:20" x14ac:dyDescent="0.25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</row>
    <row r="13" spans="1:20" x14ac:dyDescent="0.25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</row>
    <row r="14" spans="1:20" x14ac:dyDescent="0.25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</row>
    <row r="15" spans="1:20" x14ac:dyDescent="0.25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</row>
    <row r="16" spans="1:20" x14ac:dyDescent="0.25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</row>
    <row r="17" spans="1:20" x14ac:dyDescent="0.25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</row>
    <row r="18" spans="1:20" x14ac:dyDescent="0.25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</row>
    <row r="19" spans="1:20" x14ac:dyDescent="0.25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</row>
    <row r="20" spans="1:20" x14ac:dyDescent="0.25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0" x14ac:dyDescent="0.2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0" x14ac:dyDescent="0.25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0" x14ac:dyDescent="0.25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0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0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0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0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0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0" x14ac:dyDescent="0.25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0" x14ac:dyDescent="0.25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0" x14ac:dyDescent="0.25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0" x14ac:dyDescent="0.25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25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2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2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25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25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25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25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25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25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25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25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25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25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25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25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25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25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25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25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25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opLeftCell="A47" zoomScale="80" zoomScaleNormal="80" workbookViewId="0">
      <pane xSplit="1" topLeftCell="B1" activePane="topRight" state="frozen"/>
      <selection pane="topRight" activeCell="C210" sqref="C210"/>
    </sheetView>
  </sheetViews>
  <sheetFormatPr defaultColWidth="9.140625" defaultRowHeight="15" x14ac:dyDescent="0.25"/>
  <cols>
    <col min="1" max="1" width="94.710937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40625" style="2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43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25">
      <c r="A3" s="43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25">
      <c r="A4" s="43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25">
      <c r="A5" s="43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25">
      <c r="A6" s="43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25">
      <c r="A7" s="43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25">
      <c r="A8" s="43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25">
      <c r="A9" s="43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25">
      <c r="A10" s="43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25">
      <c r="A11" s="43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25">
      <c r="A12" s="43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25">
      <c r="A13" s="43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25">
      <c r="A14" s="43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25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43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43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25">
      <c r="A19" s="43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25">
      <c r="A20" s="43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25">
      <c r="A21" s="43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25">
      <c r="A22" s="43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43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25">
      <c r="A24" s="43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43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25">
      <c r="A26" s="43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25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43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25">
      <c r="A29" s="43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25">
      <c r="A30" s="43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25">
      <c r="A31" s="43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25">
      <c r="A32" s="43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25">
      <c r="A33" s="43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25">
      <c r="A34" s="43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25">
      <c r="A35" s="43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25">
      <c r="A36" s="43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25">
      <c r="A37" s="43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25">
      <c r="A38" s="43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25">
      <c r="A39" s="43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25">
      <c r="A40" s="43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25">
      <c r="A41" s="43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25">
      <c r="A42" s="43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25">
      <c r="A43" s="43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43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25">
      <c r="A45" s="43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43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25">
      <c r="A47" s="43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25">
      <c r="A48" s="43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25">
      <c r="A49" s="43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25">
      <c r="A50" s="43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43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43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43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25">
      <c r="A54" s="43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25">
      <c r="A55" s="43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25">
      <c r="A56" s="43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25">
      <c r="A57" s="43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25">
      <c r="A58" s="43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25">
      <c r="A59" s="43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25">
      <c r="A60" s="43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25">
      <c r="A61" s="43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43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25">
      <c r="A63" s="43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25">
      <c r="A64" s="43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25">
      <c r="A65" s="43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43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25">
      <c r="A67" s="43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25">
      <c r="A68" s="43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25">
      <c r="A69" s="43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25">
      <c r="A70" s="43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43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25">
      <c r="A72" s="43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43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25">
      <c r="A74" s="43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25">
      <c r="A75" s="43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25">
      <c r="A76" s="43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25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25">
      <c r="A78" s="43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25">
      <c r="A79" s="43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25">
      <c r="A80" s="43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25">
      <c r="A81" s="43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25">
      <c r="A82" s="43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25">
      <c r="A83" s="43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25">
      <c r="A84" s="43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25">
      <c r="A85" s="43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25">
      <c r="A86" s="43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25">
      <c r="A87" s="43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43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25">
      <c r="A89" s="43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25">
      <c r="A90" s="44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45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25">
      <c r="A92" s="45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25">
      <c r="A93" s="45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25">
      <c r="A94" s="46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25">
      <c r="A95" s="43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25">
      <c r="A96" s="43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25">
      <c r="A97" s="43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25">
      <c r="A98" s="43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25">
      <c r="A99" s="43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43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25">
      <c r="A101" s="43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25">
      <c r="A102" s="43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43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25">
      <c r="A104" s="43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25">
      <c r="A105" s="43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25">
      <c r="A106" s="43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25">
      <c r="A107" s="43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25">
      <c r="A108" s="43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25">
      <c r="A109" s="43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43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25">
      <c r="A111" s="43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25">
      <c r="A112" s="43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25">
      <c r="A113" s="43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25">
      <c r="A114" s="43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25">
      <c r="A115" s="43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25">
      <c r="A116" s="43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25">
      <c r="A117" s="43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25">
      <c r="A118" s="43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25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25">
      <c r="A120" s="43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43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25">
      <c r="A122" s="43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25">
      <c r="A123" s="43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25">
      <c r="A124" s="43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25">
      <c r="A125" s="43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25">
      <c r="A126" s="43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43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43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43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43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43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25">
      <c r="A132" s="43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25">
      <c r="A133" s="43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25">
      <c r="A134" s="43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25">
      <c r="A135" s="43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25">
      <c r="A136" s="43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25">
      <c r="A137" s="43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25">
      <c r="A138" s="43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25">
      <c r="A139" s="43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25">
      <c r="A140" s="43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25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25">
      <c r="A142" s="43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25">
      <c r="A143" s="43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25">
      <c r="A144" s="43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25">
      <c r="A145" s="43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25">
      <c r="A146" s="43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25">
      <c r="A147" s="43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25">
      <c r="A148" s="43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25">
      <c r="A149" s="43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25">
      <c r="A150" s="43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25">
      <c r="A151" s="43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25">
      <c r="A152" s="43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25">
      <c r="A153" s="43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25">
      <c r="A154" s="43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25">
      <c r="A155" s="43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25">
      <c r="A156" s="43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25">
      <c r="A157" s="43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25">
      <c r="A158" s="43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25">
      <c r="A159" s="43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25">
      <c r="A160" s="43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25">
      <c r="A161" s="43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43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43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43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25">
      <c r="A165" s="43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25">
      <c r="A166" s="43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25">
      <c r="A167" s="43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25">
      <c r="A168" s="43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43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25">
      <c r="A170" s="43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25">
      <c r="A171" s="43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25">
      <c r="A172" s="43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25">
      <c r="A173" s="43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25">
      <c r="A174" s="43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43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43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25">
      <c r="A177" s="43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25">
      <c r="A178" s="43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25">
      <c r="A179" s="43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25">
      <c r="A180" s="43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25">
      <c r="A181" s="43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25">
      <c r="A182" s="43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43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43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43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43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43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43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25">
      <c r="A189" s="43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25">
      <c r="A190" s="43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25">
      <c r="A191" s="43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25">
      <c r="A192" s="43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43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25">
      <c r="A194" s="43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25">
      <c r="A195" s="43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25">
      <c r="A196" s="43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25">
      <c r="A197" s="43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43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25">
      <c r="A199" s="43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25">
      <c r="A200" s="43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25">
      <c r="A201" s="43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25">
      <c r="A202" s="43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25">
      <c r="A203" s="43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25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25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25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25">
      <c r="A207" s="2" t="s">
        <v>43</v>
      </c>
      <c r="B207" s="2" t="s">
        <v>110</v>
      </c>
      <c r="C207" s="8">
        <f>SUM(C92+C93)</f>
        <v>62765698.894231752</v>
      </c>
      <c r="D207" s="8">
        <f>SUM(D92+D93)</f>
        <v>104605466.70853016</v>
      </c>
      <c r="E207" s="8">
        <f t="shared" ref="E207:L207" si="0">SUM(E92+E93)</f>
        <v>90210217.166338012</v>
      </c>
      <c r="F207" s="8">
        <f t="shared" si="0"/>
        <v>69199357.094551593</v>
      </c>
      <c r="G207" s="8">
        <f t="shared" si="0"/>
        <v>86221766.026547611</v>
      </c>
      <c r="H207" s="8">
        <f t="shared" si="0"/>
        <v>20943493.617039636</v>
      </c>
      <c r="I207" s="8">
        <f t="shared" si="0"/>
        <v>12437570.342499999</v>
      </c>
      <c r="J207" s="8">
        <f t="shared" si="0"/>
        <v>899709.40166666661</v>
      </c>
      <c r="K207" s="8">
        <f t="shared" si="0"/>
        <v>923478.11952380964</v>
      </c>
      <c r="L207" s="8">
        <f t="shared" si="0"/>
        <v>951559.21642857138</v>
      </c>
    </row>
    <row r="208" spans="1:12" x14ac:dyDescent="0.25">
      <c r="A208" s="2" t="s">
        <v>57</v>
      </c>
      <c r="B208" s="2" t="s">
        <v>110</v>
      </c>
      <c r="C208" s="8">
        <f>C138+C139</f>
        <v>331279149.4189564</v>
      </c>
      <c r="D208" s="8">
        <f t="shared" ref="C208:L208" si="1">D138+D139</f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25">
      <c r="A209" s="2" t="s">
        <v>55</v>
      </c>
      <c r="B209" s="2" t="s">
        <v>110</v>
      </c>
      <c r="C209" s="8">
        <f>C132+C133</f>
        <v>26052155.976207186</v>
      </c>
      <c r="D209" s="8">
        <f t="shared" ref="C209:L209" si="2">D132+D133</f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25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25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25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25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25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25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25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25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25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25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25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25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25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25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25">
      <c r="C224" s="8"/>
    </row>
    <row r="225" spans="1:12" x14ac:dyDescent="0.25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25">
      <c r="A226" s="2" t="s">
        <v>114</v>
      </c>
      <c r="B226" s="2">
        <v>0.9</v>
      </c>
      <c r="C226" s="8"/>
    </row>
    <row r="227" spans="1:12" x14ac:dyDescent="0.25">
      <c r="A227" s="2" t="s">
        <v>106</v>
      </c>
      <c r="B227" s="2">
        <v>0.7</v>
      </c>
    </row>
    <row r="228" spans="1:12" x14ac:dyDescent="0.25">
      <c r="H228" s="15"/>
      <c r="I228" s="15"/>
      <c r="J228" s="15"/>
      <c r="K228" s="15"/>
      <c r="L228" s="15"/>
    </row>
    <row r="229" spans="1:12" x14ac:dyDescent="0.25">
      <c r="B229" s="2" t="s">
        <v>115</v>
      </c>
      <c r="H229" s="27"/>
      <c r="I229" s="27"/>
      <c r="J229" s="27"/>
      <c r="K229" s="27"/>
      <c r="L229" s="27"/>
    </row>
    <row r="230" spans="1:12" s="19" customFormat="1" ht="15.75" hidden="1" thickBot="1" x14ac:dyDescent="0.3">
      <c r="A230" s="18" t="s">
        <v>43</v>
      </c>
      <c r="C230" s="19">
        <f t="shared" ref="C230:L230" si="17">C207*$B226</f>
        <v>56489129.004808575</v>
      </c>
      <c r="D230" s="19">
        <f t="shared" si="17"/>
        <v>94144920.037677139</v>
      </c>
      <c r="E230" s="19">
        <f t="shared" si="17"/>
        <v>81189195.449704215</v>
      </c>
      <c r="F230" s="19">
        <f t="shared" si="17"/>
        <v>62279421.385096438</v>
      </c>
      <c r="G230" s="19">
        <f t="shared" si="17"/>
        <v>77599589.423892856</v>
      </c>
      <c r="H230" s="19">
        <f t="shared" si="17"/>
        <v>18849144.255335674</v>
      </c>
      <c r="I230" s="19">
        <f t="shared" si="17"/>
        <v>11193813.308249999</v>
      </c>
      <c r="J230" s="19">
        <f t="shared" si="17"/>
        <v>809738.46149999998</v>
      </c>
      <c r="K230" s="19">
        <f t="shared" si="17"/>
        <v>831130.30757142871</v>
      </c>
      <c r="L230" s="19">
        <f t="shared" si="17"/>
        <v>856403.29478571424</v>
      </c>
    </row>
    <row r="231" spans="1:12" x14ac:dyDescent="0.25">
      <c r="A231" s="2" t="s">
        <v>75</v>
      </c>
      <c r="B231" s="2">
        <v>0.81818181818181823</v>
      </c>
      <c r="C231" s="2">
        <f t="shared" ref="C231:L231" si="18">$B$231*C230</f>
        <v>46218378.276661567</v>
      </c>
      <c r="D231" s="2">
        <f t="shared" si="18"/>
        <v>77027661.849008575</v>
      </c>
      <c r="E231" s="2">
        <f t="shared" si="18"/>
        <v>66427523.549757995</v>
      </c>
      <c r="F231" s="2">
        <f t="shared" si="18"/>
        <v>50955890.224169813</v>
      </c>
      <c r="G231" s="2">
        <f t="shared" si="18"/>
        <v>63490573.165003248</v>
      </c>
      <c r="H231" s="2">
        <f t="shared" si="18"/>
        <v>15422027.118001916</v>
      </c>
      <c r="I231" s="2">
        <f t="shared" si="18"/>
        <v>9158574.5249318182</v>
      </c>
      <c r="J231" s="2">
        <f t="shared" si="18"/>
        <v>662513.28668181819</v>
      </c>
      <c r="K231" s="2">
        <f t="shared" si="18"/>
        <v>680015.70619480533</v>
      </c>
      <c r="L231" s="2">
        <f t="shared" si="18"/>
        <v>700693.60482467536</v>
      </c>
    </row>
    <row r="232" spans="1:12" x14ac:dyDescent="0.25">
      <c r="A232" s="2" t="s">
        <v>118</v>
      </c>
      <c r="B232">
        <v>0.18181818181818177</v>
      </c>
      <c r="C232" s="2">
        <f t="shared" ref="C232:L232" si="19">$B$232*C230</f>
        <v>10270750.728147011</v>
      </c>
      <c r="D232" s="2">
        <f t="shared" si="19"/>
        <v>17117258.188668568</v>
      </c>
      <c r="E232" s="2">
        <f t="shared" si="19"/>
        <v>14761671.899946216</v>
      </c>
      <c r="F232" s="2">
        <f t="shared" si="19"/>
        <v>11323531.160926621</v>
      </c>
      <c r="G232" s="2">
        <f t="shared" si="19"/>
        <v>14109016.258889606</v>
      </c>
      <c r="H232" s="2">
        <f t="shared" si="19"/>
        <v>3427117.1373337577</v>
      </c>
      <c r="I232" s="2">
        <f t="shared" si="19"/>
        <v>2035238.7833181811</v>
      </c>
      <c r="J232" s="2">
        <f t="shared" si="19"/>
        <v>147225.17481818178</v>
      </c>
      <c r="K232" s="2">
        <f t="shared" si="19"/>
        <v>151114.60137662335</v>
      </c>
      <c r="L232" s="2">
        <f t="shared" si="19"/>
        <v>155709.68996103891</v>
      </c>
    </row>
    <row r="233" spans="1:12" s="19" customFormat="1" ht="15.75" hidden="1" thickBot="1" x14ac:dyDescent="0.3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25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25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.75" hidden="1" thickBot="1" x14ac:dyDescent="0.3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25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25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.75" hidden="1" thickBot="1" x14ac:dyDescent="0.3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25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25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25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.75" hidden="1" thickBot="1" x14ac:dyDescent="0.3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25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25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25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.75" hidden="1" thickBot="1" x14ac:dyDescent="0.3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25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25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25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.75" hidden="1" thickBot="1" x14ac:dyDescent="0.3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25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25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.75" hidden="1" thickBot="1" x14ac:dyDescent="0.3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25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.75" hidden="1" thickBot="1" x14ac:dyDescent="0.3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25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25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25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25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25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.75" hidden="1" thickBot="1" x14ac:dyDescent="0.3">
      <c r="A262" s="23" t="s">
        <v>100</v>
      </c>
    </row>
    <row r="263" spans="1:12" s="19" customFormat="1" ht="15.75" hidden="1" thickBot="1" x14ac:dyDescent="0.3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25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25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25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25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.75" hidden="1" thickBot="1" x14ac:dyDescent="0.3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25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25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25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25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25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25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25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25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.75" hidden="1" thickBot="1" x14ac:dyDescent="0.3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25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25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25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25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.75" hidden="1" thickBot="1" x14ac:dyDescent="0.3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25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25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.75" hidden="1" thickBot="1" x14ac:dyDescent="0.3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25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25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25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.75" hidden="1" thickBot="1" x14ac:dyDescent="0.3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25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25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25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.75" hidden="1" thickBot="1" x14ac:dyDescent="0.3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25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25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25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25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28:A30"/>
    <mergeCell ref="A2:A6"/>
    <mergeCell ref="A7:A10"/>
    <mergeCell ref="A11:A14"/>
    <mergeCell ref="A17:A21"/>
    <mergeCell ref="A22:A2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tabSelected="1" workbookViewId="0">
      <selection activeCell="A20" sqref="A20"/>
    </sheetView>
  </sheetViews>
  <sheetFormatPr defaultRowHeight="15" x14ac:dyDescent="0.25"/>
  <cols>
    <col min="1" max="1" width="39.7109375" bestFit="1" customWidth="1"/>
    <col min="2" max="11" width="13.5703125" bestFit="1" customWidth="1"/>
    <col min="13" max="13" width="16.28515625" bestFit="1" customWidth="1"/>
    <col min="14" max="23" width="12.28515625" bestFit="1" customWidth="1"/>
  </cols>
  <sheetData>
    <row r="1" spans="1:23" x14ac:dyDescent="0.25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25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25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160</v>
      </c>
      <c r="O3" t="s">
        <v>161</v>
      </c>
      <c r="P3" t="s">
        <v>162</v>
      </c>
      <c r="Q3" t="s">
        <v>163</v>
      </c>
      <c r="R3" t="s">
        <v>164</v>
      </c>
      <c r="S3" t="s">
        <v>165</v>
      </c>
      <c r="T3" t="s">
        <v>166</v>
      </c>
      <c r="U3" t="s">
        <v>167</v>
      </c>
      <c r="V3" t="s">
        <v>168</v>
      </c>
      <c r="W3" t="s">
        <v>169</v>
      </c>
    </row>
    <row r="4" spans="1:23" x14ac:dyDescent="0.25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25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25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25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25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25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25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25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25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25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25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25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25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25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25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25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25">
      <c r="A20" s="28" t="s">
        <v>172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25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25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25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25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25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160</v>
      </c>
      <c r="O25" t="s">
        <v>161</v>
      </c>
      <c r="P25" t="s">
        <v>162</v>
      </c>
      <c r="Q25" t="s">
        <v>163</v>
      </c>
      <c r="R25" t="s">
        <v>164</v>
      </c>
      <c r="S25" t="s">
        <v>165</v>
      </c>
      <c r="T25" t="s">
        <v>166</v>
      </c>
      <c r="U25" t="s">
        <v>167</v>
      </c>
      <c r="V25" t="s">
        <v>168</v>
      </c>
      <c r="W25" t="s">
        <v>169</v>
      </c>
    </row>
    <row r="26" spans="1:23" x14ac:dyDescent="0.25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25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25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25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25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25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25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25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25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25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25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25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25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25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25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25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25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25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25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25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25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25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25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25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25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25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25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25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25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25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25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25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25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25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25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25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25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25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A2" workbookViewId="0">
      <selection activeCell="A4" sqref="A4"/>
    </sheetView>
  </sheetViews>
  <sheetFormatPr defaultRowHeight="15" x14ac:dyDescent="0.25"/>
  <cols>
    <col min="2" max="2" width="39.7109375" bestFit="1" customWidth="1"/>
    <col min="3" max="3" width="25.7109375" bestFit="1" customWidth="1"/>
    <col min="5" max="5" width="217.5703125" bestFit="1" customWidth="1"/>
  </cols>
  <sheetData>
    <row r="2" spans="2:20" x14ac:dyDescent="0.25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25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25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25">
      <c r="B5" s="26" t="s">
        <v>88</v>
      </c>
      <c r="C5" s="26" t="s">
        <v>127</v>
      </c>
    </row>
    <row r="6" spans="2:20" x14ac:dyDescent="0.25">
      <c r="B6" s="26" t="s">
        <v>85</v>
      </c>
      <c r="C6" s="26" t="s">
        <v>138</v>
      </c>
    </row>
    <row r="7" spans="2:20" x14ac:dyDescent="0.25">
      <c r="B7" s="26" t="s">
        <v>119</v>
      </c>
      <c r="C7" s="26" t="s">
        <v>128</v>
      </c>
    </row>
    <row r="8" spans="2:20" x14ac:dyDescent="0.25">
      <c r="B8" s="26" t="s">
        <v>91</v>
      </c>
      <c r="C8" s="26" t="s">
        <v>129</v>
      </c>
    </row>
    <row r="9" spans="2:20" x14ac:dyDescent="0.25">
      <c r="B9" s="26" t="s">
        <v>77</v>
      </c>
      <c r="C9" s="26" t="s">
        <v>139</v>
      </c>
    </row>
    <row r="10" spans="2:20" x14ac:dyDescent="0.25">
      <c r="B10" s="26" t="s">
        <v>89</v>
      </c>
      <c r="C10" s="26" t="s">
        <v>130</v>
      </c>
    </row>
    <row r="11" spans="2:20" x14ac:dyDescent="0.25">
      <c r="B11" s="26" t="s">
        <v>82</v>
      </c>
      <c r="C11" s="26" t="s">
        <v>131</v>
      </c>
    </row>
    <row r="12" spans="2:20" x14ac:dyDescent="0.25">
      <c r="B12" s="26" t="s">
        <v>79</v>
      </c>
      <c r="C12" s="26" t="s">
        <v>132</v>
      </c>
    </row>
    <row r="13" spans="2:20" x14ac:dyDescent="0.25">
      <c r="B13" s="26" t="s">
        <v>83</v>
      </c>
      <c r="C13" s="26" t="s">
        <v>133</v>
      </c>
    </row>
    <row r="14" spans="2:20" x14ac:dyDescent="0.25">
      <c r="B14" s="26" t="s">
        <v>118</v>
      </c>
      <c r="C14" s="26" t="s">
        <v>134</v>
      </c>
    </row>
    <row r="15" spans="2:20" x14ac:dyDescent="0.25">
      <c r="B15" s="26" t="s">
        <v>80</v>
      </c>
      <c r="C15" s="26" t="s">
        <v>135</v>
      </c>
    </row>
    <row r="16" spans="2:20" x14ac:dyDescent="0.25">
      <c r="B16" s="26" t="s">
        <v>75</v>
      </c>
      <c r="C16" s="26" t="s">
        <v>136</v>
      </c>
    </row>
    <row r="17" spans="2:3" x14ac:dyDescent="0.25">
      <c r="B17" s="26" t="s">
        <v>90</v>
      </c>
      <c r="C17" s="26" t="s">
        <v>137</v>
      </c>
    </row>
    <row r="18" spans="2:3" x14ac:dyDescent="0.25">
      <c r="B18" s="26" t="s">
        <v>156</v>
      </c>
      <c r="C18" s="26" t="s">
        <v>159</v>
      </c>
    </row>
    <row r="19" spans="2:3" x14ac:dyDescent="0.25">
      <c r="B19" s="26" t="s">
        <v>170</v>
      </c>
      <c r="C19" s="26" t="s">
        <v>171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AY44"/>
  <sheetViews>
    <sheetView workbookViewId="0">
      <selection activeCell="AN12" sqref="A12:AN19"/>
    </sheetView>
  </sheetViews>
  <sheetFormatPr defaultRowHeight="15" x14ac:dyDescent="0.25"/>
  <cols>
    <col min="1" max="1" width="16.28515625" bestFit="1" customWidth="1"/>
    <col min="2" max="2" width="22" bestFit="1" customWidth="1"/>
    <col min="3" max="3" width="15.42578125" bestFit="1" customWidth="1"/>
    <col min="4" max="11" width="12.7109375" customWidth="1"/>
    <col min="12" max="12" width="11.5703125" bestFit="1" customWidth="1"/>
    <col min="13" max="13" width="12.140625" bestFit="1" customWidth="1"/>
    <col min="14" max="14" width="11.28515625" bestFit="1" customWidth="1"/>
    <col min="15" max="15" width="10.5703125" bestFit="1" customWidth="1"/>
  </cols>
  <sheetData>
    <row r="1" spans="1:51" x14ac:dyDescent="0.25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  <c r="L1" s="36">
        <v>11</v>
      </c>
      <c r="M1" s="36">
        <v>12</v>
      </c>
      <c r="N1" s="36">
        <v>13</v>
      </c>
      <c r="O1" s="36">
        <v>14</v>
      </c>
      <c r="P1" s="36">
        <v>15</v>
      </c>
      <c r="Q1" s="36">
        <v>16</v>
      </c>
      <c r="R1" s="36">
        <v>17</v>
      </c>
      <c r="S1" s="36">
        <v>18</v>
      </c>
      <c r="T1" s="36">
        <v>19</v>
      </c>
      <c r="U1" s="36">
        <v>20</v>
      </c>
      <c r="V1" s="36">
        <v>21</v>
      </c>
      <c r="W1" s="36">
        <v>22</v>
      </c>
      <c r="X1" s="36">
        <v>23</v>
      </c>
      <c r="Y1" s="36">
        <v>24</v>
      </c>
      <c r="Z1" s="36">
        <v>25</v>
      </c>
      <c r="AA1" s="36">
        <v>26</v>
      </c>
      <c r="AB1" s="36">
        <v>27</v>
      </c>
      <c r="AC1" s="36">
        <v>28</v>
      </c>
      <c r="AD1" s="36">
        <v>29</v>
      </c>
      <c r="AE1" s="36">
        <v>30</v>
      </c>
      <c r="AF1" s="36">
        <v>31</v>
      </c>
      <c r="AG1" s="36">
        <v>32</v>
      </c>
      <c r="AH1" s="36">
        <v>33</v>
      </c>
      <c r="AI1" s="36">
        <v>34</v>
      </c>
      <c r="AJ1" s="36">
        <v>35</v>
      </c>
      <c r="AK1" s="36">
        <v>36</v>
      </c>
      <c r="AL1" s="36">
        <v>37</v>
      </c>
      <c r="AM1" s="36">
        <v>38</v>
      </c>
      <c r="AN1" s="36">
        <v>39</v>
      </c>
      <c r="AO1" s="36">
        <v>40</v>
      </c>
      <c r="AP1" s="36">
        <v>41</v>
      </c>
      <c r="AQ1" s="36">
        <v>42</v>
      </c>
      <c r="AR1" s="36">
        <v>43</v>
      </c>
      <c r="AS1" s="36">
        <v>44</v>
      </c>
      <c r="AT1" s="36">
        <v>45</v>
      </c>
      <c r="AU1" s="36">
        <v>46</v>
      </c>
      <c r="AV1" s="36">
        <v>47</v>
      </c>
      <c r="AW1" s="36">
        <v>48</v>
      </c>
      <c r="AX1" s="36">
        <v>49</v>
      </c>
      <c r="AY1" s="36">
        <v>50</v>
      </c>
    </row>
    <row r="2" spans="1:51" x14ac:dyDescent="0.25">
      <c r="A2" t="s">
        <v>123</v>
      </c>
      <c r="B2" s="37">
        <v>12600000</v>
      </c>
      <c r="C2" s="37">
        <v>16800000</v>
      </c>
      <c r="D2" s="37">
        <v>19600000</v>
      </c>
      <c r="E2" s="37">
        <v>19500000</v>
      </c>
      <c r="F2" s="37">
        <v>19500000</v>
      </c>
      <c r="G2" s="37">
        <v>19200000</v>
      </c>
      <c r="H2" s="37">
        <v>19600000</v>
      </c>
      <c r="I2" s="37">
        <v>19300000</v>
      </c>
      <c r="J2" s="37">
        <v>19600000</v>
      </c>
      <c r="K2" s="37">
        <v>19900000</v>
      </c>
      <c r="L2" s="37">
        <f>AVERAGE(J2:K2)</f>
        <v>19750000</v>
      </c>
      <c r="M2" s="37">
        <f t="shared" ref="M2:P2" si="0">AVERAGE(K2:L2)</f>
        <v>19825000</v>
      </c>
      <c r="N2" s="37">
        <f t="shared" si="0"/>
        <v>19787500</v>
      </c>
      <c r="O2" s="37">
        <f t="shared" si="0"/>
        <v>19806250</v>
      </c>
      <c r="P2" s="37">
        <f t="shared" si="0"/>
        <v>19796875</v>
      </c>
      <c r="Q2" s="37">
        <f t="shared" ref="Q2:Q18" si="1">AVERAGE(O2:P2)</f>
        <v>19801562.5</v>
      </c>
      <c r="R2" s="37">
        <f t="shared" ref="R2:R18" si="2">AVERAGE(P2:Q2)</f>
        <v>19799218.75</v>
      </c>
      <c r="S2" s="37">
        <f t="shared" ref="S2:S18" si="3">AVERAGE(Q2:R2)</f>
        <v>19800390.625</v>
      </c>
      <c r="T2" s="37">
        <f t="shared" ref="T2:T18" si="4">AVERAGE(R2:S2)</f>
        <v>19799804.6875</v>
      </c>
      <c r="U2" s="37">
        <f t="shared" ref="U2:U18" si="5">AVERAGE(S2:T2)</f>
        <v>19800097.65625</v>
      </c>
      <c r="V2" s="37">
        <f t="shared" ref="V2:V18" si="6">AVERAGE(T2:U2)</f>
        <v>19799951.171875</v>
      </c>
      <c r="W2" s="37">
        <f t="shared" ref="W2:W18" si="7">AVERAGE(U2:V2)</f>
        <v>19800024.4140625</v>
      </c>
      <c r="X2" s="37">
        <f t="shared" ref="X2:X18" si="8">AVERAGE(V2:W2)</f>
        <v>19799987.79296875</v>
      </c>
      <c r="Y2" s="37">
        <f t="shared" ref="Y2:Y18" si="9">AVERAGE(W2:X2)</f>
        <v>19800006.103515625</v>
      </c>
      <c r="Z2" s="37">
        <f t="shared" ref="Z2:Z18" si="10">AVERAGE(X2:Y2)</f>
        <v>19799996.948242188</v>
      </c>
      <c r="AA2" s="37">
        <f t="shared" ref="AA2:AA18" si="11">AVERAGE(Y2:Z2)</f>
        <v>19800001.525878906</v>
      </c>
      <c r="AB2" s="37">
        <f t="shared" ref="AB2:AB18" si="12">AVERAGE(Z2:AA2)</f>
        <v>19799999.237060547</v>
      </c>
      <c r="AC2" s="37">
        <f t="shared" ref="AC2:AC18" si="13">AVERAGE(AA2:AB2)</f>
        <v>19800000.381469727</v>
      </c>
      <c r="AD2" s="37">
        <f t="shared" ref="AD2:AD18" si="14">AVERAGE(AB2:AC2)</f>
        <v>19799999.809265137</v>
      </c>
      <c r="AE2" s="37">
        <f t="shared" ref="AE2:AE18" si="15">AVERAGE(AC2:AD2)</f>
        <v>19800000.095367432</v>
      </c>
      <c r="AF2" s="37">
        <f t="shared" ref="AF2:AF18" si="16">AVERAGE(AD2:AE2)</f>
        <v>19799999.952316284</v>
      </c>
      <c r="AG2" s="37">
        <f t="shared" ref="AG2:AG18" si="17">AVERAGE(AE2:AF2)</f>
        <v>19800000.023841858</v>
      </c>
      <c r="AH2" s="37">
        <f t="shared" ref="AH2:AH18" si="18">AVERAGE(AF2:AG2)</f>
        <v>19799999.988079071</v>
      </c>
      <c r="AI2" s="37">
        <f t="shared" ref="AI2:AI18" si="19">AVERAGE(AG2:AH2)</f>
        <v>19800000.005960464</v>
      </c>
      <c r="AJ2" s="37">
        <f t="shared" ref="AJ2:AJ18" si="20">AVERAGE(AH2:AI2)</f>
        <v>19799999.997019768</v>
      </c>
      <c r="AK2" s="37">
        <f t="shared" ref="AK2:AK18" si="21">AVERAGE(AI2:AJ2)</f>
        <v>19800000.001490116</v>
      </c>
      <c r="AL2" s="37">
        <f t="shared" ref="AL2:AL18" si="22">AVERAGE(AJ2:AK2)</f>
        <v>19799999.999254942</v>
      </c>
      <c r="AM2" s="37">
        <f t="shared" ref="AM2:AM18" si="23">AVERAGE(AK2:AL2)</f>
        <v>19800000.000372529</v>
      </c>
      <c r="AN2" s="37">
        <f t="shared" ref="AN2:AN18" si="24">AVERAGE(AL2:AM2)</f>
        <v>19799999.999813735</v>
      </c>
      <c r="AO2" s="37">
        <f t="shared" ref="AO2:AO18" si="25">AVERAGE(AM2:AN2)</f>
        <v>19800000.000093132</v>
      </c>
      <c r="AP2" s="37">
        <f t="shared" ref="AP2:AP18" si="26">AVERAGE(AN2:AO2)</f>
        <v>19799999.999953434</v>
      </c>
      <c r="AQ2" s="37">
        <f t="shared" ref="AQ2:AQ18" si="27">AVERAGE(AO2:AP2)</f>
        <v>19800000.000023283</v>
      </c>
      <c r="AR2" s="37">
        <f t="shared" ref="AR2:AR18" si="28">AVERAGE(AP2:AQ2)</f>
        <v>19799999.999988358</v>
      </c>
      <c r="AS2" s="37">
        <f t="shared" ref="AS2:AS18" si="29">AVERAGE(AQ2:AR2)</f>
        <v>19800000.000005819</v>
      </c>
      <c r="AT2" s="37">
        <f t="shared" ref="AT2:AT18" si="30">AVERAGE(AR2:AS2)</f>
        <v>19799999.999997087</v>
      </c>
      <c r="AU2" s="37">
        <f t="shared" ref="AU2:AU18" si="31">AVERAGE(AS2:AT2)</f>
        <v>19800000.000001453</v>
      </c>
      <c r="AV2" s="37">
        <f t="shared" ref="AV2:AV18" si="32">AVERAGE(AT2:AU2)</f>
        <v>19799999.99999927</v>
      </c>
      <c r="AW2" s="37">
        <f t="shared" ref="AW2:AW18" si="33">AVERAGE(AU2:AV2)</f>
        <v>19800000.000000361</v>
      </c>
      <c r="AX2" s="37">
        <f t="shared" ref="AX2:AX18" si="34">AVERAGE(AV2:AW2)</f>
        <v>19799999.999999814</v>
      </c>
      <c r="AY2" s="37">
        <f t="shared" ref="AY2:AY18" si="35">AVERAGE(AW2:AX2)</f>
        <v>19800000.000000089</v>
      </c>
    </row>
    <row r="3" spans="1:51" x14ac:dyDescent="0.25">
      <c r="A3" t="s">
        <v>140</v>
      </c>
      <c r="B3" s="37">
        <v>24300000</v>
      </c>
      <c r="C3" s="37">
        <v>26300000</v>
      </c>
      <c r="D3" s="37">
        <v>26500000</v>
      </c>
      <c r="E3" s="37">
        <v>25000000</v>
      </c>
      <c r="F3" s="37">
        <v>24900000</v>
      </c>
      <c r="G3" s="37">
        <v>24700000</v>
      </c>
      <c r="H3" s="37">
        <v>25000000</v>
      </c>
      <c r="I3" s="37">
        <v>24800000</v>
      </c>
      <c r="J3" s="37">
        <v>25100000</v>
      </c>
      <c r="K3" s="37">
        <v>25400000</v>
      </c>
      <c r="L3" s="37">
        <f t="shared" ref="L3:L17" si="36">AVERAGE(J3:K3)</f>
        <v>25250000</v>
      </c>
      <c r="M3" s="37">
        <f t="shared" ref="M3:M18" si="37">AVERAGE(K3:L3)</f>
        <v>25325000</v>
      </c>
      <c r="N3" s="37">
        <f t="shared" ref="N3:N18" si="38">AVERAGE(L3:M3)</f>
        <v>25287500</v>
      </c>
      <c r="O3" s="37">
        <f t="shared" ref="O3:O18" si="39">AVERAGE(M3:N3)</f>
        <v>25306250</v>
      </c>
      <c r="P3" s="37">
        <f t="shared" ref="P3:P18" si="40">AVERAGE(N3:O3)</f>
        <v>25296875</v>
      </c>
      <c r="Q3" s="37">
        <f t="shared" si="1"/>
        <v>25301562.5</v>
      </c>
      <c r="R3" s="37">
        <f t="shared" si="2"/>
        <v>25299218.75</v>
      </c>
      <c r="S3" s="37">
        <f t="shared" si="3"/>
        <v>25300390.625</v>
      </c>
      <c r="T3" s="37">
        <f t="shared" si="4"/>
        <v>25299804.6875</v>
      </c>
      <c r="U3" s="37">
        <f t="shared" si="5"/>
        <v>25300097.65625</v>
      </c>
      <c r="V3" s="37">
        <f t="shared" si="6"/>
        <v>25299951.171875</v>
      </c>
      <c r="W3" s="37">
        <f t="shared" si="7"/>
        <v>25300024.4140625</v>
      </c>
      <c r="X3" s="37">
        <f t="shared" si="8"/>
        <v>25299987.79296875</v>
      </c>
      <c r="Y3" s="37">
        <f t="shared" si="9"/>
        <v>25300006.103515625</v>
      </c>
      <c r="Z3" s="37">
        <f t="shared" si="10"/>
        <v>25299996.948242188</v>
      </c>
      <c r="AA3" s="37">
        <f t="shared" si="11"/>
        <v>25300001.525878906</v>
      </c>
      <c r="AB3" s="37">
        <f t="shared" si="12"/>
        <v>25299999.237060547</v>
      </c>
      <c r="AC3" s="37">
        <f t="shared" si="13"/>
        <v>25300000.381469727</v>
      </c>
      <c r="AD3" s="37">
        <f t="shared" si="14"/>
        <v>25299999.809265137</v>
      </c>
      <c r="AE3" s="37">
        <f t="shared" si="15"/>
        <v>25300000.095367432</v>
      </c>
      <c r="AF3" s="37">
        <f t="shared" si="16"/>
        <v>25299999.952316284</v>
      </c>
      <c r="AG3" s="37">
        <f t="shared" si="17"/>
        <v>25300000.023841858</v>
      </c>
      <c r="AH3" s="37">
        <f t="shared" si="18"/>
        <v>25299999.988079071</v>
      </c>
      <c r="AI3" s="37">
        <f t="shared" si="19"/>
        <v>25300000.005960464</v>
      </c>
      <c r="AJ3" s="37">
        <f t="shared" si="20"/>
        <v>25299999.997019768</v>
      </c>
      <c r="AK3" s="37">
        <f t="shared" si="21"/>
        <v>25300000.001490116</v>
      </c>
      <c r="AL3" s="37">
        <f t="shared" si="22"/>
        <v>25299999.999254942</v>
      </c>
      <c r="AM3" s="37">
        <f t="shared" si="23"/>
        <v>25300000.000372529</v>
      </c>
      <c r="AN3" s="37">
        <f t="shared" si="24"/>
        <v>25299999.999813735</v>
      </c>
      <c r="AO3" s="37">
        <f t="shared" si="25"/>
        <v>25300000.000093132</v>
      </c>
      <c r="AP3" s="37">
        <f t="shared" si="26"/>
        <v>25299999.999953434</v>
      </c>
      <c r="AQ3" s="37">
        <f t="shared" si="27"/>
        <v>25300000.000023283</v>
      </c>
      <c r="AR3" s="37">
        <f t="shared" si="28"/>
        <v>25299999.999988358</v>
      </c>
      <c r="AS3" s="37">
        <f t="shared" si="29"/>
        <v>25300000.000005819</v>
      </c>
      <c r="AT3" s="37">
        <f t="shared" si="30"/>
        <v>25299999.999997087</v>
      </c>
      <c r="AU3" s="37">
        <f t="shared" si="31"/>
        <v>25300000.000001453</v>
      </c>
      <c r="AV3" s="37">
        <f t="shared" si="32"/>
        <v>25299999.99999927</v>
      </c>
      <c r="AW3" s="37">
        <f t="shared" si="33"/>
        <v>25300000.000000361</v>
      </c>
      <c r="AX3" s="37">
        <f t="shared" si="34"/>
        <v>25299999.999999814</v>
      </c>
      <c r="AY3" s="37">
        <f t="shared" si="35"/>
        <v>25300000.000000089</v>
      </c>
    </row>
    <row r="4" spans="1:51" x14ac:dyDescent="0.25">
      <c r="A4" t="s">
        <v>141</v>
      </c>
      <c r="B4" s="37">
        <v>8000000</v>
      </c>
      <c r="C4" s="37">
        <v>8600000</v>
      </c>
      <c r="D4" s="37">
        <v>8700000</v>
      </c>
      <c r="E4" s="37">
        <v>8400000</v>
      </c>
      <c r="F4" s="37">
        <v>8400000</v>
      </c>
      <c r="G4" s="37">
        <v>8100000</v>
      </c>
      <c r="H4" s="38">
        <v>8300000</v>
      </c>
      <c r="I4" s="38">
        <v>8200000</v>
      </c>
      <c r="J4" s="38">
        <v>8200000</v>
      </c>
      <c r="K4" s="38">
        <v>8200000</v>
      </c>
      <c r="L4" s="37">
        <f t="shared" si="36"/>
        <v>8200000</v>
      </c>
      <c r="M4" s="37">
        <f t="shared" si="37"/>
        <v>8200000</v>
      </c>
      <c r="N4" s="37">
        <f t="shared" si="38"/>
        <v>8200000</v>
      </c>
      <c r="O4" s="37">
        <f t="shared" si="39"/>
        <v>8200000</v>
      </c>
      <c r="P4" s="37">
        <f t="shared" si="40"/>
        <v>8200000</v>
      </c>
      <c r="Q4" s="37">
        <f t="shared" si="1"/>
        <v>8200000</v>
      </c>
      <c r="R4" s="37">
        <f t="shared" si="2"/>
        <v>8200000</v>
      </c>
      <c r="S4" s="37">
        <f t="shared" si="3"/>
        <v>8200000</v>
      </c>
      <c r="T4" s="37">
        <f t="shared" si="4"/>
        <v>8200000</v>
      </c>
      <c r="U4" s="37">
        <f t="shared" si="5"/>
        <v>8200000</v>
      </c>
      <c r="V4" s="37">
        <f t="shared" si="6"/>
        <v>8200000</v>
      </c>
      <c r="W4" s="37">
        <f t="shared" si="7"/>
        <v>8200000</v>
      </c>
      <c r="X4" s="37">
        <f t="shared" si="8"/>
        <v>8200000</v>
      </c>
      <c r="Y4" s="37">
        <f t="shared" si="9"/>
        <v>8200000</v>
      </c>
      <c r="Z4" s="37">
        <f t="shared" si="10"/>
        <v>8200000</v>
      </c>
      <c r="AA4" s="37">
        <f t="shared" si="11"/>
        <v>8200000</v>
      </c>
      <c r="AB4" s="37">
        <f t="shared" si="12"/>
        <v>8200000</v>
      </c>
      <c r="AC4" s="37">
        <f t="shared" si="13"/>
        <v>8200000</v>
      </c>
      <c r="AD4" s="37">
        <f t="shared" si="14"/>
        <v>8200000</v>
      </c>
      <c r="AE4" s="37">
        <f t="shared" si="15"/>
        <v>8200000</v>
      </c>
      <c r="AF4" s="37">
        <f t="shared" si="16"/>
        <v>8200000</v>
      </c>
      <c r="AG4" s="37">
        <f t="shared" si="17"/>
        <v>8200000</v>
      </c>
      <c r="AH4" s="37">
        <f t="shared" si="18"/>
        <v>8200000</v>
      </c>
      <c r="AI4" s="37">
        <f t="shared" si="19"/>
        <v>8200000</v>
      </c>
      <c r="AJ4" s="37">
        <f t="shared" si="20"/>
        <v>8200000</v>
      </c>
      <c r="AK4" s="37">
        <f t="shared" si="21"/>
        <v>8200000</v>
      </c>
      <c r="AL4" s="37">
        <f t="shared" si="22"/>
        <v>8200000</v>
      </c>
      <c r="AM4" s="37">
        <f t="shared" si="23"/>
        <v>8200000</v>
      </c>
      <c r="AN4" s="37">
        <f t="shared" si="24"/>
        <v>8200000</v>
      </c>
      <c r="AO4" s="37">
        <f t="shared" si="25"/>
        <v>8200000</v>
      </c>
      <c r="AP4" s="37">
        <f t="shared" si="26"/>
        <v>8200000</v>
      </c>
      <c r="AQ4" s="37">
        <f t="shared" si="27"/>
        <v>8200000</v>
      </c>
      <c r="AR4" s="37">
        <f t="shared" si="28"/>
        <v>8200000</v>
      </c>
      <c r="AS4" s="37">
        <f t="shared" si="29"/>
        <v>8200000</v>
      </c>
      <c r="AT4" s="37">
        <f t="shared" si="30"/>
        <v>8200000</v>
      </c>
      <c r="AU4" s="37">
        <f t="shared" si="31"/>
        <v>8200000</v>
      </c>
      <c r="AV4" s="37">
        <f t="shared" si="32"/>
        <v>8200000</v>
      </c>
      <c r="AW4" s="37">
        <f t="shared" si="33"/>
        <v>8200000</v>
      </c>
      <c r="AX4" s="37">
        <f t="shared" si="34"/>
        <v>8200000</v>
      </c>
      <c r="AY4" s="37">
        <f t="shared" si="35"/>
        <v>8200000</v>
      </c>
    </row>
    <row r="5" spans="1:51" x14ac:dyDescent="0.25">
      <c r="A5" t="s">
        <v>142</v>
      </c>
      <c r="B5" s="37">
        <v>36000000</v>
      </c>
      <c r="C5" s="37">
        <v>39500000</v>
      </c>
      <c r="D5" s="37">
        <v>40500000</v>
      </c>
      <c r="E5" s="37">
        <v>40200000</v>
      </c>
      <c r="F5" s="37">
        <v>41100000</v>
      </c>
      <c r="G5" s="37">
        <v>40500000</v>
      </c>
      <c r="H5" s="38">
        <v>41300000</v>
      </c>
      <c r="I5" s="38">
        <v>40900000</v>
      </c>
      <c r="J5" s="38">
        <v>41200000</v>
      </c>
      <c r="K5" s="38">
        <v>41300000</v>
      </c>
      <c r="L5" s="37">
        <f t="shared" si="36"/>
        <v>41250000</v>
      </c>
      <c r="M5" s="37">
        <f t="shared" si="37"/>
        <v>41275000</v>
      </c>
      <c r="N5" s="37">
        <f t="shared" si="38"/>
        <v>41262500</v>
      </c>
      <c r="O5" s="37">
        <f t="shared" si="39"/>
        <v>41268750</v>
      </c>
      <c r="P5" s="37">
        <f t="shared" si="40"/>
        <v>41265625</v>
      </c>
      <c r="Q5" s="37">
        <f t="shared" si="1"/>
        <v>41267187.5</v>
      </c>
      <c r="R5" s="37">
        <f t="shared" si="2"/>
        <v>41266406.25</v>
      </c>
      <c r="S5" s="37">
        <f t="shared" si="3"/>
        <v>41266796.875</v>
      </c>
      <c r="T5" s="37">
        <f t="shared" si="4"/>
        <v>41266601.5625</v>
      </c>
      <c r="U5" s="37">
        <f t="shared" si="5"/>
        <v>41266699.21875</v>
      </c>
      <c r="V5" s="37">
        <f t="shared" si="6"/>
        <v>41266650.390625</v>
      </c>
      <c r="W5" s="37">
        <f t="shared" si="7"/>
        <v>41266674.8046875</v>
      </c>
      <c r="X5" s="37">
        <f t="shared" si="8"/>
        <v>41266662.59765625</v>
      </c>
      <c r="Y5" s="37">
        <f t="shared" si="9"/>
        <v>41266668.701171875</v>
      </c>
      <c r="Z5" s="37">
        <f t="shared" si="10"/>
        <v>41266665.649414063</v>
      </c>
      <c r="AA5" s="37">
        <f t="shared" si="11"/>
        <v>41266667.175292969</v>
      </c>
      <c r="AB5" s="37">
        <f t="shared" si="12"/>
        <v>41266666.412353516</v>
      </c>
      <c r="AC5" s="37">
        <f t="shared" si="13"/>
        <v>41266666.793823242</v>
      </c>
      <c r="AD5" s="37">
        <f t="shared" si="14"/>
        <v>41266666.603088379</v>
      </c>
      <c r="AE5" s="37">
        <f t="shared" si="15"/>
        <v>41266666.698455811</v>
      </c>
      <c r="AF5" s="37">
        <f t="shared" si="16"/>
        <v>41266666.650772095</v>
      </c>
      <c r="AG5" s="37">
        <f t="shared" si="17"/>
        <v>41266666.674613953</v>
      </c>
      <c r="AH5" s="37">
        <f t="shared" si="18"/>
        <v>41266666.662693024</v>
      </c>
      <c r="AI5" s="37">
        <f t="shared" si="19"/>
        <v>41266666.668653488</v>
      </c>
      <c r="AJ5" s="37">
        <f t="shared" si="20"/>
        <v>41266666.665673256</v>
      </c>
      <c r="AK5" s="37">
        <f t="shared" si="21"/>
        <v>41266666.667163372</v>
      </c>
      <c r="AL5" s="37">
        <f t="shared" si="22"/>
        <v>41266666.666418314</v>
      </c>
      <c r="AM5" s="37">
        <f t="shared" si="23"/>
        <v>41266666.666790843</v>
      </c>
      <c r="AN5" s="37">
        <f t="shared" si="24"/>
        <v>41266666.666604578</v>
      </c>
      <c r="AO5" s="37">
        <f t="shared" si="25"/>
        <v>41266666.666697711</v>
      </c>
      <c r="AP5" s="37">
        <f t="shared" si="26"/>
        <v>41266666.666651145</v>
      </c>
      <c r="AQ5" s="37">
        <f t="shared" si="27"/>
        <v>41266666.666674428</v>
      </c>
      <c r="AR5" s="37">
        <f t="shared" si="28"/>
        <v>41266666.666662782</v>
      </c>
      <c r="AS5" s="37">
        <f t="shared" si="29"/>
        <v>41266666.666668609</v>
      </c>
      <c r="AT5" s="37">
        <f t="shared" si="30"/>
        <v>41266666.666665696</v>
      </c>
      <c r="AU5" s="37">
        <f t="shared" si="31"/>
        <v>41266666.666667148</v>
      </c>
      <c r="AV5" s="37">
        <f t="shared" si="32"/>
        <v>41266666.666666418</v>
      </c>
      <c r="AW5" s="37">
        <f t="shared" si="33"/>
        <v>41266666.666666783</v>
      </c>
      <c r="AX5" s="37">
        <f t="shared" si="34"/>
        <v>41266666.666666597</v>
      </c>
      <c r="AY5" s="37">
        <f t="shared" si="35"/>
        <v>41266666.666666687</v>
      </c>
    </row>
    <row r="6" spans="1:51" x14ac:dyDescent="0.25">
      <c r="A6" t="s">
        <v>143</v>
      </c>
      <c r="B6" s="37">
        <v>8400000</v>
      </c>
      <c r="C6" s="37">
        <v>11200000</v>
      </c>
      <c r="D6" s="37">
        <v>13100000</v>
      </c>
      <c r="E6" s="37">
        <v>13000000</v>
      </c>
      <c r="F6" s="37">
        <v>13000000</v>
      </c>
      <c r="G6" s="37">
        <v>12800000</v>
      </c>
      <c r="H6" s="37">
        <v>13100000</v>
      </c>
      <c r="I6" s="37">
        <v>12900000</v>
      </c>
      <c r="J6" s="37">
        <v>13100000</v>
      </c>
      <c r="K6" s="37">
        <v>13300000</v>
      </c>
      <c r="L6" s="37">
        <f t="shared" si="36"/>
        <v>13200000</v>
      </c>
      <c r="M6" s="37">
        <f t="shared" si="37"/>
        <v>13250000</v>
      </c>
      <c r="N6" s="37">
        <f t="shared" si="38"/>
        <v>13225000</v>
      </c>
      <c r="O6" s="37">
        <f t="shared" si="39"/>
        <v>13237500</v>
      </c>
      <c r="P6" s="37">
        <f t="shared" si="40"/>
        <v>13231250</v>
      </c>
      <c r="Q6" s="37">
        <f t="shared" si="1"/>
        <v>13234375</v>
      </c>
      <c r="R6" s="37">
        <f t="shared" si="2"/>
        <v>13232812.5</v>
      </c>
      <c r="S6" s="37">
        <f t="shared" si="3"/>
        <v>13233593.75</v>
      </c>
      <c r="T6" s="37">
        <f t="shared" si="4"/>
        <v>13233203.125</v>
      </c>
      <c r="U6" s="37">
        <f t="shared" si="5"/>
        <v>13233398.4375</v>
      </c>
      <c r="V6" s="37">
        <f t="shared" si="6"/>
        <v>13233300.78125</v>
      </c>
      <c r="W6" s="37">
        <f t="shared" si="7"/>
        <v>13233349.609375</v>
      </c>
      <c r="X6" s="37">
        <f t="shared" si="8"/>
        <v>13233325.1953125</v>
      </c>
      <c r="Y6" s="37">
        <f t="shared" si="9"/>
        <v>13233337.40234375</v>
      </c>
      <c r="Z6" s="37">
        <f t="shared" si="10"/>
        <v>13233331.298828125</v>
      </c>
      <c r="AA6" s="37">
        <f t="shared" si="11"/>
        <v>13233334.350585938</v>
      </c>
      <c r="AB6" s="37">
        <f t="shared" si="12"/>
        <v>13233332.824707031</v>
      </c>
      <c r="AC6" s="37">
        <f t="shared" si="13"/>
        <v>13233333.587646484</v>
      </c>
      <c r="AD6" s="37">
        <f t="shared" si="14"/>
        <v>13233333.206176758</v>
      </c>
      <c r="AE6" s="37">
        <f t="shared" si="15"/>
        <v>13233333.396911621</v>
      </c>
      <c r="AF6" s="37">
        <f t="shared" si="16"/>
        <v>13233333.301544189</v>
      </c>
      <c r="AG6" s="37">
        <f t="shared" si="17"/>
        <v>13233333.349227905</v>
      </c>
      <c r="AH6" s="37">
        <f t="shared" si="18"/>
        <v>13233333.325386047</v>
      </c>
      <c r="AI6" s="37">
        <f t="shared" si="19"/>
        <v>13233333.337306976</v>
      </c>
      <c r="AJ6" s="37">
        <f t="shared" si="20"/>
        <v>13233333.331346512</v>
      </c>
      <c r="AK6" s="37">
        <f t="shared" si="21"/>
        <v>13233333.334326744</v>
      </c>
      <c r="AL6" s="37">
        <f t="shared" si="22"/>
        <v>13233333.332836628</v>
      </c>
      <c r="AM6" s="37">
        <f t="shared" si="23"/>
        <v>13233333.333581686</v>
      </c>
      <c r="AN6" s="37">
        <f t="shared" si="24"/>
        <v>13233333.333209157</v>
      </c>
      <c r="AO6" s="37">
        <f t="shared" si="25"/>
        <v>13233333.333395422</v>
      </c>
      <c r="AP6" s="37">
        <f t="shared" si="26"/>
        <v>13233333.333302289</v>
      </c>
      <c r="AQ6" s="37">
        <f t="shared" si="27"/>
        <v>13233333.333348855</v>
      </c>
      <c r="AR6" s="37">
        <f t="shared" si="28"/>
        <v>13233333.333325572</v>
      </c>
      <c r="AS6" s="37">
        <f t="shared" si="29"/>
        <v>13233333.333337214</v>
      </c>
      <c r="AT6" s="37">
        <f t="shared" si="30"/>
        <v>13233333.333331393</v>
      </c>
      <c r="AU6" s="37">
        <f t="shared" si="31"/>
        <v>13233333.333334304</v>
      </c>
      <c r="AV6" s="37">
        <f t="shared" si="32"/>
        <v>13233333.333332848</v>
      </c>
      <c r="AW6" s="37">
        <f t="shared" si="33"/>
        <v>13233333.333333576</v>
      </c>
      <c r="AX6" s="37">
        <f t="shared" si="34"/>
        <v>13233333.333333213</v>
      </c>
      <c r="AY6" s="37">
        <f t="shared" si="35"/>
        <v>13233333.333333395</v>
      </c>
    </row>
    <row r="7" spans="1:51" x14ac:dyDescent="0.25">
      <c r="A7" t="s">
        <v>144</v>
      </c>
      <c r="B7" s="37">
        <v>160100000</v>
      </c>
      <c r="C7" s="37">
        <v>140800000</v>
      </c>
      <c r="D7" s="37">
        <v>154800000</v>
      </c>
      <c r="E7" s="37">
        <v>143800000</v>
      </c>
      <c r="F7" s="37">
        <v>147500000</v>
      </c>
      <c r="G7" s="37">
        <v>171200000</v>
      </c>
      <c r="H7" s="37">
        <v>139700000</v>
      </c>
      <c r="I7" s="37">
        <v>172900000</v>
      </c>
      <c r="J7" s="37">
        <v>149300000</v>
      </c>
      <c r="K7" s="37">
        <v>158400000</v>
      </c>
      <c r="L7" s="37">
        <f t="shared" si="36"/>
        <v>153850000</v>
      </c>
      <c r="M7" s="37">
        <f t="shared" si="37"/>
        <v>156125000</v>
      </c>
      <c r="N7" s="37">
        <f t="shared" si="38"/>
        <v>154987500</v>
      </c>
      <c r="O7" s="37">
        <f t="shared" si="39"/>
        <v>155556250</v>
      </c>
      <c r="P7" s="37">
        <f t="shared" si="40"/>
        <v>155271875</v>
      </c>
      <c r="Q7" s="37">
        <f t="shared" si="1"/>
        <v>155414062.5</v>
      </c>
      <c r="R7" s="37">
        <f t="shared" si="2"/>
        <v>155342968.75</v>
      </c>
      <c r="S7" s="37">
        <f t="shared" si="3"/>
        <v>155378515.625</v>
      </c>
      <c r="T7" s="37">
        <f t="shared" si="4"/>
        <v>155360742.1875</v>
      </c>
      <c r="U7" s="37">
        <f t="shared" si="5"/>
        <v>155369628.90625</v>
      </c>
      <c r="V7" s="37">
        <f t="shared" si="6"/>
        <v>155365185.546875</v>
      </c>
      <c r="W7" s="37">
        <f t="shared" si="7"/>
        <v>155367407.2265625</v>
      </c>
      <c r="X7" s="37">
        <f t="shared" si="8"/>
        <v>155366296.38671875</v>
      </c>
      <c r="Y7" s="37">
        <f t="shared" si="9"/>
        <v>155366851.80664063</v>
      </c>
      <c r="Z7" s="37">
        <f t="shared" si="10"/>
        <v>155366574.09667969</v>
      </c>
      <c r="AA7" s="37">
        <f t="shared" si="11"/>
        <v>155366712.95166016</v>
      </c>
      <c r="AB7" s="37">
        <f t="shared" si="12"/>
        <v>155366643.52416992</v>
      </c>
      <c r="AC7" s="37">
        <f t="shared" si="13"/>
        <v>155366678.23791504</v>
      </c>
      <c r="AD7" s="37">
        <f t="shared" si="14"/>
        <v>155366660.88104248</v>
      </c>
      <c r="AE7" s="37">
        <f t="shared" si="15"/>
        <v>155366669.55947876</v>
      </c>
      <c r="AF7" s="37">
        <f t="shared" si="16"/>
        <v>155366665.22026062</v>
      </c>
      <c r="AG7" s="37">
        <f t="shared" si="17"/>
        <v>155366667.38986969</v>
      </c>
      <c r="AH7" s="37">
        <f t="shared" si="18"/>
        <v>155366666.30506516</v>
      </c>
      <c r="AI7" s="37">
        <f t="shared" si="19"/>
        <v>155366666.84746742</v>
      </c>
      <c r="AJ7" s="37">
        <f t="shared" si="20"/>
        <v>155366666.57626629</v>
      </c>
      <c r="AK7" s="37">
        <f t="shared" si="21"/>
        <v>155366666.71186686</v>
      </c>
      <c r="AL7" s="37">
        <f t="shared" si="22"/>
        <v>155366666.64406657</v>
      </c>
      <c r="AM7" s="37">
        <f t="shared" si="23"/>
        <v>155366666.67796671</v>
      </c>
      <c r="AN7" s="37">
        <f t="shared" si="24"/>
        <v>155366666.66101664</v>
      </c>
      <c r="AO7" s="37">
        <f t="shared" si="25"/>
        <v>155366666.66949168</v>
      </c>
      <c r="AP7" s="37">
        <f t="shared" si="26"/>
        <v>155366666.66525418</v>
      </c>
      <c r="AQ7" s="37">
        <f t="shared" si="27"/>
        <v>155366666.66737294</v>
      </c>
      <c r="AR7" s="37">
        <f t="shared" si="28"/>
        <v>155366666.66631356</v>
      </c>
      <c r="AS7" s="37">
        <f t="shared" si="29"/>
        <v>155366666.66684324</v>
      </c>
      <c r="AT7" s="37">
        <f t="shared" si="30"/>
        <v>155366666.66657841</v>
      </c>
      <c r="AU7" s="37">
        <f t="shared" si="31"/>
        <v>155366666.66671082</v>
      </c>
      <c r="AV7" s="37">
        <f t="shared" si="32"/>
        <v>155366666.66664463</v>
      </c>
      <c r="AW7" s="37">
        <f t="shared" si="33"/>
        <v>155366666.66667771</v>
      </c>
      <c r="AX7" s="37">
        <f t="shared" si="34"/>
        <v>155366666.66666117</v>
      </c>
      <c r="AY7" s="37">
        <f t="shared" si="35"/>
        <v>155366666.66666943</v>
      </c>
    </row>
    <row r="8" spans="1:51" x14ac:dyDescent="0.25">
      <c r="A8" t="s">
        <v>145</v>
      </c>
      <c r="B8" s="37">
        <v>30000</v>
      </c>
      <c r="C8" s="37">
        <v>25000</v>
      </c>
      <c r="D8" s="37">
        <v>25000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7">
        <f t="shared" si="36"/>
        <v>0</v>
      </c>
      <c r="M8" s="37">
        <f t="shared" si="37"/>
        <v>0</v>
      </c>
      <c r="N8" s="37">
        <f t="shared" si="38"/>
        <v>0</v>
      </c>
      <c r="O8" s="37">
        <f t="shared" si="39"/>
        <v>0</v>
      </c>
      <c r="P8" s="37">
        <f t="shared" si="40"/>
        <v>0</v>
      </c>
      <c r="Q8" s="37">
        <f t="shared" si="1"/>
        <v>0</v>
      </c>
      <c r="R8" s="37">
        <f t="shared" si="2"/>
        <v>0</v>
      </c>
      <c r="S8" s="37">
        <f t="shared" si="3"/>
        <v>0</v>
      </c>
      <c r="T8" s="37">
        <f t="shared" si="4"/>
        <v>0</v>
      </c>
      <c r="U8" s="37">
        <f t="shared" si="5"/>
        <v>0</v>
      </c>
      <c r="V8" s="37">
        <f t="shared" si="6"/>
        <v>0</v>
      </c>
      <c r="W8" s="37">
        <f t="shared" si="7"/>
        <v>0</v>
      </c>
      <c r="X8" s="37">
        <f t="shared" si="8"/>
        <v>0</v>
      </c>
      <c r="Y8" s="37">
        <f t="shared" si="9"/>
        <v>0</v>
      </c>
      <c r="Z8" s="37">
        <f t="shared" si="10"/>
        <v>0</v>
      </c>
      <c r="AA8" s="37">
        <f t="shared" si="11"/>
        <v>0</v>
      </c>
      <c r="AB8" s="37">
        <f t="shared" si="12"/>
        <v>0</v>
      </c>
      <c r="AC8" s="37">
        <f t="shared" si="13"/>
        <v>0</v>
      </c>
      <c r="AD8" s="37">
        <f t="shared" si="14"/>
        <v>0</v>
      </c>
      <c r="AE8" s="37">
        <f t="shared" si="15"/>
        <v>0</v>
      </c>
      <c r="AF8" s="37">
        <f t="shared" si="16"/>
        <v>0</v>
      </c>
      <c r="AG8" s="37">
        <f t="shared" si="17"/>
        <v>0</v>
      </c>
      <c r="AH8" s="37">
        <f t="shared" si="18"/>
        <v>0</v>
      </c>
      <c r="AI8" s="37">
        <f t="shared" si="19"/>
        <v>0</v>
      </c>
      <c r="AJ8" s="37">
        <f t="shared" si="20"/>
        <v>0</v>
      </c>
      <c r="AK8" s="37">
        <f t="shared" si="21"/>
        <v>0</v>
      </c>
      <c r="AL8" s="37">
        <f t="shared" si="22"/>
        <v>0</v>
      </c>
      <c r="AM8" s="37">
        <f t="shared" si="23"/>
        <v>0</v>
      </c>
      <c r="AN8" s="37">
        <f t="shared" si="24"/>
        <v>0</v>
      </c>
      <c r="AO8" s="37">
        <f t="shared" si="25"/>
        <v>0</v>
      </c>
      <c r="AP8" s="37">
        <f t="shared" si="26"/>
        <v>0</v>
      </c>
      <c r="AQ8" s="37">
        <f t="shared" si="27"/>
        <v>0</v>
      </c>
      <c r="AR8" s="37">
        <f t="shared" si="28"/>
        <v>0</v>
      </c>
      <c r="AS8" s="37">
        <f t="shared" si="29"/>
        <v>0</v>
      </c>
      <c r="AT8" s="37">
        <f t="shared" si="30"/>
        <v>0</v>
      </c>
      <c r="AU8" s="37">
        <f t="shared" si="31"/>
        <v>0</v>
      </c>
      <c r="AV8" s="37">
        <f t="shared" si="32"/>
        <v>0</v>
      </c>
      <c r="AW8" s="37">
        <f t="shared" si="33"/>
        <v>0</v>
      </c>
      <c r="AX8" s="37">
        <f t="shared" si="34"/>
        <v>0</v>
      </c>
      <c r="AY8" s="37">
        <f t="shared" si="35"/>
        <v>0</v>
      </c>
    </row>
    <row r="9" spans="1:51" x14ac:dyDescent="0.25">
      <c r="A9" t="s">
        <v>116</v>
      </c>
      <c r="B9" s="37">
        <v>1646350000</v>
      </c>
      <c r="C9" s="37">
        <v>1824950000</v>
      </c>
      <c r="D9" s="37">
        <v>1975050000</v>
      </c>
      <c r="E9" s="37">
        <v>2271450000</v>
      </c>
      <c r="F9" s="37">
        <v>2472850000</v>
      </c>
      <c r="G9" s="37">
        <v>2252450000</v>
      </c>
      <c r="H9" s="37">
        <v>2138450000</v>
      </c>
      <c r="I9" s="37">
        <v>2088100000</v>
      </c>
      <c r="J9" s="37">
        <v>2047250000</v>
      </c>
      <c r="K9" s="37">
        <v>2069100000</v>
      </c>
      <c r="L9" s="37">
        <f t="shared" si="36"/>
        <v>2058175000</v>
      </c>
      <c r="M9" s="37">
        <f t="shared" si="37"/>
        <v>2063637500</v>
      </c>
      <c r="N9" s="37">
        <f t="shared" si="38"/>
        <v>2060906250</v>
      </c>
      <c r="O9" s="37">
        <f t="shared" si="39"/>
        <v>2062271875</v>
      </c>
      <c r="P9" s="37">
        <f t="shared" si="40"/>
        <v>2061589062.5</v>
      </c>
      <c r="Q9" s="37">
        <f t="shared" si="1"/>
        <v>2061930468.75</v>
      </c>
      <c r="R9" s="37">
        <f t="shared" si="2"/>
        <v>2061759765.625</v>
      </c>
      <c r="S9" s="37">
        <f t="shared" si="3"/>
        <v>2061845117.1875</v>
      </c>
      <c r="T9" s="37">
        <f t="shared" si="4"/>
        <v>2061802441.40625</v>
      </c>
      <c r="U9" s="37">
        <f t="shared" si="5"/>
        <v>2061823779.296875</v>
      </c>
      <c r="V9" s="37">
        <f t="shared" si="6"/>
        <v>2061813110.3515625</v>
      </c>
      <c r="W9" s="37">
        <f t="shared" si="7"/>
        <v>2061818444.8242188</v>
      </c>
      <c r="X9" s="37">
        <f t="shared" si="8"/>
        <v>2061815777.5878906</v>
      </c>
      <c r="Y9" s="37">
        <f t="shared" si="9"/>
        <v>2061817111.2060547</v>
      </c>
      <c r="Z9" s="37">
        <f t="shared" si="10"/>
        <v>2061816444.3969727</v>
      </c>
      <c r="AA9" s="37">
        <f t="shared" si="11"/>
        <v>2061816777.8015137</v>
      </c>
      <c r="AB9" s="37">
        <f t="shared" si="12"/>
        <v>2061816611.0992432</v>
      </c>
      <c r="AC9" s="37">
        <f t="shared" si="13"/>
        <v>2061816694.4503784</v>
      </c>
      <c r="AD9" s="37">
        <f t="shared" si="14"/>
        <v>2061816652.7748108</v>
      </c>
      <c r="AE9" s="37">
        <f t="shared" si="15"/>
        <v>2061816673.6125946</v>
      </c>
      <c r="AF9" s="37">
        <f t="shared" si="16"/>
        <v>2061816663.1937027</v>
      </c>
      <c r="AG9" s="37">
        <f t="shared" si="17"/>
        <v>2061816668.4031487</v>
      </c>
      <c r="AH9" s="37">
        <f t="shared" si="18"/>
        <v>2061816665.7984257</v>
      </c>
      <c r="AI9" s="37">
        <f t="shared" si="19"/>
        <v>2061816667.1007872</v>
      </c>
      <c r="AJ9" s="37">
        <f t="shared" si="20"/>
        <v>2061816666.4496064</v>
      </c>
      <c r="AK9" s="37">
        <f t="shared" si="21"/>
        <v>2061816666.7751968</v>
      </c>
      <c r="AL9" s="37">
        <f t="shared" si="22"/>
        <v>2061816666.6124015</v>
      </c>
      <c r="AM9" s="37">
        <f t="shared" si="23"/>
        <v>2061816666.693799</v>
      </c>
      <c r="AN9" s="37">
        <f t="shared" si="24"/>
        <v>2061816666.6531003</v>
      </c>
      <c r="AO9" s="37">
        <f t="shared" si="25"/>
        <v>2061816666.6734495</v>
      </c>
      <c r="AP9" s="37">
        <f t="shared" si="26"/>
        <v>2061816666.6632748</v>
      </c>
      <c r="AQ9" s="37">
        <f t="shared" si="27"/>
        <v>2061816666.6683621</v>
      </c>
      <c r="AR9" s="37">
        <f t="shared" si="28"/>
        <v>2061816666.6658185</v>
      </c>
      <c r="AS9" s="37">
        <f t="shared" si="29"/>
        <v>2061816666.6670904</v>
      </c>
      <c r="AT9" s="37">
        <f t="shared" si="30"/>
        <v>2061816666.6664543</v>
      </c>
      <c r="AU9" s="37">
        <f t="shared" si="31"/>
        <v>2061816666.6667724</v>
      </c>
      <c r="AV9" s="37">
        <f t="shared" si="32"/>
        <v>2061816666.6666133</v>
      </c>
      <c r="AW9" s="37">
        <f t="shared" si="33"/>
        <v>2061816666.6666927</v>
      </c>
      <c r="AX9" s="37">
        <f t="shared" si="34"/>
        <v>2061816666.6666532</v>
      </c>
      <c r="AY9" s="37">
        <f t="shared" si="35"/>
        <v>2061816666.6666729</v>
      </c>
    </row>
    <row r="10" spans="1:51" x14ac:dyDescent="0.25">
      <c r="A10" t="s">
        <v>146</v>
      </c>
      <c r="B10" s="37">
        <v>8000000</v>
      </c>
      <c r="C10" s="37">
        <v>8600000</v>
      </c>
      <c r="D10" s="37">
        <v>8700000</v>
      </c>
      <c r="E10" s="37">
        <v>8400000</v>
      </c>
      <c r="F10" s="37">
        <v>8400000</v>
      </c>
      <c r="G10" s="37">
        <v>8100000</v>
      </c>
      <c r="H10" s="37">
        <v>8300000</v>
      </c>
      <c r="I10" s="37">
        <v>8200000</v>
      </c>
      <c r="J10" s="37">
        <v>8200000</v>
      </c>
      <c r="K10" s="37">
        <v>8200000</v>
      </c>
      <c r="L10" s="37">
        <f t="shared" si="36"/>
        <v>8200000</v>
      </c>
      <c r="M10" s="37">
        <f t="shared" si="37"/>
        <v>8200000</v>
      </c>
      <c r="N10" s="37">
        <f t="shared" si="38"/>
        <v>8200000</v>
      </c>
      <c r="O10" s="37">
        <f t="shared" si="39"/>
        <v>8200000</v>
      </c>
      <c r="P10" s="37">
        <f t="shared" si="40"/>
        <v>8200000</v>
      </c>
      <c r="Q10" s="37">
        <f t="shared" si="1"/>
        <v>8200000</v>
      </c>
      <c r="R10" s="37">
        <f t="shared" si="2"/>
        <v>8200000</v>
      </c>
      <c r="S10" s="37">
        <f t="shared" si="3"/>
        <v>8200000</v>
      </c>
      <c r="T10" s="37">
        <f t="shared" si="4"/>
        <v>8200000</v>
      </c>
      <c r="U10" s="37">
        <f t="shared" si="5"/>
        <v>8200000</v>
      </c>
      <c r="V10" s="37">
        <f t="shared" si="6"/>
        <v>8200000</v>
      </c>
      <c r="W10" s="37">
        <f t="shared" si="7"/>
        <v>8200000</v>
      </c>
      <c r="X10" s="37">
        <f t="shared" si="8"/>
        <v>8200000</v>
      </c>
      <c r="Y10" s="37">
        <f t="shared" si="9"/>
        <v>8200000</v>
      </c>
      <c r="Z10" s="37">
        <f t="shared" si="10"/>
        <v>8200000</v>
      </c>
      <c r="AA10" s="37">
        <f t="shared" si="11"/>
        <v>8200000</v>
      </c>
      <c r="AB10" s="37">
        <f t="shared" si="12"/>
        <v>8200000</v>
      </c>
      <c r="AC10" s="37">
        <f t="shared" si="13"/>
        <v>8200000</v>
      </c>
      <c r="AD10" s="37">
        <f t="shared" si="14"/>
        <v>8200000</v>
      </c>
      <c r="AE10" s="37">
        <f t="shared" si="15"/>
        <v>8200000</v>
      </c>
      <c r="AF10" s="37">
        <f t="shared" si="16"/>
        <v>8200000</v>
      </c>
      <c r="AG10" s="37">
        <f t="shared" si="17"/>
        <v>8200000</v>
      </c>
      <c r="AH10" s="37">
        <f t="shared" si="18"/>
        <v>8200000</v>
      </c>
      <c r="AI10" s="37">
        <f t="shared" si="19"/>
        <v>8200000</v>
      </c>
      <c r="AJ10" s="37">
        <f t="shared" si="20"/>
        <v>8200000</v>
      </c>
      <c r="AK10" s="37">
        <f t="shared" si="21"/>
        <v>8200000</v>
      </c>
      <c r="AL10" s="37">
        <f t="shared" si="22"/>
        <v>8200000</v>
      </c>
      <c r="AM10" s="37">
        <f t="shared" si="23"/>
        <v>8200000</v>
      </c>
      <c r="AN10" s="37">
        <f t="shared" si="24"/>
        <v>8200000</v>
      </c>
      <c r="AO10" s="37">
        <f t="shared" si="25"/>
        <v>8200000</v>
      </c>
      <c r="AP10" s="37">
        <f t="shared" si="26"/>
        <v>8200000</v>
      </c>
      <c r="AQ10" s="37">
        <f t="shared" si="27"/>
        <v>8200000</v>
      </c>
      <c r="AR10" s="37">
        <f t="shared" si="28"/>
        <v>8200000</v>
      </c>
      <c r="AS10" s="37">
        <f t="shared" si="29"/>
        <v>8200000</v>
      </c>
      <c r="AT10" s="37">
        <f t="shared" si="30"/>
        <v>8200000</v>
      </c>
      <c r="AU10" s="37">
        <f t="shared" si="31"/>
        <v>8200000</v>
      </c>
      <c r="AV10" s="37">
        <f t="shared" si="32"/>
        <v>8200000</v>
      </c>
      <c r="AW10" s="37">
        <f t="shared" si="33"/>
        <v>8200000</v>
      </c>
      <c r="AX10" s="37">
        <f t="shared" si="34"/>
        <v>8200000</v>
      </c>
      <c r="AY10" s="37">
        <f t="shared" si="35"/>
        <v>8200000</v>
      </c>
    </row>
    <row r="11" spans="1:51" x14ac:dyDescent="0.25">
      <c r="A11" t="s">
        <v>147</v>
      </c>
      <c r="B11" s="37">
        <v>60600000</v>
      </c>
      <c r="C11" s="37">
        <v>74600000</v>
      </c>
      <c r="D11" s="37">
        <v>83000000</v>
      </c>
      <c r="E11" s="37">
        <v>81300000</v>
      </c>
      <c r="F11" s="37">
        <v>81100000</v>
      </c>
      <c r="G11" s="37">
        <v>79800000</v>
      </c>
      <c r="H11" s="37">
        <v>81100000</v>
      </c>
      <c r="I11" s="37">
        <v>79900000</v>
      </c>
      <c r="J11" s="37">
        <v>81200000</v>
      </c>
      <c r="K11" s="37">
        <v>82300000</v>
      </c>
      <c r="L11" s="37">
        <f t="shared" si="36"/>
        <v>81750000</v>
      </c>
      <c r="M11" s="37">
        <f t="shared" si="37"/>
        <v>82025000</v>
      </c>
      <c r="N11" s="37">
        <f t="shared" si="38"/>
        <v>81887500</v>
      </c>
      <c r="O11" s="37">
        <f t="shared" si="39"/>
        <v>81956250</v>
      </c>
      <c r="P11" s="37">
        <f t="shared" si="40"/>
        <v>81921875</v>
      </c>
      <c r="Q11" s="37">
        <f t="shared" si="1"/>
        <v>81939062.5</v>
      </c>
      <c r="R11" s="37">
        <f t="shared" si="2"/>
        <v>81930468.75</v>
      </c>
      <c r="S11" s="37">
        <f t="shared" si="3"/>
        <v>81934765.625</v>
      </c>
      <c r="T11" s="37">
        <f t="shared" si="4"/>
        <v>81932617.1875</v>
      </c>
      <c r="U11" s="37">
        <f t="shared" si="5"/>
        <v>81933691.40625</v>
      </c>
      <c r="V11" s="37">
        <f t="shared" si="6"/>
        <v>81933154.296875</v>
      </c>
      <c r="W11" s="37">
        <f t="shared" si="7"/>
        <v>81933422.8515625</v>
      </c>
      <c r="X11" s="37">
        <f t="shared" si="8"/>
        <v>81933288.57421875</v>
      </c>
      <c r="Y11" s="37">
        <f t="shared" si="9"/>
        <v>81933355.712890625</v>
      </c>
      <c r="Z11" s="37">
        <f t="shared" si="10"/>
        <v>81933322.143554688</v>
      </c>
      <c r="AA11" s="37">
        <f t="shared" si="11"/>
        <v>81933338.928222656</v>
      </c>
      <c r="AB11" s="37">
        <f t="shared" si="12"/>
        <v>81933330.535888672</v>
      </c>
      <c r="AC11" s="37">
        <f t="shared" si="13"/>
        <v>81933334.732055664</v>
      </c>
      <c r="AD11" s="37">
        <f t="shared" si="14"/>
        <v>81933332.633972168</v>
      </c>
      <c r="AE11" s="37">
        <f t="shared" si="15"/>
        <v>81933333.683013916</v>
      </c>
      <c r="AF11" s="37">
        <f t="shared" si="16"/>
        <v>81933333.158493042</v>
      </c>
      <c r="AG11" s="37">
        <f t="shared" si="17"/>
        <v>81933333.420753479</v>
      </c>
      <c r="AH11" s="37">
        <f t="shared" si="18"/>
        <v>81933333.28962326</v>
      </c>
      <c r="AI11" s="37">
        <f t="shared" si="19"/>
        <v>81933333.35518837</v>
      </c>
      <c r="AJ11" s="37">
        <f t="shared" si="20"/>
        <v>81933333.322405815</v>
      </c>
      <c r="AK11" s="37">
        <f t="shared" si="21"/>
        <v>81933333.338797092</v>
      </c>
      <c r="AL11" s="37">
        <f t="shared" si="22"/>
        <v>81933333.330601454</v>
      </c>
      <c r="AM11" s="37">
        <f t="shared" si="23"/>
        <v>81933333.334699273</v>
      </c>
      <c r="AN11" s="37">
        <f t="shared" si="24"/>
        <v>81933333.332650363</v>
      </c>
      <c r="AO11" s="37">
        <f t="shared" si="25"/>
        <v>81933333.333674818</v>
      </c>
      <c r="AP11" s="37">
        <f t="shared" si="26"/>
        <v>81933333.333162591</v>
      </c>
      <c r="AQ11" s="37">
        <f t="shared" si="27"/>
        <v>81933333.333418697</v>
      </c>
      <c r="AR11" s="37">
        <f t="shared" si="28"/>
        <v>81933333.333290637</v>
      </c>
      <c r="AS11" s="37">
        <f t="shared" si="29"/>
        <v>81933333.333354667</v>
      </c>
      <c r="AT11" s="37">
        <f t="shared" si="30"/>
        <v>81933333.333322644</v>
      </c>
      <c r="AU11" s="37">
        <f t="shared" si="31"/>
        <v>81933333.333338648</v>
      </c>
      <c r="AV11" s="37">
        <f t="shared" si="32"/>
        <v>81933333.333330646</v>
      </c>
      <c r="AW11" s="37">
        <f t="shared" si="33"/>
        <v>81933333.333334655</v>
      </c>
      <c r="AX11" s="37">
        <f t="shared" si="34"/>
        <v>81933333.333332658</v>
      </c>
      <c r="AY11" s="37">
        <f t="shared" si="35"/>
        <v>81933333.333333656</v>
      </c>
    </row>
    <row r="12" spans="1:51" x14ac:dyDescent="0.25">
      <c r="A12" t="s">
        <v>148</v>
      </c>
      <c r="B12" s="37">
        <v>3100000</v>
      </c>
      <c r="C12" s="37">
        <v>3100000</v>
      </c>
      <c r="D12" s="37">
        <v>4500000</v>
      </c>
      <c r="E12" s="37">
        <v>11900000</v>
      </c>
      <c r="F12" s="37">
        <v>15200000</v>
      </c>
      <c r="G12" s="37">
        <v>10600000</v>
      </c>
      <c r="H12" s="37">
        <v>6900000</v>
      </c>
      <c r="I12" s="37">
        <v>6900000</v>
      </c>
      <c r="J12" s="37">
        <v>5500000</v>
      </c>
      <c r="K12" s="37">
        <v>5700000</v>
      </c>
      <c r="L12" s="37">
        <f t="shared" si="36"/>
        <v>5600000</v>
      </c>
      <c r="M12" s="37">
        <f t="shared" si="37"/>
        <v>5650000</v>
      </c>
      <c r="N12" s="37">
        <f t="shared" si="38"/>
        <v>5625000</v>
      </c>
      <c r="O12" s="37">
        <f t="shared" si="39"/>
        <v>5637500</v>
      </c>
      <c r="P12" s="37">
        <f t="shared" si="40"/>
        <v>5631250</v>
      </c>
      <c r="Q12" s="37">
        <f t="shared" si="1"/>
        <v>5634375</v>
      </c>
      <c r="R12" s="37">
        <f t="shared" si="2"/>
        <v>5632812.5</v>
      </c>
      <c r="S12" s="37">
        <f t="shared" si="3"/>
        <v>5633593.75</v>
      </c>
      <c r="T12" s="37">
        <f t="shared" si="4"/>
        <v>5633203.125</v>
      </c>
      <c r="U12" s="37">
        <f t="shared" si="5"/>
        <v>5633398.4375</v>
      </c>
      <c r="V12" s="37">
        <f t="shared" si="6"/>
        <v>5633300.78125</v>
      </c>
      <c r="W12" s="37">
        <f t="shared" si="7"/>
        <v>5633349.609375</v>
      </c>
      <c r="X12" s="37">
        <f t="shared" si="8"/>
        <v>5633325.1953125</v>
      </c>
      <c r="Y12" s="37">
        <f t="shared" si="9"/>
        <v>5633337.40234375</v>
      </c>
      <c r="Z12" s="37">
        <f t="shared" si="10"/>
        <v>5633331.298828125</v>
      </c>
      <c r="AA12" s="37">
        <f t="shared" si="11"/>
        <v>5633334.3505859375</v>
      </c>
      <c r="AB12" s="37">
        <f t="shared" si="12"/>
        <v>5633332.8247070313</v>
      </c>
      <c r="AC12" s="37">
        <f t="shared" si="13"/>
        <v>5633333.5876464844</v>
      </c>
      <c r="AD12" s="37">
        <f t="shared" si="14"/>
        <v>5633333.2061767578</v>
      </c>
      <c r="AE12" s="37">
        <f t="shared" si="15"/>
        <v>5633333.3969116211</v>
      </c>
      <c r="AF12" s="37">
        <f t="shared" si="16"/>
        <v>5633333.3015441895</v>
      </c>
      <c r="AG12" s="37">
        <f t="shared" si="17"/>
        <v>5633333.3492279053</v>
      </c>
      <c r="AH12" s="37">
        <f t="shared" si="18"/>
        <v>5633333.3253860474</v>
      </c>
      <c r="AI12" s="37">
        <f t="shared" si="19"/>
        <v>5633333.3373069763</v>
      </c>
      <c r="AJ12" s="37">
        <f t="shared" si="20"/>
        <v>5633333.3313465118</v>
      </c>
      <c r="AK12" s="37">
        <f t="shared" si="21"/>
        <v>5633333.3343267441</v>
      </c>
      <c r="AL12" s="37">
        <f t="shared" si="22"/>
        <v>5633333.332836628</v>
      </c>
      <c r="AM12" s="37">
        <f t="shared" si="23"/>
        <v>5633333.333581686</v>
      </c>
      <c r="AN12" s="37">
        <f t="shared" si="24"/>
        <v>5633333.333209157</v>
      </c>
      <c r="AO12" s="37">
        <f t="shared" si="25"/>
        <v>5633333.3333954215</v>
      </c>
      <c r="AP12" s="37">
        <f t="shared" si="26"/>
        <v>5633333.3333022892</v>
      </c>
      <c r="AQ12" s="37">
        <f t="shared" si="27"/>
        <v>5633333.3333488554</v>
      </c>
      <c r="AR12" s="37">
        <f t="shared" si="28"/>
        <v>5633333.3333255723</v>
      </c>
      <c r="AS12" s="37">
        <f t="shared" si="29"/>
        <v>5633333.3333372138</v>
      </c>
      <c r="AT12" s="37">
        <f t="shared" si="30"/>
        <v>5633333.3333313931</v>
      </c>
      <c r="AU12" s="37">
        <f t="shared" si="31"/>
        <v>5633333.3333343035</v>
      </c>
      <c r="AV12" s="37">
        <f t="shared" si="32"/>
        <v>5633333.3333328478</v>
      </c>
      <c r="AW12" s="37">
        <f t="shared" si="33"/>
        <v>5633333.3333335761</v>
      </c>
      <c r="AX12" s="37">
        <f t="shared" si="34"/>
        <v>5633333.333333212</v>
      </c>
      <c r="AY12" s="37">
        <f t="shared" si="35"/>
        <v>5633333.3333333936</v>
      </c>
    </row>
    <row r="13" spans="1:51" x14ac:dyDescent="0.25">
      <c r="A13" t="s">
        <v>149</v>
      </c>
      <c r="B13" s="37">
        <v>20500000</v>
      </c>
      <c r="C13" s="37">
        <v>22200000</v>
      </c>
      <c r="D13" s="37">
        <v>22600000</v>
      </c>
      <c r="E13" s="37">
        <v>21600000</v>
      </c>
      <c r="F13" s="37">
        <v>21700000</v>
      </c>
      <c r="G13" s="37">
        <v>21100000</v>
      </c>
      <c r="H13" s="37">
        <v>21400000</v>
      </c>
      <c r="I13" s="37">
        <v>21200000</v>
      </c>
      <c r="J13" s="37">
        <v>21400000</v>
      </c>
      <c r="K13" s="37">
        <v>21500000</v>
      </c>
      <c r="L13" s="37">
        <f t="shared" si="36"/>
        <v>21450000</v>
      </c>
      <c r="M13" s="37">
        <f t="shared" si="37"/>
        <v>21475000</v>
      </c>
      <c r="N13" s="37">
        <f t="shared" si="38"/>
        <v>21462500</v>
      </c>
      <c r="O13" s="37">
        <f t="shared" si="39"/>
        <v>21468750</v>
      </c>
      <c r="P13" s="37">
        <f t="shared" si="40"/>
        <v>21465625</v>
      </c>
      <c r="Q13" s="37">
        <f t="shared" si="1"/>
        <v>21467187.5</v>
      </c>
      <c r="R13" s="37">
        <f t="shared" si="2"/>
        <v>21466406.25</v>
      </c>
      <c r="S13" s="37">
        <f t="shared" si="3"/>
        <v>21466796.875</v>
      </c>
      <c r="T13" s="37">
        <f t="shared" si="4"/>
        <v>21466601.5625</v>
      </c>
      <c r="U13" s="37">
        <f t="shared" si="5"/>
        <v>21466699.21875</v>
      </c>
      <c r="V13" s="37">
        <f t="shared" si="6"/>
        <v>21466650.390625</v>
      </c>
      <c r="W13" s="37">
        <f t="shared" si="7"/>
        <v>21466674.8046875</v>
      </c>
      <c r="X13" s="37">
        <f t="shared" si="8"/>
        <v>21466662.59765625</v>
      </c>
      <c r="Y13" s="37">
        <f t="shared" si="9"/>
        <v>21466668.701171875</v>
      </c>
      <c r="Z13" s="37">
        <f t="shared" si="10"/>
        <v>21466665.649414063</v>
      </c>
      <c r="AA13" s="37">
        <f t="shared" si="11"/>
        <v>21466667.175292969</v>
      </c>
      <c r="AB13" s="37">
        <f t="shared" si="12"/>
        <v>21466666.412353516</v>
      </c>
      <c r="AC13" s="37">
        <f t="shared" si="13"/>
        <v>21466666.793823242</v>
      </c>
      <c r="AD13" s="37">
        <f t="shared" si="14"/>
        <v>21466666.603088379</v>
      </c>
      <c r="AE13" s="37">
        <f t="shared" si="15"/>
        <v>21466666.698455811</v>
      </c>
      <c r="AF13" s="37">
        <f t="shared" si="16"/>
        <v>21466666.650772095</v>
      </c>
      <c r="AG13" s="37">
        <f t="shared" si="17"/>
        <v>21466666.674613953</v>
      </c>
      <c r="AH13" s="37">
        <f t="shared" si="18"/>
        <v>21466666.662693024</v>
      </c>
      <c r="AI13" s="37">
        <f t="shared" si="19"/>
        <v>21466666.668653488</v>
      </c>
      <c r="AJ13" s="37">
        <f t="shared" si="20"/>
        <v>21466666.665673256</v>
      </c>
      <c r="AK13" s="37">
        <f t="shared" si="21"/>
        <v>21466666.667163372</v>
      </c>
      <c r="AL13" s="37">
        <f t="shared" si="22"/>
        <v>21466666.666418314</v>
      </c>
      <c r="AM13" s="37">
        <f t="shared" si="23"/>
        <v>21466666.666790843</v>
      </c>
      <c r="AN13" s="37">
        <f t="shared" si="24"/>
        <v>21466666.666604578</v>
      </c>
      <c r="AO13" s="37">
        <f t="shared" si="25"/>
        <v>21466666.666697711</v>
      </c>
      <c r="AP13" s="37">
        <f t="shared" si="26"/>
        <v>21466666.666651145</v>
      </c>
      <c r="AQ13" s="37">
        <f t="shared" si="27"/>
        <v>21466666.666674428</v>
      </c>
      <c r="AR13" s="37">
        <f t="shared" si="28"/>
        <v>21466666.666662786</v>
      </c>
      <c r="AS13" s="37">
        <f t="shared" si="29"/>
        <v>21466666.666668609</v>
      </c>
      <c r="AT13" s="37">
        <f t="shared" si="30"/>
        <v>21466666.666665696</v>
      </c>
      <c r="AU13" s="37">
        <f t="shared" si="31"/>
        <v>21466666.666667152</v>
      </c>
      <c r="AV13" s="37">
        <f t="shared" si="32"/>
        <v>21466666.666666426</v>
      </c>
      <c r="AW13" s="37">
        <f t="shared" si="33"/>
        <v>21466666.666666791</v>
      </c>
      <c r="AX13" s="37">
        <f t="shared" si="34"/>
        <v>21466666.666666608</v>
      </c>
      <c r="AY13" s="37">
        <f t="shared" si="35"/>
        <v>21466666.666666701</v>
      </c>
    </row>
    <row r="14" spans="1:51" x14ac:dyDescent="0.25">
      <c r="A14" t="s">
        <v>156</v>
      </c>
      <c r="B14" s="37">
        <v>5800000</v>
      </c>
      <c r="C14" s="37">
        <v>6700000</v>
      </c>
      <c r="D14" s="37">
        <v>7500000</v>
      </c>
      <c r="E14" s="37">
        <v>7400000</v>
      </c>
      <c r="F14" s="37">
        <v>7900000</v>
      </c>
      <c r="G14" s="37">
        <v>7900000</v>
      </c>
      <c r="H14" s="37">
        <v>8000000</v>
      </c>
      <c r="I14" s="37">
        <v>7800000</v>
      </c>
      <c r="J14" s="37">
        <v>7800000</v>
      </c>
      <c r="K14" s="37">
        <v>7900000</v>
      </c>
      <c r="L14" s="37">
        <f t="shared" si="36"/>
        <v>7850000</v>
      </c>
      <c r="M14" s="37">
        <f t="shared" si="37"/>
        <v>7875000</v>
      </c>
      <c r="N14" s="37">
        <f t="shared" si="38"/>
        <v>7862500</v>
      </c>
      <c r="O14" s="37">
        <f t="shared" si="39"/>
        <v>7868750</v>
      </c>
      <c r="P14" s="37">
        <f t="shared" si="40"/>
        <v>7865625</v>
      </c>
      <c r="Q14" s="37">
        <f t="shared" si="1"/>
        <v>7867187.5</v>
      </c>
      <c r="R14" s="37">
        <f t="shared" si="2"/>
        <v>7866406.25</v>
      </c>
      <c r="S14" s="37">
        <f t="shared" si="3"/>
        <v>7866796.875</v>
      </c>
      <c r="T14" s="37">
        <f t="shared" si="4"/>
        <v>7866601.5625</v>
      </c>
      <c r="U14" s="37">
        <f t="shared" si="5"/>
        <v>7866699.21875</v>
      </c>
      <c r="V14" s="37">
        <f t="shared" si="6"/>
        <v>7866650.390625</v>
      </c>
      <c r="W14" s="37">
        <f t="shared" si="7"/>
        <v>7866674.8046875</v>
      </c>
      <c r="X14" s="37">
        <f t="shared" si="8"/>
        <v>7866662.59765625</v>
      </c>
      <c r="Y14" s="37">
        <f t="shared" si="9"/>
        <v>7866668.701171875</v>
      </c>
      <c r="Z14" s="37">
        <f t="shared" si="10"/>
        <v>7866665.6494140625</v>
      </c>
      <c r="AA14" s="37">
        <f t="shared" si="11"/>
        <v>7866667.1752929688</v>
      </c>
      <c r="AB14" s="37">
        <f t="shared" si="12"/>
        <v>7866666.4123535156</v>
      </c>
      <c r="AC14" s="37">
        <f t="shared" si="13"/>
        <v>7866666.7938232422</v>
      </c>
      <c r="AD14" s="37">
        <f t="shared" si="14"/>
        <v>7866666.6030883789</v>
      </c>
      <c r="AE14" s="37">
        <f t="shared" si="15"/>
        <v>7866666.6984558105</v>
      </c>
      <c r="AF14" s="37">
        <f t="shared" si="16"/>
        <v>7866666.6507720947</v>
      </c>
      <c r="AG14" s="37">
        <f t="shared" si="17"/>
        <v>7866666.6746139526</v>
      </c>
      <c r="AH14" s="37">
        <f t="shared" si="18"/>
        <v>7866666.6626930237</v>
      </c>
      <c r="AI14" s="37">
        <f t="shared" si="19"/>
        <v>7866666.6686534882</v>
      </c>
      <c r="AJ14" s="37">
        <f t="shared" si="20"/>
        <v>7866666.6656732559</v>
      </c>
      <c r="AK14" s="37">
        <f t="shared" si="21"/>
        <v>7866666.667163372</v>
      </c>
      <c r="AL14" s="37">
        <f t="shared" si="22"/>
        <v>7866666.666418314</v>
      </c>
      <c r="AM14" s="37">
        <f t="shared" si="23"/>
        <v>7866666.666790843</v>
      </c>
      <c r="AN14" s="37">
        <f t="shared" si="24"/>
        <v>7866666.6666045785</v>
      </c>
      <c r="AO14" s="37">
        <f t="shared" si="25"/>
        <v>7866666.6666977108</v>
      </c>
      <c r="AP14" s="37">
        <f t="shared" si="26"/>
        <v>7866666.6666511446</v>
      </c>
      <c r="AQ14" s="37">
        <f t="shared" si="27"/>
        <v>7866666.6666744277</v>
      </c>
      <c r="AR14" s="37">
        <f t="shared" si="28"/>
        <v>7866666.6666627862</v>
      </c>
      <c r="AS14" s="37">
        <f t="shared" si="29"/>
        <v>7866666.6666686069</v>
      </c>
      <c r="AT14" s="37">
        <f t="shared" si="30"/>
        <v>7866666.6666656965</v>
      </c>
      <c r="AU14" s="37">
        <f t="shared" si="31"/>
        <v>7866666.6666671522</v>
      </c>
      <c r="AV14" s="37">
        <f t="shared" si="32"/>
        <v>7866666.6666664239</v>
      </c>
      <c r="AW14" s="37">
        <f t="shared" si="33"/>
        <v>7866666.666666788</v>
      </c>
      <c r="AX14" s="37">
        <f t="shared" si="34"/>
        <v>7866666.6666666064</v>
      </c>
      <c r="AY14" s="37">
        <f t="shared" si="35"/>
        <v>7866666.6666666977</v>
      </c>
    </row>
    <row r="15" spans="1:51" x14ac:dyDescent="0.25">
      <c r="A15" t="s">
        <v>150</v>
      </c>
      <c r="B15" s="37">
        <v>116600000</v>
      </c>
      <c r="C15" s="37">
        <v>129900000</v>
      </c>
      <c r="D15" s="37">
        <v>128200000</v>
      </c>
      <c r="E15" s="37">
        <v>123000000</v>
      </c>
      <c r="F15" s="37">
        <v>123100000</v>
      </c>
      <c r="G15" s="37">
        <v>120400000</v>
      </c>
      <c r="H15" s="37">
        <v>121900000</v>
      </c>
      <c r="I15" s="37">
        <v>121000000</v>
      </c>
      <c r="J15" s="37">
        <v>122400000</v>
      </c>
      <c r="K15" s="37">
        <v>123300000</v>
      </c>
      <c r="L15" s="37">
        <f t="shared" si="36"/>
        <v>122850000</v>
      </c>
      <c r="M15" s="37">
        <f t="shared" si="37"/>
        <v>123075000</v>
      </c>
      <c r="N15" s="37">
        <f t="shared" si="38"/>
        <v>122962500</v>
      </c>
      <c r="O15" s="37">
        <f t="shared" si="39"/>
        <v>123018750</v>
      </c>
      <c r="P15" s="37">
        <f t="shared" si="40"/>
        <v>122990625</v>
      </c>
      <c r="Q15" s="37">
        <f t="shared" si="1"/>
        <v>123004687.5</v>
      </c>
      <c r="R15" s="37">
        <f t="shared" si="2"/>
        <v>122997656.25</v>
      </c>
      <c r="S15" s="37">
        <f t="shared" si="3"/>
        <v>123001171.875</v>
      </c>
      <c r="T15" s="37">
        <f t="shared" si="4"/>
        <v>122999414.0625</v>
      </c>
      <c r="U15" s="37">
        <f t="shared" si="5"/>
        <v>123000292.96875</v>
      </c>
      <c r="V15" s="37">
        <f t="shared" si="6"/>
        <v>122999853.515625</v>
      </c>
      <c r="W15" s="37">
        <f t="shared" si="7"/>
        <v>123000073.2421875</v>
      </c>
      <c r="X15" s="37">
        <f t="shared" si="8"/>
        <v>122999963.37890625</v>
      </c>
      <c r="Y15" s="37">
        <f t="shared" si="9"/>
        <v>123000018.31054688</v>
      </c>
      <c r="Z15" s="37">
        <f t="shared" si="10"/>
        <v>122999990.84472656</v>
      </c>
      <c r="AA15" s="37">
        <f t="shared" si="11"/>
        <v>123000004.57763672</v>
      </c>
      <c r="AB15" s="37">
        <f t="shared" si="12"/>
        <v>122999997.71118164</v>
      </c>
      <c r="AC15" s="37">
        <f t="shared" si="13"/>
        <v>123000001.14440918</v>
      </c>
      <c r="AD15" s="37">
        <f t="shared" si="14"/>
        <v>122999999.42779541</v>
      </c>
      <c r="AE15" s="37">
        <f t="shared" si="15"/>
        <v>123000000.28610229</v>
      </c>
      <c r="AF15" s="37">
        <f t="shared" si="16"/>
        <v>122999999.85694885</v>
      </c>
      <c r="AG15" s="37">
        <f t="shared" si="17"/>
        <v>123000000.07152557</v>
      </c>
      <c r="AH15" s="37">
        <f t="shared" si="18"/>
        <v>122999999.96423721</v>
      </c>
      <c r="AI15" s="37">
        <f t="shared" si="19"/>
        <v>123000000.01788139</v>
      </c>
      <c r="AJ15" s="37">
        <f t="shared" si="20"/>
        <v>122999999.9910593</v>
      </c>
      <c r="AK15" s="37">
        <f t="shared" si="21"/>
        <v>123000000.00447035</v>
      </c>
      <c r="AL15" s="37">
        <f t="shared" si="22"/>
        <v>122999999.99776483</v>
      </c>
      <c r="AM15" s="37">
        <f t="shared" si="23"/>
        <v>123000000.00111759</v>
      </c>
      <c r="AN15" s="37">
        <f t="shared" si="24"/>
        <v>122999999.99944121</v>
      </c>
      <c r="AO15" s="37">
        <f t="shared" si="25"/>
        <v>123000000.0002794</v>
      </c>
      <c r="AP15" s="37">
        <f t="shared" si="26"/>
        <v>122999999.9998603</v>
      </c>
      <c r="AQ15" s="37">
        <f t="shared" si="27"/>
        <v>123000000.00006986</v>
      </c>
      <c r="AR15" s="37">
        <f t="shared" si="28"/>
        <v>122999999.99996507</v>
      </c>
      <c r="AS15" s="37">
        <f t="shared" si="29"/>
        <v>123000000.00001746</v>
      </c>
      <c r="AT15" s="37">
        <f t="shared" si="30"/>
        <v>122999999.99999127</v>
      </c>
      <c r="AU15" s="37">
        <f t="shared" si="31"/>
        <v>123000000.00000437</v>
      </c>
      <c r="AV15" s="37">
        <f t="shared" si="32"/>
        <v>122999999.99999782</v>
      </c>
      <c r="AW15" s="37">
        <f t="shared" si="33"/>
        <v>123000000.0000011</v>
      </c>
      <c r="AX15" s="37">
        <f t="shared" si="34"/>
        <v>122999999.99999946</v>
      </c>
      <c r="AY15" s="37">
        <f t="shared" si="35"/>
        <v>123000000.00000028</v>
      </c>
    </row>
    <row r="16" spans="1:51" x14ac:dyDescent="0.25">
      <c r="A16" t="s">
        <v>151</v>
      </c>
      <c r="B16" s="37">
        <v>104600000</v>
      </c>
      <c r="C16" s="37">
        <v>122100000</v>
      </c>
      <c r="D16" s="37">
        <v>131700000</v>
      </c>
      <c r="E16" s="37">
        <v>128600000</v>
      </c>
      <c r="F16" s="37">
        <v>128700000</v>
      </c>
      <c r="G16" s="37">
        <v>125200000</v>
      </c>
      <c r="H16" s="37">
        <v>127600000</v>
      </c>
      <c r="I16" s="37">
        <v>126000000</v>
      </c>
      <c r="J16" s="37">
        <v>127400000</v>
      </c>
      <c r="K16" s="37">
        <v>128200000</v>
      </c>
      <c r="L16" s="37">
        <f t="shared" si="36"/>
        <v>127800000</v>
      </c>
      <c r="M16" s="37">
        <f t="shared" si="37"/>
        <v>128000000</v>
      </c>
      <c r="N16" s="37">
        <f t="shared" si="38"/>
        <v>127900000</v>
      </c>
      <c r="O16" s="37">
        <f t="shared" si="39"/>
        <v>127950000</v>
      </c>
      <c r="P16" s="37">
        <f t="shared" si="40"/>
        <v>127925000</v>
      </c>
      <c r="Q16" s="37">
        <f t="shared" si="1"/>
        <v>127937500</v>
      </c>
      <c r="R16" s="37">
        <f t="shared" si="2"/>
        <v>127931250</v>
      </c>
      <c r="S16" s="37">
        <f t="shared" si="3"/>
        <v>127934375</v>
      </c>
      <c r="T16" s="37">
        <f t="shared" si="4"/>
        <v>127932812.5</v>
      </c>
      <c r="U16" s="37">
        <f t="shared" si="5"/>
        <v>127933593.75</v>
      </c>
      <c r="V16" s="37">
        <f t="shared" si="6"/>
        <v>127933203.125</v>
      </c>
      <c r="W16" s="37">
        <f t="shared" si="7"/>
        <v>127933398.4375</v>
      </c>
      <c r="X16" s="37">
        <f t="shared" si="8"/>
        <v>127933300.78125</v>
      </c>
      <c r="Y16" s="37">
        <f t="shared" si="9"/>
        <v>127933349.609375</v>
      </c>
      <c r="Z16" s="37">
        <f t="shared" si="10"/>
        <v>127933325.1953125</v>
      </c>
      <c r="AA16" s="37">
        <f t="shared" si="11"/>
        <v>127933337.40234375</v>
      </c>
      <c r="AB16" s="37">
        <f t="shared" si="12"/>
        <v>127933331.29882813</v>
      </c>
      <c r="AC16" s="37">
        <f t="shared" si="13"/>
        <v>127933334.35058594</v>
      </c>
      <c r="AD16" s="37">
        <f t="shared" si="14"/>
        <v>127933332.82470703</v>
      </c>
      <c r="AE16" s="37">
        <f t="shared" si="15"/>
        <v>127933333.58764648</v>
      </c>
      <c r="AF16" s="37">
        <f t="shared" si="16"/>
        <v>127933333.20617676</v>
      </c>
      <c r="AG16" s="37">
        <f t="shared" si="17"/>
        <v>127933333.39691162</v>
      </c>
      <c r="AH16" s="37">
        <f t="shared" si="18"/>
        <v>127933333.30154419</v>
      </c>
      <c r="AI16" s="37">
        <f t="shared" si="19"/>
        <v>127933333.34922791</v>
      </c>
      <c r="AJ16" s="37">
        <f t="shared" si="20"/>
        <v>127933333.32538605</v>
      </c>
      <c r="AK16" s="37">
        <f t="shared" si="21"/>
        <v>127933333.33730698</v>
      </c>
      <c r="AL16" s="37">
        <f t="shared" si="22"/>
        <v>127933333.33134651</v>
      </c>
      <c r="AM16" s="37">
        <f t="shared" si="23"/>
        <v>127933333.33432674</v>
      </c>
      <c r="AN16" s="37">
        <f t="shared" si="24"/>
        <v>127933333.33283663</v>
      </c>
      <c r="AO16" s="37">
        <f t="shared" si="25"/>
        <v>127933333.33358169</v>
      </c>
      <c r="AP16" s="37">
        <f t="shared" si="26"/>
        <v>127933333.33320916</v>
      </c>
      <c r="AQ16" s="37">
        <f t="shared" si="27"/>
        <v>127933333.33339542</v>
      </c>
      <c r="AR16" s="37">
        <f t="shared" si="28"/>
        <v>127933333.33330229</v>
      </c>
      <c r="AS16" s="37">
        <f t="shared" si="29"/>
        <v>127933333.33334886</v>
      </c>
      <c r="AT16" s="37">
        <f t="shared" si="30"/>
        <v>127933333.33332556</v>
      </c>
      <c r="AU16" s="37">
        <f t="shared" si="31"/>
        <v>127933333.33333722</v>
      </c>
      <c r="AV16" s="37">
        <f t="shared" si="32"/>
        <v>127933333.33333139</v>
      </c>
      <c r="AW16" s="37">
        <f t="shared" si="33"/>
        <v>127933333.3333343</v>
      </c>
      <c r="AX16" s="37">
        <f t="shared" si="34"/>
        <v>127933333.33333284</v>
      </c>
      <c r="AY16" s="37">
        <f t="shared" si="35"/>
        <v>127933333.33333357</v>
      </c>
    </row>
    <row r="17" spans="1:51" x14ac:dyDescent="0.25">
      <c r="A17" t="s">
        <v>152</v>
      </c>
      <c r="B17" s="41">
        <v>969375250</v>
      </c>
      <c r="C17">
        <v>1001504250</v>
      </c>
      <c r="D17">
        <v>1046900000</v>
      </c>
      <c r="E17">
        <v>1007009500</v>
      </c>
      <c r="F17">
        <v>1030294000</v>
      </c>
      <c r="G17">
        <v>1075328750</v>
      </c>
      <c r="H17">
        <v>1011161000</v>
      </c>
      <c r="I17">
        <v>1076231250</v>
      </c>
      <c r="J17">
        <v>1028128000</v>
      </c>
      <c r="K17">
        <v>1055564000</v>
      </c>
      <c r="L17" s="37">
        <f t="shared" si="36"/>
        <v>1041846000</v>
      </c>
      <c r="M17" s="37">
        <f t="shared" si="37"/>
        <v>1048705000</v>
      </c>
      <c r="N17" s="37">
        <f t="shared" si="38"/>
        <v>1045275500</v>
      </c>
      <c r="O17" s="37">
        <f t="shared" si="39"/>
        <v>1046990250</v>
      </c>
      <c r="P17" s="37">
        <f t="shared" si="40"/>
        <v>1046132875</v>
      </c>
      <c r="Q17" s="37">
        <f t="shared" si="1"/>
        <v>1046561562.5</v>
      </c>
      <c r="R17" s="37">
        <f t="shared" si="2"/>
        <v>1046347218.75</v>
      </c>
      <c r="S17" s="37">
        <f t="shared" si="3"/>
        <v>1046454390.625</v>
      </c>
      <c r="T17" s="37">
        <f t="shared" si="4"/>
        <v>1046400804.6875</v>
      </c>
      <c r="U17" s="37">
        <f t="shared" si="5"/>
        <v>1046427597.65625</v>
      </c>
      <c r="V17" s="37">
        <f t="shared" si="6"/>
        <v>1046414201.171875</v>
      </c>
      <c r="W17" s="37">
        <f t="shared" si="7"/>
        <v>1046420899.4140625</v>
      </c>
      <c r="X17" s="37">
        <f t="shared" si="8"/>
        <v>1046417550.2929688</v>
      </c>
      <c r="Y17" s="37">
        <f t="shared" si="9"/>
        <v>1046419224.8535156</v>
      </c>
      <c r="Z17" s="37">
        <f t="shared" si="10"/>
        <v>1046418387.5732422</v>
      </c>
      <c r="AA17" s="37">
        <f t="shared" si="11"/>
        <v>1046418806.2133789</v>
      </c>
      <c r="AB17" s="37">
        <f t="shared" si="12"/>
        <v>1046418596.8933105</v>
      </c>
      <c r="AC17" s="37">
        <f t="shared" si="13"/>
        <v>1046418701.5533447</v>
      </c>
      <c r="AD17" s="37">
        <f t="shared" si="14"/>
        <v>1046418649.2233276</v>
      </c>
      <c r="AE17" s="37">
        <f t="shared" si="15"/>
        <v>1046418675.3883362</v>
      </c>
      <c r="AF17" s="37">
        <f t="shared" si="16"/>
        <v>1046418662.3058319</v>
      </c>
      <c r="AG17" s="37">
        <f t="shared" si="17"/>
        <v>1046418668.847084</v>
      </c>
      <c r="AH17" s="37">
        <f t="shared" si="18"/>
        <v>1046418665.576458</v>
      </c>
      <c r="AI17" s="37">
        <f t="shared" si="19"/>
        <v>1046418667.211771</v>
      </c>
      <c r="AJ17" s="37">
        <f t="shared" si="20"/>
        <v>1046418666.3941145</v>
      </c>
      <c r="AK17" s="37">
        <f t="shared" si="21"/>
        <v>1046418666.8029428</v>
      </c>
      <c r="AL17" s="37">
        <f t="shared" si="22"/>
        <v>1046418666.5985286</v>
      </c>
      <c r="AM17" s="37">
        <f t="shared" si="23"/>
        <v>1046418666.7007357</v>
      </c>
      <c r="AN17" s="37">
        <f t="shared" si="24"/>
        <v>1046418666.6496322</v>
      </c>
      <c r="AO17" s="37">
        <f t="shared" si="25"/>
        <v>1046418666.675184</v>
      </c>
      <c r="AP17" s="37">
        <f t="shared" si="26"/>
        <v>1046418666.6624081</v>
      </c>
      <c r="AQ17" s="37">
        <f t="shared" si="27"/>
        <v>1046418666.6687961</v>
      </c>
      <c r="AR17" s="37">
        <f t="shared" si="28"/>
        <v>1046418666.6656021</v>
      </c>
      <c r="AS17" s="37">
        <f t="shared" si="29"/>
        <v>1046418666.6671991</v>
      </c>
      <c r="AT17" s="37">
        <f t="shared" si="30"/>
        <v>1046418666.6664007</v>
      </c>
      <c r="AU17" s="37">
        <f t="shared" si="31"/>
        <v>1046418666.6667999</v>
      </c>
      <c r="AV17" s="37">
        <f t="shared" si="32"/>
        <v>1046418666.6666002</v>
      </c>
      <c r="AW17" s="37">
        <f t="shared" si="33"/>
        <v>1046418666.6667001</v>
      </c>
      <c r="AX17" s="37">
        <f t="shared" si="34"/>
        <v>1046418666.6666502</v>
      </c>
      <c r="AY17" s="37">
        <f t="shared" si="35"/>
        <v>1046418666.6666751</v>
      </c>
    </row>
    <row r="18" spans="1:51" x14ac:dyDescent="0.25">
      <c r="A18" t="s">
        <v>153</v>
      </c>
      <c r="B18" s="25">
        <v>500000</v>
      </c>
      <c r="C18" s="25">
        <v>500000</v>
      </c>
      <c r="D18" s="25">
        <v>700000</v>
      </c>
      <c r="E18" s="25">
        <v>2000000</v>
      </c>
      <c r="F18" s="25">
        <v>2500000</v>
      </c>
      <c r="G18" s="25">
        <v>1800000</v>
      </c>
      <c r="H18" s="25">
        <v>1200000</v>
      </c>
      <c r="I18" s="25">
        <v>1200000</v>
      </c>
      <c r="J18" s="25">
        <v>900000</v>
      </c>
      <c r="K18" s="25">
        <v>1000000</v>
      </c>
      <c r="L18" s="37">
        <f>AVERAGE(I18:K18)</f>
        <v>1033333.3333333334</v>
      </c>
      <c r="M18" s="37">
        <f t="shared" si="37"/>
        <v>1016666.6666666667</v>
      </c>
      <c r="N18" s="37">
        <f t="shared" si="38"/>
        <v>1025000</v>
      </c>
      <c r="O18" s="37">
        <f t="shared" si="39"/>
        <v>1020833.3333333334</v>
      </c>
      <c r="P18" s="37">
        <f t="shared" si="40"/>
        <v>1022916.6666666667</v>
      </c>
      <c r="Q18" s="37">
        <f t="shared" si="1"/>
        <v>1021875</v>
      </c>
      <c r="R18" s="37">
        <f t="shared" si="2"/>
        <v>1022395.8333333334</v>
      </c>
      <c r="S18" s="37">
        <f t="shared" si="3"/>
        <v>1022135.4166666667</v>
      </c>
      <c r="T18" s="37">
        <f t="shared" si="4"/>
        <v>1022265.625</v>
      </c>
      <c r="U18" s="37">
        <f t="shared" si="5"/>
        <v>1022200.5208333334</v>
      </c>
      <c r="V18" s="37">
        <f t="shared" si="6"/>
        <v>1022233.0729166667</v>
      </c>
      <c r="W18" s="37">
        <f t="shared" si="7"/>
        <v>1022216.796875</v>
      </c>
      <c r="X18" s="37">
        <f t="shared" si="8"/>
        <v>1022224.9348958334</v>
      </c>
      <c r="Y18" s="37">
        <f t="shared" si="9"/>
        <v>1022220.8658854167</v>
      </c>
      <c r="Z18" s="37">
        <f t="shared" si="10"/>
        <v>1022222.900390625</v>
      </c>
      <c r="AA18" s="37">
        <f t="shared" si="11"/>
        <v>1022221.8831380209</v>
      </c>
      <c r="AB18" s="37">
        <f t="shared" si="12"/>
        <v>1022222.391764323</v>
      </c>
      <c r="AC18" s="37">
        <f t="shared" si="13"/>
        <v>1022222.1374511719</v>
      </c>
      <c r="AD18" s="37">
        <f t="shared" si="14"/>
        <v>1022222.2646077474</v>
      </c>
      <c r="AE18" s="37">
        <f t="shared" si="15"/>
        <v>1022222.2010294597</v>
      </c>
      <c r="AF18" s="37">
        <f t="shared" si="16"/>
        <v>1022222.2328186035</v>
      </c>
      <c r="AG18" s="37">
        <f t="shared" si="17"/>
        <v>1022222.2169240316</v>
      </c>
      <c r="AH18" s="37">
        <f t="shared" si="18"/>
        <v>1022222.2248713176</v>
      </c>
      <c r="AI18" s="37">
        <f t="shared" si="19"/>
        <v>1022222.2208976746</v>
      </c>
      <c r="AJ18" s="37">
        <f t="shared" si="20"/>
        <v>1022222.2228844961</v>
      </c>
      <c r="AK18" s="37">
        <f t="shared" si="21"/>
        <v>1022222.2218910854</v>
      </c>
      <c r="AL18" s="37">
        <f t="shared" si="22"/>
        <v>1022222.2223877907</v>
      </c>
      <c r="AM18" s="37">
        <f t="shared" si="23"/>
        <v>1022222.222139438</v>
      </c>
      <c r="AN18" s="37">
        <f t="shared" si="24"/>
        <v>1022222.2222636144</v>
      </c>
      <c r="AO18" s="37">
        <f t="shared" si="25"/>
        <v>1022222.2222015262</v>
      </c>
      <c r="AP18" s="37">
        <f t="shared" si="26"/>
        <v>1022222.2222325703</v>
      </c>
      <c r="AQ18" s="37">
        <f t="shared" si="27"/>
        <v>1022222.2222170483</v>
      </c>
      <c r="AR18" s="37">
        <f t="shared" si="28"/>
        <v>1022222.2222248092</v>
      </c>
      <c r="AS18" s="37">
        <f t="shared" si="29"/>
        <v>1022222.2222209288</v>
      </c>
      <c r="AT18" s="37">
        <f t="shared" si="30"/>
        <v>1022222.2222228691</v>
      </c>
      <c r="AU18" s="37">
        <f t="shared" si="31"/>
        <v>1022222.2222218988</v>
      </c>
      <c r="AV18" s="37">
        <f t="shared" si="32"/>
        <v>1022222.2222223839</v>
      </c>
      <c r="AW18" s="37">
        <f t="shared" si="33"/>
        <v>1022222.2222221415</v>
      </c>
      <c r="AX18" s="37">
        <f t="shared" si="34"/>
        <v>1022222.2222222628</v>
      </c>
      <c r="AY18" s="37">
        <f t="shared" si="35"/>
        <v>1022222.2222222021</v>
      </c>
    </row>
    <row r="19" spans="1:51" x14ac:dyDescent="0.25">
      <c r="B19" s="25"/>
      <c r="C19" s="25"/>
      <c r="D19" s="25"/>
      <c r="E19" s="25"/>
      <c r="F19" s="25"/>
      <c r="G19" s="25"/>
      <c r="H19" s="25"/>
      <c r="I19" s="25"/>
      <c r="J19" s="25"/>
    </row>
    <row r="20" spans="1:51" x14ac:dyDescent="0.25">
      <c r="B20" s="42"/>
      <c r="C20" s="42"/>
      <c r="D20" s="42"/>
      <c r="E20" s="42"/>
      <c r="F20" s="42"/>
      <c r="G20" s="42"/>
      <c r="H20" s="42"/>
      <c r="I20" s="42"/>
      <c r="J20" s="42"/>
    </row>
    <row r="21" spans="1:51" x14ac:dyDescent="0.25">
      <c r="B21" s="41"/>
      <c r="C21" s="41"/>
      <c r="D21" s="25"/>
      <c r="E21" s="25"/>
      <c r="F21" s="25"/>
      <c r="G21" s="25"/>
      <c r="H21" s="25"/>
      <c r="I21" s="25"/>
      <c r="J21" s="25"/>
    </row>
    <row r="22" spans="1:51" x14ac:dyDescent="0.25">
      <c r="B22" s="41"/>
      <c r="C22" s="41"/>
      <c r="D22" s="25"/>
      <c r="E22" s="25"/>
      <c r="F22" s="25"/>
      <c r="G22" s="25"/>
      <c r="H22" s="25"/>
      <c r="I22" s="25"/>
      <c r="J22" s="25"/>
    </row>
    <row r="23" spans="1:51" x14ac:dyDescent="0.25">
      <c r="B23" s="25"/>
      <c r="C23" s="25"/>
      <c r="D23" s="25"/>
      <c r="E23" s="40"/>
      <c r="F23" s="25"/>
      <c r="G23" s="25"/>
      <c r="H23" s="25"/>
      <c r="I23" s="25"/>
      <c r="J23" s="25"/>
      <c r="K23" s="25"/>
    </row>
    <row r="24" spans="1:51" x14ac:dyDescent="0.25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51" x14ac:dyDescent="0.25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51" x14ac:dyDescent="0.25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51" x14ac:dyDescent="0.25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51" x14ac:dyDescent="0.25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51" x14ac:dyDescent="0.25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51" x14ac:dyDescent="0.25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51" x14ac:dyDescent="0.25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51" x14ac:dyDescent="0.25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25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25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25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25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25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25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25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25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25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25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25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pageMargins left="0.7" right="0.7" top="0.75" bottom="0.75" header="0.3" footer="0.3"/>
  <pageSetup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DCBEC-A12F-4CB4-BD24-1D1201B71C25}">
  <dimension ref="A1"/>
  <sheetViews>
    <sheetView workbookViewId="0">
      <selection activeCell="H22" sqref="H2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vaccine-producer list</vt:lpstr>
      <vt:lpstr>total_capacity_calcs</vt:lpstr>
      <vt:lpstr>Prod_capacity_agg</vt:lpstr>
      <vt:lpstr>Producers_short_name</vt:lpstr>
      <vt:lpstr>Medium_Capacity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2023-10-25T00:05:43Z</dcterms:created>
  <dcterms:modified xsi:type="dcterms:W3CDTF">2024-04-04T17:53:06Z</dcterms:modified>
</cp:coreProperties>
</file>