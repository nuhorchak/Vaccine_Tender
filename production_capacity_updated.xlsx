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17" documentId="13_ncr:1_{5BC75AC5-5DFF-42F9-8F6A-B58AA24898A3}" xr6:coauthVersionLast="47" xr6:coauthVersionMax="47" xr10:uidLastSave="{0F05F723-1F5A-44BE-88C1-976EE0EDEB3A}"/>
  <bookViews>
    <workbookView xWindow="-120" yWindow="-120" windowWidth="20730" windowHeight="11040" firstSheet="1" activeTab="4" xr2:uid="{752E71BE-3FD4-4CCA-ABF0-6C5710D300B4}"/>
  </bookViews>
  <sheets>
    <sheet name="vaccine-producer list" sheetId="8" r:id="rId1"/>
    <sheet name="total_capacity_calcs" sheetId="7" r:id="rId2"/>
    <sheet name="Prod_capacity_agg" sheetId="9" r:id="rId3"/>
    <sheet name="Producers_short_name" sheetId="5" r:id="rId4"/>
    <sheet name="Medium_Capacity" sheetId="6" r:id="rId5"/>
  </sheets>
  <definedNames>
    <definedName name="_xlnm._FilterDatabase" localSheetId="4" hidden="1">Medium_Capacity!$A$1:$K$18</definedName>
    <definedName name="_xlnm._FilterDatabase" localSheetId="2" hidden="1">Prod_capacity_agg!$A$1:$K$1</definedName>
    <definedName name="_xlnm._FilterDatabase" localSheetId="1" hidden="1">total_capacity_calcs!$A$229:$L$296</definedName>
    <definedName name="_xlnm._FilterDatabase" localSheetId="0" hidden="1">'vaccine-producer list'!$A$1:$R$54</definedName>
    <definedName name="GAVI_countries" localSheetId="1">#REF!</definedName>
    <definedName name="GAVI_countries" localSheetId="0">#REF!</definedName>
    <definedName name="GAVI_countries">#REF!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9" l="1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09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08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07" i="7"/>
  <c r="L230" i="7"/>
  <c r="L232" i="7"/>
  <c r="K207" i="7"/>
  <c r="K230" i="7"/>
  <c r="K232" i="7"/>
  <c r="J207" i="7"/>
  <c r="J230" i="7"/>
  <c r="J232" i="7"/>
  <c r="I207" i="7"/>
  <c r="I230" i="7"/>
  <c r="I232" i="7"/>
  <c r="H207" i="7"/>
  <c r="H230" i="7"/>
  <c r="H232" i="7"/>
  <c r="G207" i="7"/>
  <c r="G230" i="7"/>
  <c r="G232" i="7"/>
  <c r="F207" i="7"/>
  <c r="F230" i="7"/>
  <c r="F232" i="7"/>
  <c r="E207" i="7"/>
  <c r="E230" i="7"/>
  <c r="E232" i="7"/>
  <c r="D207" i="7"/>
  <c r="D230" i="7"/>
  <c r="D232" i="7"/>
  <c r="C207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tc={C1098999-8042-465E-9ACB-457F7828CEE0}</author>
  </authors>
  <commentList>
    <comment ref="A20" authorId="0" shapeId="0" xr:uid="{C1098999-8042-465E-9ACB-457F7828CEE0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</commentList>
</comments>
</file>

<file path=xl/sharedStrings.xml><?xml version="1.0" encoding="utf-8"?>
<sst xmlns="http://schemas.openxmlformats.org/spreadsheetml/2006/main" count="757" uniqueCount="171">
  <si>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</si>
  <si>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</si>
  <si>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</si>
  <si>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</si>
  <si>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</si>
  <si>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</si>
  <si>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</si>
  <si>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</si>
  <si>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</si>
  <si>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</si>
  <si>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</si>
  <si>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</si>
  <si>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</si>
  <si>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</si>
  <si>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</si>
  <si>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</si>
  <si>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</si>
  <si>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</si>
  <si>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</si>
  <si>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</si>
  <si>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</si>
  <si>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</si>
  <si>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</si>
  <si>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</si>
  <si>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</si>
  <si>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</si>
  <si>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</si>
  <si>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</si>
  <si>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</si>
  <si>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</si>
  <si>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</si>
  <si>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</si>
  <si>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</si>
  <si>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</si>
  <si>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</si>
  <si>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</si>
  <si>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</si>
  <si>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</si>
  <si>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</si>
  <si>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</si>
  <si>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</si>
  <si>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</si>
  <si>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</si>
  <si>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</si>
  <si>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</si>
  <si>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</si>
  <si>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</si>
  <si>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</si>
  <si>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</si>
  <si>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</si>
  <si>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</si>
  <si>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</si>
  <si>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</si>
  <si>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</si>
  <si>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</si>
  <si>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</si>
  <si>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</si>
  <si>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</si>
  <si>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</si>
  <si>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</si>
  <si>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</si>
  <si>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</si>
  <si>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</si>
  <si>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</si>
  <si>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</si>
  <si>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</si>
  <si>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</si>
  <si>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</si>
  <si>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</si>
  <si>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</si>
  <si>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</si>
  <si>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</si>
  <si>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</si>
  <si>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</si>
  <si>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</si>
  <si>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</si>
  <si>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</si>
  <si>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</si>
  <si>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</si>
  <si>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</si>
  <si>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</si>
  <si>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</si>
  <si>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</si>
  <si>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</si>
  <si>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</si>
  <si>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</si>
  <si>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</si>
  <si>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</si>
  <si>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</si>
  <si>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</si>
  <si>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</si>
  <si>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</si>
  <si>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</si>
  <si>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</si>
  <si>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</si>
  <si>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</si>
  <si>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</si>
  <si>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</si>
  <si>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</si>
  <si>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</si>
  <si>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</si>
  <si>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</si>
  <si>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</si>
  <si>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</si>
  <si>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</si>
  <si>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</si>
  <si>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</si>
  <si>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</si>
  <si>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</si>
  <si>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</si>
  <si>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</si>
  <si>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</si>
  <si>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</si>
  <si>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</si>
  <si>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</si>
  <si>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</si>
  <si>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</si>
  <si>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</si>
  <si>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</si>
  <si>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</si>
  <si>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</si>
  <si>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</si>
  <si>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</si>
  <si>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</si>
  <si>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</si>
  <si>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</si>
  <si>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</si>
  <si>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</si>
  <si>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</si>
  <si>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</si>
  <si>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</si>
  <si>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</si>
  <si>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</si>
  <si>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</si>
  <si>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</si>
  <si>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</si>
  <si>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</si>
  <si>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</si>
  <si>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</si>
  <si>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</si>
  <si>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</si>
  <si>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</si>
  <si>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</si>
  <si>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</si>
  <si>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</si>
  <si>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</si>
  <si>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</si>
  <si>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</si>
  <si>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</si>
  <si>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</si>
  <si>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</si>
  <si>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</si>
  <si>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</si>
  <si>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</si>
  <si>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</si>
  <si>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</si>
  <si>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</si>
  <si>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</si>
  <si>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</si>
  <si>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</si>
  <si>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"Innovative_Biotech"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</si>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</sst>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98658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7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43" fontId="0" fillId="0" borderId="0" xfId="0" applyNumberFormat="1"/>
    <xf numFmtId="0" fontId="10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0" dT="2023-11-02T14:14:51.18" personId="{E6293415-C8D6-4C48-A35A-5D150AA40776}" id="{C1098999-8042-465E-9ACB-457F7828CEE0}">
    <text>Nigerian company, added for sensitivity. Numbers are synthetic, and represent possible scenario near the end of the decade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ivotTable" Target="../pivotTables/pivotTable1.x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T54"/>
  <sheetViews>
    <sheetView zoomScale="79" zoomScaleNormal="100" workbookViewId="0">
      <selection activeCell="A23" sqref="A23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154</v>
      </c>
    </row>
    <row r="2" spans="1:20" x14ac:dyDescent="0.25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</row>
    <row r="3" spans="1:20" x14ac:dyDescent="0.25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</row>
    <row r="4" spans="1:20" x14ac:dyDescent="0.25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</row>
    <row r="5" spans="1:20" x14ac:dyDescent="0.25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</row>
    <row r="6" spans="1:20" x14ac:dyDescent="0.25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</row>
    <row r="7" spans="1:20" x14ac:dyDescent="0.25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</row>
    <row r="8" spans="1:20" x14ac:dyDescent="0.25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</row>
    <row r="9" spans="1:20" x14ac:dyDescent="0.25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</row>
    <row r="10" spans="1:20" x14ac:dyDescent="0.25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</row>
    <row r="11" spans="1:20" x14ac:dyDescent="0.25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</row>
    <row r="12" spans="1:20" x14ac:dyDescent="0.25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</row>
    <row r="13" spans="1:20" x14ac:dyDescent="0.25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</row>
    <row r="14" spans="1:20" x14ac:dyDescent="0.25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</row>
    <row r="15" spans="1:20" x14ac:dyDescent="0.25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</row>
    <row r="16" spans="1:20" x14ac:dyDescent="0.25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</row>
    <row r="17" spans="1:20" x14ac:dyDescent="0.25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</row>
    <row r="18" spans="1:20" x14ac:dyDescent="0.25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</row>
    <row r="19" spans="1:20" x14ac:dyDescent="0.25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</row>
    <row r="20" spans="1:20" x14ac:dyDescent="0.25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0" x14ac:dyDescent="0.2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0" x14ac:dyDescent="0.25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0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0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0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0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0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0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0" x14ac:dyDescent="0.25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0" x14ac:dyDescent="0.25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0" x14ac:dyDescent="0.25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0" x14ac:dyDescent="0.25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2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2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25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25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25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25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25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25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25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25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25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25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25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25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25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25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25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25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25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opLeftCell="A258" zoomScale="80" zoomScaleNormal="80" workbookViewId="0">
      <pane xSplit="1" topLeftCell="F1" activePane="topRight" state="frozen"/>
      <selection pane="topRight" activeCell="A231" sqref="A231:L296"/>
    </sheetView>
  </sheetViews>
  <sheetFormatPr defaultColWidth="9.140625" defaultRowHeight="15" x14ac:dyDescent="0.25"/>
  <cols>
    <col min="1" max="1" width="94.710937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40625" style="2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43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25">
      <c r="A3" s="43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25">
      <c r="A4" s="43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25">
      <c r="A5" s="43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25">
      <c r="A6" s="43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25">
      <c r="A7" s="43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25">
      <c r="A8" s="43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25">
      <c r="A9" s="43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25">
      <c r="A10" s="43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25">
      <c r="A11" s="43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25">
      <c r="A12" s="43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25">
      <c r="A13" s="43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25">
      <c r="A14" s="43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25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43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43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25">
      <c r="A19" s="43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25">
      <c r="A20" s="43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25">
      <c r="A21" s="43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25">
      <c r="A22" s="43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43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25">
      <c r="A24" s="43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43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25">
      <c r="A26" s="43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25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43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25">
      <c r="A29" s="43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25">
      <c r="A30" s="43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25">
      <c r="A31" s="43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25">
      <c r="A32" s="43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25">
      <c r="A33" s="43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25">
      <c r="A34" s="43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25">
      <c r="A35" s="43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25">
      <c r="A36" s="43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25">
      <c r="A37" s="43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25">
      <c r="A38" s="43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25">
      <c r="A39" s="43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25">
      <c r="A40" s="43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25">
      <c r="A41" s="43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25">
      <c r="A42" s="43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25">
      <c r="A43" s="43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43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25">
      <c r="A45" s="43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43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25">
      <c r="A47" s="43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25">
      <c r="A48" s="43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25">
      <c r="A49" s="43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25">
      <c r="A50" s="43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43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43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43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25">
      <c r="A54" s="43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25">
      <c r="A55" s="43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25">
      <c r="A56" s="43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25">
      <c r="A57" s="43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25">
      <c r="A58" s="43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25">
      <c r="A59" s="43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25">
      <c r="A60" s="43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25">
      <c r="A61" s="43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43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25">
      <c r="A63" s="43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25">
      <c r="A64" s="43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25">
      <c r="A65" s="43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43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25">
      <c r="A67" s="43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25">
      <c r="A68" s="43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25">
      <c r="A69" s="43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25">
      <c r="A70" s="43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43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25">
      <c r="A72" s="43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43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25">
      <c r="A74" s="43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25">
      <c r="A75" s="43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25">
      <c r="A76" s="43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25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25">
      <c r="A78" s="43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25">
      <c r="A79" s="43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25">
      <c r="A80" s="43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25">
      <c r="A81" s="43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25">
      <c r="A82" s="43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25">
      <c r="A83" s="43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25">
      <c r="A84" s="43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25">
      <c r="A85" s="43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25">
      <c r="A86" s="43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25">
      <c r="A87" s="43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43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25">
      <c r="A89" s="43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25">
      <c r="A90" s="44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45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25">
      <c r="A92" s="45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25">
      <c r="A93" s="45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25">
      <c r="A94" s="46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25">
      <c r="A95" s="43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25">
      <c r="A96" s="43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25">
      <c r="A97" s="43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25">
      <c r="A98" s="43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25">
      <c r="A99" s="43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43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25">
      <c r="A101" s="43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25">
      <c r="A102" s="43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43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25">
      <c r="A104" s="43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25">
      <c r="A105" s="43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25">
      <c r="A106" s="43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25">
      <c r="A107" s="43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25">
      <c r="A108" s="43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25">
      <c r="A109" s="43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43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25">
      <c r="A111" s="43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25">
      <c r="A112" s="43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25">
      <c r="A113" s="43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25">
      <c r="A114" s="43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25">
      <c r="A115" s="43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25">
      <c r="A116" s="43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25">
      <c r="A117" s="43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25">
      <c r="A118" s="43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25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25">
      <c r="A120" s="43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43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25">
      <c r="A122" s="43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25">
      <c r="A123" s="43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25">
      <c r="A124" s="43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25">
      <c r="A125" s="43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25">
      <c r="A126" s="43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43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43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43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43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43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25">
      <c r="A132" s="43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25">
      <c r="A133" s="43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25">
      <c r="A134" s="43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25">
      <c r="A135" s="43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25">
      <c r="A136" s="43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25">
      <c r="A137" s="43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25">
      <c r="A138" s="43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25">
      <c r="A139" s="43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25">
      <c r="A140" s="43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25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25">
      <c r="A142" s="43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25">
      <c r="A143" s="43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25">
      <c r="A144" s="43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25">
      <c r="A145" s="43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25">
      <c r="A146" s="43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25">
      <c r="A147" s="43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25">
      <c r="A148" s="43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25">
      <c r="A149" s="43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25">
      <c r="A150" s="43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25">
      <c r="A151" s="43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25">
      <c r="A152" s="43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25">
      <c r="A153" s="43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25">
      <c r="A154" s="43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25">
      <c r="A155" s="43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25">
      <c r="A156" s="43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25">
      <c r="A157" s="43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25">
      <c r="A158" s="43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25">
      <c r="A159" s="43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25">
      <c r="A160" s="43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25">
      <c r="A161" s="43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43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43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43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25">
      <c r="A165" s="43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25">
      <c r="A166" s="43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25">
      <c r="A167" s="43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25">
      <c r="A168" s="43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43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25">
      <c r="A170" s="43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25">
      <c r="A171" s="43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25">
      <c r="A172" s="43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25">
      <c r="A173" s="43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25">
      <c r="A174" s="43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43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43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25">
      <c r="A177" s="43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25">
      <c r="A178" s="43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25">
      <c r="A179" s="43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25">
      <c r="A180" s="43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25">
      <c r="A181" s="43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25">
      <c r="A182" s="43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43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43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43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43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43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43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25">
      <c r="A189" s="43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25">
      <c r="A190" s="43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25">
      <c r="A191" s="43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25">
      <c r="A192" s="43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43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25">
      <c r="A194" s="43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25">
      <c r="A195" s="43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25">
      <c r="A196" s="43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25">
      <c r="A197" s="43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43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25">
      <c r="A199" s="43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25">
      <c r="A200" s="43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25">
      <c r="A201" s="43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25">
      <c r="A202" s="43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25">
      <c r="A203" s="43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25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25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25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25">
      <c r="A207" s="2" t="s">
        <v>43</v>
      </c>
      <c r="B207" s="2" t="s">
        <v>110</v>
      </c>
      <c r="C207" s="8">
        <f t="shared" ref="C207:L207" si="0">SUM(C96+C136+C142)</f>
        <v>14777182.228013158</v>
      </c>
      <c r="D207" s="8">
        <f t="shared" si="0"/>
        <v>37949221.241086259</v>
      </c>
      <c r="E207" s="8">
        <f t="shared" si="0"/>
        <v>17547795.842103511</v>
      </c>
      <c r="F207" s="8">
        <f>SUM(F96+F136+F142)</f>
        <v>21303104.688398462</v>
      </c>
      <c r="G207" s="8">
        <f t="shared" si="0"/>
        <v>22347712.522483818</v>
      </c>
      <c r="H207" s="8">
        <f t="shared" si="0"/>
        <v>20946969.555763159</v>
      </c>
      <c r="I207" s="8">
        <f t="shared" si="0"/>
        <v>19884769.205236845</v>
      </c>
      <c r="J207" s="8">
        <f t="shared" si="0"/>
        <v>20824130.238903508</v>
      </c>
      <c r="K207" s="8">
        <f t="shared" si="0"/>
        <v>21884645.404903509</v>
      </c>
      <c r="L207" s="8">
        <f t="shared" si="0"/>
        <v>22913488.673833333</v>
      </c>
    </row>
    <row r="208" spans="1:12" x14ac:dyDescent="0.25">
      <c r="A208" s="2" t="s">
        <v>57</v>
      </c>
      <c r="B208" s="2" t="s">
        <v>110</v>
      </c>
      <c r="C208" s="8">
        <f t="shared" ref="C208:L208" si="1">C138+C139</f>
        <v>331279149.4189564</v>
      </c>
      <c r="D208" s="8">
        <f t="shared" si="1"/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25">
      <c r="A209" s="2" t="s">
        <v>55</v>
      </c>
      <c r="B209" s="2" t="s">
        <v>110</v>
      </c>
      <c r="C209" s="8">
        <f t="shared" ref="C209:L209" si="2">C132+C133</f>
        <v>26052155.976207186</v>
      </c>
      <c r="D209" s="8">
        <f t="shared" si="2"/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25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25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25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25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25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25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25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25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25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25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25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25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25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25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25">
      <c r="C224" s="8"/>
    </row>
    <row r="225" spans="1:12" x14ac:dyDescent="0.25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25">
      <c r="A226" s="2" t="s">
        <v>114</v>
      </c>
      <c r="B226" s="2">
        <v>0.9</v>
      </c>
      <c r="C226" s="8"/>
    </row>
    <row r="227" spans="1:12" x14ac:dyDescent="0.25">
      <c r="A227" s="2" t="s">
        <v>106</v>
      </c>
      <c r="B227" s="2">
        <v>0.7</v>
      </c>
    </row>
    <row r="228" spans="1:12" x14ac:dyDescent="0.25">
      <c r="H228" s="15"/>
      <c r="I228" s="15"/>
      <c r="J228" s="15"/>
      <c r="K228" s="15"/>
      <c r="L228" s="15"/>
    </row>
    <row r="229" spans="1:12" x14ac:dyDescent="0.25">
      <c r="B229" s="2" t="s">
        <v>115</v>
      </c>
      <c r="H229" s="27"/>
      <c r="I229" s="27"/>
      <c r="J229" s="27"/>
      <c r="K229" s="27"/>
      <c r="L229" s="27"/>
    </row>
    <row r="230" spans="1:12" s="19" customFormat="1" ht="15.75" hidden="1" thickBot="1" x14ac:dyDescent="0.3">
      <c r="A230" s="18" t="s">
        <v>43</v>
      </c>
      <c r="C230" s="19">
        <f t="shared" ref="C230:L230" si="17">C207*$B226</f>
        <v>13299464.005211843</v>
      </c>
      <c r="D230" s="19">
        <f t="shared" si="17"/>
        <v>34154299.116977632</v>
      </c>
      <c r="E230" s="19">
        <f t="shared" si="17"/>
        <v>15793016.25789316</v>
      </c>
      <c r="F230" s="19">
        <f t="shared" si="17"/>
        <v>19172794.219558615</v>
      </c>
      <c r="G230" s="19">
        <f t="shared" si="17"/>
        <v>20112941.270235438</v>
      </c>
      <c r="H230" s="19">
        <f t="shared" si="17"/>
        <v>18852272.600186843</v>
      </c>
      <c r="I230" s="19">
        <f t="shared" si="17"/>
        <v>17896292.28471316</v>
      </c>
      <c r="J230" s="19">
        <f t="shared" si="17"/>
        <v>18741717.215013158</v>
      </c>
      <c r="K230" s="19">
        <f t="shared" si="17"/>
        <v>19696180.864413157</v>
      </c>
      <c r="L230" s="19">
        <f t="shared" si="17"/>
        <v>20622139.806450002</v>
      </c>
    </row>
    <row r="231" spans="1:12" x14ac:dyDescent="0.25">
      <c r="A231" s="2" t="s">
        <v>75</v>
      </c>
      <c r="B231" s="2">
        <v>0.81818181818181823</v>
      </c>
      <c r="C231" s="2">
        <f t="shared" ref="C231:L231" si="18">$B$231*C230</f>
        <v>10881379.640627872</v>
      </c>
      <c r="D231" s="2">
        <f t="shared" si="18"/>
        <v>27944426.550254427</v>
      </c>
      <c r="E231" s="2">
        <f t="shared" si="18"/>
        <v>12921558.75645804</v>
      </c>
      <c r="F231" s="2">
        <f t="shared" si="18"/>
        <v>15686831.634184323</v>
      </c>
      <c r="G231" s="2">
        <f t="shared" si="18"/>
        <v>16456042.857465358</v>
      </c>
      <c r="H231" s="2">
        <f t="shared" si="18"/>
        <v>15424586.672880145</v>
      </c>
      <c r="I231" s="2">
        <f t="shared" si="18"/>
        <v>14642420.96021986</v>
      </c>
      <c r="J231" s="2">
        <f t="shared" si="18"/>
        <v>15334132.266828949</v>
      </c>
      <c r="K231" s="2">
        <f t="shared" si="18"/>
        <v>16115057.070883494</v>
      </c>
      <c r="L231" s="2">
        <f t="shared" si="18"/>
        <v>16872659.841640912</v>
      </c>
    </row>
    <row r="232" spans="1:12" x14ac:dyDescent="0.25">
      <c r="A232" s="2" t="s">
        <v>118</v>
      </c>
      <c r="B232">
        <v>0.18181818181818177</v>
      </c>
      <c r="C232" s="2">
        <f t="shared" ref="C232:L232" si="19">$B$232*C230</f>
        <v>2418084.364583971</v>
      </c>
      <c r="D232" s="2">
        <f t="shared" si="19"/>
        <v>6209872.5667232042</v>
      </c>
      <c r="E232" s="2">
        <f t="shared" si="19"/>
        <v>2871457.5014351192</v>
      </c>
      <c r="F232" s="2">
        <f t="shared" si="19"/>
        <v>3485962.5853742929</v>
      </c>
      <c r="G232" s="2">
        <f t="shared" si="19"/>
        <v>3656898.4127700785</v>
      </c>
      <c r="H232" s="2">
        <f t="shared" si="19"/>
        <v>3427685.9273066977</v>
      </c>
      <c r="I232" s="2">
        <f t="shared" si="19"/>
        <v>3253871.3244933011</v>
      </c>
      <c r="J232" s="2">
        <f t="shared" si="19"/>
        <v>3407584.9481842094</v>
      </c>
      <c r="K232" s="2">
        <f t="shared" si="19"/>
        <v>3581123.7935296642</v>
      </c>
      <c r="L232" s="2">
        <f t="shared" si="19"/>
        <v>3749479.9648090904</v>
      </c>
    </row>
    <row r="233" spans="1:12" s="19" customFormat="1" ht="15.75" hidden="1" thickBot="1" x14ac:dyDescent="0.3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25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25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.75" hidden="1" thickBot="1" x14ac:dyDescent="0.3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25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25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.75" hidden="1" thickBot="1" x14ac:dyDescent="0.3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25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25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25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.75" hidden="1" thickBot="1" x14ac:dyDescent="0.3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25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25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25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.75" hidden="1" thickBot="1" x14ac:dyDescent="0.3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25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25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25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.75" hidden="1" thickBot="1" x14ac:dyDescent="0.3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25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25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.75" hidden="1" thickBot="1" x14ac:dyDescent="0.3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25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.75" hidden="1" thickBot="1" x14ac:dyDescent="0.3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25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25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25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25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25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.75" hidden="1" thickBot="1" x14ac:dyDescent="0.3">
      <c r="A262" s="23" t="s">
        <v>100</v>
      </c>
    </row>
    <row r="263" spans="1:12" s="19" customFormat="1" ht="15.75" hidden="1" thickBot="1" x14ac:dyDescent="0.3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25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25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25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25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.75" hidden="1" thickBot="1" x14ac:dyDescent="0.3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25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25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25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25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25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25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25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25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.75" hidden="1" thickBot="1" x14ac:dyDescent="0.3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25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25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25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25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.75" hidden="1" thickBot="1" x14ac:dyDescent="0.3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25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25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.75" hidden="1" thickBot="1" x14ac:dyDescent="0.3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25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25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25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.75" hidden="1" thickBot="1" x14ac:dyDescent="0.3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25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25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25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.75" hidden="1" thickBot="1" x14ac:dyDescent="0.3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25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25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25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25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28:A30"/>
    <mergeCell ref="A2:A6"/>
    <mergeCell ref="A7:A10"/>
    <mergeCell ref="A11:A14"/>
    <mergeCell ref="A17:A21"/>
    <mergeCell ref="A22:A26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topLeftCell="I39" workbookViewId="0">
      <selection activeCell="M55" sqref="M55:W55"/>
    </sheetView>
  </sheetViews>
  <sheetFormatPr defaultRowHeight="15" x14ac:dyDescent="0.25"/>
  <cols>
    <col min="1" max="1" width="39.7109375" bestFit="1" customWidth="1"/>
    <col min="2" max="11" width="13.5703125" bestFit="1" customWidth="1"/>
    <col min="13" max="13" width="16.28515625" bestFit="1" customWidth="1"/>
    <col min="14" max="23" width="12.28515625" bestFit="1" customWidth="1"/>
  </cols>
  <sheetData>
    <row r="1" spans="1:23" x14ac:dyDescent="0.25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25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25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161</v>
      </c>
      <c r="O3" t="s">
        <v>162</v>
      </c>
      <c r="P3" t="s">
        <v>163</v>
      </c>
      <c r="Q3" t="s">
        <v>164</v>
      </c>
      <c r="R3" t="s">
        <v>165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</row>
    <row r="4" spans="1:23" x14ac:dyDescent="0.25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25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25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25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25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25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25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25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25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25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25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25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25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25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25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25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25">
      <c r="A20" s="28" t="s">
        <v>154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25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25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25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25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25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161</v>
      </c>
      <c r="O25" t="s">
        <v>162</v>
      </c>
      <c r="P25" t="s">
        <v>163</v>
      </c>
      <c r="Q25" t="s">
        <v>164</v>
      </c>
      <c r="R25" t="s">
        <v>165</v>
      </c>
      <c r="S25" t="s">
        <v>166</v>
      </c>
      <c r="T25" t="s">
        <v>167</v>
      </c>
      <c r="U25" t="s">
        <v>168</v>
      </c>
      <c r="V25" t="s">
        <v>169</v>
      </c>
      <c r="W25" t="s">
        <v>170</v>
      </c>
    </row>
    <row r="26" spans="1:23" x14ac:dyDescent="0.25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25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25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25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25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25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25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25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25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25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25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25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25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25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25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25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25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25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25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25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25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25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25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25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25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25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25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25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25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25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25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25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25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25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25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25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25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25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B1" workbookViewId="0">
      <selection activeCell="D22" sqref="D22"/>
    </sheetView>
  </sheetViews>
  <sheetFormatPr defaultRowHeight="15" x14ac:dyDescent="0.25"/>
  <cols>
    <col min="2" max="2" width="39.7109375" bestFit="1" customWidth="1"/>
    <col min="3" max="3" width="25.7109375" bestFit="1" customWidth="1"/>
  </cols>
  <sheetData>
    <row r="2" spans="2:20" x14ac:dyDescent="0.25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25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25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25">
      <c r="B5" s="26" t="s">
        <v>88</v>
      </c>
      <c r="C5" s="26" t="s">
        <v>127</v>
      </c>
    </row>
    <row r="6" spans="2:20" x14ac:dyDescent="0.25">
      <c r="B6" s="26" t="s">
        <v>85</v>
      </c>
      <c r="C6" s="26" t="s">
        <v>138</v>
      </c>
    </row>
    <row r="7" spans="2:20" x14ac:dyDescent="0.25">
      <c r="B7" s="26" t="s">
        <v>119</v>
      </c>
      <c r="C7" s="26" t="s">
        <v>128</v>
      </c>
    </row>
    <row r="8" spans="2:20" x14ac:dyDescent="0.25">
      <c r="B8" s="26" t="s">
        <v>91</v>
      </c>
      <c r="C8" s="26" t="s">
        <v>129</v>
      </c>
    </row>
    <row r="9" spans="2:20" x14ac:dyDescent="0.25">
      <c r="B9" s="26" t="s">
        <v>77</v>
      </c>
      <c r="C9" s="26" t="s">
        <v>139</v>
      </c>
    </row>
    <row r="10" spans="2:20" x14ac:dyDescent="0.25">
      <c r="B10" s="26" t="s">
        <v>89</v>
      </c>
      <c r="C10" s="26" t="s">
        <v>130</v>
      </c>
    </row>
    <row r="11" spans="2:20" x14ac:dyDescent="0.25">
      <c r="B11" s="26" t="s">
        <v>82</v>
      </c>
      <c r="C11" s="26" t="s">
        <v>131</v>
      </c>
    </row>
    <row r="12" spans="2:20" x14ac:dyDescent="0.25">
      <c r="B12" s="26" t="s">
        <v>79</v>
      </c>
      <c r="C12" s="26" t="s">
        <v>132</v>
      </c>
    </row>
    <row r="13" spans="2:20" x14ac:dyDescent="0.25">
      <c r="B13" s="26" t="s">
        <v>83</v>
      </c>
      <c r="C13" s="26" t="s">
        <v>133</v>
      </c>
    </row>
    <row r="14" spans="2:20" x14ac:dyDescent="0.25">
      <c r="B14" s="26" t="s">
        <v>118</v>
      </c>
      <c r="C14" s="26" t="s">
        <v>134</v>
      </c>
    </row>
    <row r="15" spans="2:20" x14ac:dyDescent="0.25">
      <c r="B15" s="26" t="s">
        <v>80</v>
      </c>
      <c r="C15" s="26" t="s">
        <v>135</v>
      </c>
    </row>
    <row r="16" spans="2:20" x14ac:dyDescent="0.25">
      <c r="B16" s="26" t="s">
        <v>75</v>
      </c>
      <c r="C16" s="26" t="s">
        <v>136</v>
      </c>
    </row>
    <row r="17" spans="2:3" x14ac:dyDescent="0.25">
      <c r="B17" s="26" t="s">
        <v>90</v>
      </c>
      <c r="C17" s="26" t="s">
        <v>137</v>
      </c>
    </row>
    <row r="18" spans="2:3" x14ac:dyDescent="0.25">
      <c r="B18" s="26" t="s">
        <v>156</v>
      </c>
      <c r="C18" s="26" t="s">
        <v>159</v>
      </c>
    </row>
    <row r="19" spans="2:3" x14ac:dyDescent="0.25">
      <c r="B19" s="26" t="s">
        <v>154</v>
      </c>
      <c r="C19" s="26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K44"/>
  <sheetViews>
    <sheetView tabSelected="1" workbookViewId="0">
      <selection activeCell="L10" sqref="L10"/>
    </sheetView>
  </sheetViews>
  <sheetFormatPr defaultRowHeight="15" x14ac:dyDescent="0.25"/>
  <cols>
    <col min="1" max="1" width="16.28515625" bestFit="1" customWidth="1"/>
    <col min="2" max="11" width="14.7109375" customWidth="1"/>
  </cols>
  <sheetData>
    <row r="1" spans="1:11" x14ac:dyDescent="0.25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</row>
    <row r="2" spans="1:11" x14ac:dyDescent="0.25">
      <c r="A2" t="s">
        <v>116</v>
      </c>
      <c r="B2" s="37">
        <v>1733000000</v>
      </c>
      <c r="C2" s="37">
        <v>1921000000</v>
      </c>
      <c r="D2" s="37">
        <v>2079000000</v>
      </c>
      <c r="E2" s="37">
        <v>2391000000</v>
      </c>
      <c r="F2" s="37">
        <v>2603000000</v>
      </c>
      <c r="G2" s="37">
        <v>2371000000</v>
      </c>
      <c r="H2" s="37">
        <v>2251000000</v>
      </c>
      <c r="I2" s="37">
        <v>2198000000</v>
      </c>
      <c r="J2" s="37">
        <v>2155000000</v>
      </c>
      <c r="K2" s="37">
        <v>2178000000</v>
      </c>
    </row>
    <row r="3" spans="1:11" x14ac:dyDescent="0.25">
      <c r="A3" t="s">
        <v>144</v>
      </c>
      <c r="B3" s="37">
        <v>160100000</v>
      </c>
      <c r="C3" s="37">
        <v>140800000</v>
      </c>
      <c r="D3" s="37">
        <v>154800000</v>
      </c>
      <c r="E3" s="37">
        <v>143800000</v>
      </c>
      <c r="F3" s="37">
        <v>147500000</v>
      </c>
      <c r="G3" s="37">
        <v>171200000</v>
      </c>
      <c r="H3" s="37">
        <v>139700000</v>
      </c>
      <c r="I3" s="37">
        <v>172900000</v>
      </c>
      <c r="J3" s="37">
        <v>149300000</v>
      </c>
      <c r="K3" s="37">
        <v>158400000</v>
      </c>
    </row>
    <row r="4" spans="1:11" x14ac:dyDescent="0.25">
      <c r="A4" t="s">
        <v>148</v>
      </c>
      <c r="B4" s="37">
        <v>248000000</v>
      </c>
      <c r="C4" s="37">
        <v>248000000</v>
      </c>
      <c r="D4" s="37">
        <v>360000000</v>
      </c>
      <c r="E4" s="37">
        <v>952000000</v>
      </c>
      <c r="F4" s="37">
        <v>1216000000</v>
      </c>
      <c r="G4" s="37">
        <v>848000000</v>
      </c>
      <c r="H4" s="37">
        <v>552000000</v>
      </c>
      <c r="I4" s="37">
        <v>552000000</v>
      </c>
      <c r="J4" s="37">
        <v>440000000</v>
      </c>
      <c r="K4" s="37">
        <v>456000000</v>
      </c>
    </row>
    <row r="5" spans="1:11" x14ac:dyDescent="0.25">
      <c r="A5" t="s">
        <v>150</v>
      </c>
      <c r="B5" s="37">
        <v>116600000</v>
      </c>
      <c r="C5" s="37">
        <v>129900000</v>
      </c>
      <c r="D5" s="37">
        <v>128200000</v>
      </c>
      <c r="E5" s="37">
        <v>123000000</v>
      </c>
      <c r="F5" s="37">
        <v>123100000</v>
      </c>
      <c r="G5" s="37">
        <v>120400000</v>
      </c>
      <c r="H5" s="37">
        <v>121900000</v>
      </c>
      <c r="I5" s="37">
        <v>121000000</v>
      </c>
      <c r="J5" s="37">
        <v>122400000</v>
      </c>
      <c r="K5" s="37">
        <v>123300000</v>
      </c>
    </row>
    <row r="6" spans="1:11" x14ac:dyDescent="0.25">
      <c r="A6" t="s">
        <v>152</v>
      </c>
      <c r="B6">
        <v>1074100000</v>
      </c>
      <c r="C6">
        <v>1109700000</v>
      </c>
      <c r="D6">
        <v>1160000000</v>
      </c>
      <c r="E6">
        <v>1115800000</v>
      </c>
      <c r="F6">
        <v>1141600000</v>
      </c>
      <c r="G6">
        <v>1191500000</v>
      </c>
      <c r="H6">
        <v>1120400000</v>
      </c>
      <c r="I6">
        <v>1192500000</v>
      </c>
      <c r="J6">
        <v>1139200000</v>
      </c>
      <c r="K6">
        <v>1169600000</v>
      </c>
    </row>
    <row r="7" spans="1:11" x14ac:dyDescent="0.25">
      <c r="A7" t="s">
        <v>123</v>
      </c>
      <c r="B7" s="37">
        <v>12600000</v>
      </c>
      <c r="C7" s="37">
        <v>16800000</v>
      </c>
      <c r="D7" s="37">
        <v>19600000</v>
      </c>
      <c r="E7" s="37">
        <v>19500000</v>
      </c>
      <c r="F7" s="37">
        <v>19500000</v>
      </c>
      <c r="G7" s="37">
        <v>19200000</v>
      </c>
      <c r="H7" s="37">
        <v>19600000</v>
      </c>
      <c r="I7" s="37">
        <v>19300000</v>
      </c>
      <c r="J7" s="37">
        <v>19600000</v>
      </c>
      <c r="K7" s="37">
        <v>19900000</v>
      </c>
    </row>
    <row r="8" spans="1:11" x14ac:dyDescent="0.25">
      <c r="A8" t="s">
        <v>140</v>
      </c>
      <c r="B8" s="37">
        <v>243000000</v>
      </c>
      <c r="C8" s="37">
        <v>263000000</v>
      </c>
      <c r="D8" s="37">
        <v>265000000</v>
      </c>
      <c r="E8" s="37">
        <v>250000000</v>
      </c>
      <c r="F8" s="37">
        <v>249000000</v>
      </c>
      <c r="G8" s="37">
        <v>247000000</v>
      </c>
      <c r="H8" s="37">
        <v>250000000</v>
      </c>
      <c r="I8" s="37">
        <v>248000000</v>
      </c>
      <c r="J8" s="37">
        <v>251000000</v>
      </c>
      <c r="K8" s="37">
        <v>254000000</v>
      </c>
    </row>
    <row r="9" spans="1:11" x14ac:dyDescent="0.25">
      <c r="A9" t="s">
        <v>141</v>
      </c>
      <c r="B9" s="37">
        <v>8000000</v>
      </c>
      <c r="C9" s="37">
        <v>8600000</v>
      </c>
      <c r="D9" s="37">
        <v>8700000</v>
      </c>
      <c r="E9" s="37">
        <v>8400000</v>
      </c>
      <c r="F9" s="37">
        <v>8400000</v>
      </c>
      <c r="G9" s="37">
        <v>8100000</v>
      </c>
      <c r="H9" s="38">
        <v>8300000</v>
      </c>
      <c r="I9" s="38">
        <v>8200000</v>
      </c>
      <c r="J9" s="38">
        <v>8200000</v>
      </c>
      <c r="K9" s="38">
        <v>8200000</v>
      </c>
    </row>
    <row r="10" spans="1:11" x14ac:dyDescent="0.25">
      <c r="A10" t="s">
        <v>142</v>
      </c>
      <c r="B10" s="37">
        <v>36000000</v>
      </c>
      <c r="C10" s="37">
        <v>39500000</v>
      </c>
      <c r="D10" s="37">
        <v>40500000</v>
      </c>
      <c r="E10" s="37">
        <v>40200000</v>
      </c>
      <c r="F10" s="37">
        <v>41100000</v>
      </c>
      <c r="G10" s="37">
        <v>40500000</v>
      </c>
      <c r="H10" s="38">
        <v>41300000</v>
      </c>
      <c r="I10" s="38">
        <v>40900000</v>
      </c>
      <c r="J10" s="38">
        <v>41200000</v>
      </c>
      <c r="K10" s="38">
        <v>41300000</v>
      </c>
    </row>
    <row r="11" spans="1:11" x14ac:dyDescent="0.25">
      <c r="A11" t="s">
        <v>143</v>
      </c>
      <c r="B11" s="37">
        <v>8400000</v>
      </c>
      <c r="C11" s="37">
        <v>11200000</v>
      </c>
      <c r="D11" s="37">
        <v>13100000</v>
      </c>
      <c r="E11" s="37">
        <v>13000000</v>
      </c>
      <c r="F11" s="37">
        <v>13000000</v>
      </c>
      <c r="G11" s="37">
        <v>12800000</v>
      </c>
      <c r="H11" s="37">
        <v>13100000</v>
      </c>
      <c r="I11" s="37">
        <v>12900000</v>
      </c>
      <c r="J11" s="37">
        <v>13100000</v>
      </c>
      <c r="K11" s="37">
        <v>13300000</v>
      </c>
    </row>
    <row r="12" spans="1:11" x14ac:dyDescent="0.25">
      <c r="A12" t="s">
        <v>145</v>
      </c>
      <c r="B12" s="37">
        <v>30000</v>
      </c>
      <c r="C12" s="37">
        <v>25000</v>
      </c>
      <c r="D12" s="37">
        <v>21000</v>
      </c>
      <c r="E12" s="38">
        <v>0</v>
      </c>
      <c r="F12" s="38">
        <v>0</v>
      </c>
      <c r="G12" s="38">
        <v>0</v>
      </c>
      <c r="H12" s="38">
        <v>0</v>
      </c>
      <c r="I12" s="38">
        <v>0</v>
      </c>
      <c r="J12" s="38">
        <v>0</v>
      </c>
      <c r="K12" s="38">
        <v>0</v>
      </c>
    </row>
    <row r="13" spans="1:11" x14ac:dyDescent="0.25">
      <c r="A13" t="s">
        <v>146</v>
      </c>
      <c r="B13" s="37">
        <v>8000000</v>
      </c>
      <c r="C13" s="37">
        <v>8600000</v>
      </c>
      <c r="D13" s="37">
        <v>8700000</v>
      </c>
      <c r="E13" s="37">
        <v>8400000</v>
      </c>
      <c r="F13" s="37">
        <v>8400000</v>
      </c>
      <c r="G13" s="37">
        <v>8100000</v>
      </c>
      <c r="H13" s="37">
        <v>8300000</v>
      </c>
      <c r="I13" s="37">
        <v>8200000</v>
      </c>
      <c r="J13" s="37">
        <v>8200000</v>
      </c>
      <c r="K13" s="37">
        <v>8200000</v>
      </c>
    </row>
    <row r="14" spans="1:11" x14ac:dyDescent="0.25">
      <c r="A14" t="s">
        <v>147</v>
      </c>
      <c r="B14" s="25">
        <v>1030200000</v>
      </c>
      <c r="C14" s="25">
        <v>1268200000</v>
      </c>
      <c r="D14" s="25">
        <v>1411000000</v>
      </c>
      <c r="E14" s="25">
        <v>1382100000</v>
      </c>
      <c r="F14" s="25">
        <v>1378700000</v>
      </c>
      <c r="G14" s="25">
        <v>1356600000</v>
      </c>
      <c r="H14" s="25">
        <v>1378700000</v>
      </c>
      <c r="I14" s="25">
        <v>1358300000</v>
      </c>
      <c r="J14" s="25">
        <v>1380400000</v>
      </c>
      <c r="K14" s="25">
        <v>1399100000</v>
      </c>
    </row>
    <row r="15" spans="1:11" x14ac:dyDescent="0.25">
      <c r="A15" t="s">
        <v>149</v>
      </c>
      <c r="B15" s="37">
        <v>20500000</v>
      </c>
      <c r="C15" s="37">
        <v>22200000</v>
      </c>
      <c r="D15" s="37">
        <v>22600000</v>
      </c>
      <c r="E15" s="37">
        <v>21600000</v>
      </c>
      <c r="F15" s="37">
        <v>21700000</v>
      </c>
      <c r="G15" s="37">
        <v>21100000</v>
      </c>
      <c r="H15" s="37">
        <v>21400000</v>
      </c>
      <c r="I15" s="37">
        <v>21200000</v>
      </c>
      <c r="J15" s="37">
        <v>21400000</v>
      </c>
      <c r="K15" s="37">
        <v>21500000</v>
      </c>
    </row>
    <row r="16" spans="1:11" x14ac:dyDescent="0.25">
      <c r="A16" t="s">
        <v>156</v>
      </c>
      <c r="B16" s="37">
        <v>58000000</v>
      </c>
      <c r="C16" s="37">
        <v>67000000</v>
      </c>
      <c r="D16" s="37">
        <v>75000000</v>
      </c>
      <c r="E16" s="37">
        <v>74000000</v>
      </c>
      <c r="F16" s="37">
        <v>79000000</v>
      </c>
      <c r="G16" s="37">
        <v>79000000</v>
      </c>
      <c r="H16" s="37">
        <v>80000000</v>
      </c>
      <c r="I16" s="37">
        <v>78000000</v>
      </c>
      <c r="J16" s="37">
        <v>78000000</v>
      </c>
      <c r="K16" s="37">
        <v>79000000</v>
      </c>
    </row>
    <row r="17" spans="1:11" x14ac:dyDescent="0.25">
      <c r="A17" t="s">
        <v>151</v>
      </c>
      <c r="B17" s="37">
        <v>1046000000</v>
      </c>
      <c r="C17" s="37">
        <v>1221000000</v>
      </c>
      <c r="D17" s="37">
        <v>1317000000</v>
      </c>
      <c r="E17" s="37">
        <v>1286000000</v>
      </c>
      <c r="F17" s="37">
        <v>1287000000</v>
      </c>
      <c r="G17" s="37">
        <v>1252000000</v>
      </c>
      <c r="H17" s="37">
        <v>1276000000</v>
      </c>
      <c r="I17" s="37">
        <v>1260000000</v>
      </c>
      <c r="J17" s="37">
        <v>1274000000</v>
      </c>
      <c r="K17" s="37">
        <v>1282000000</v>
      </c>
    </row>
    <row r="18" spans="1:11" x14ac:dyDescent="0.25">
      <c r="A18" t="s">
        <v>153</v>
      </c>
      <c r="B18" s="25">
        <v>50000000</v>
      </c>
      <c r="C18" s="25">
        <v>50000000</v>
      </c>
      <c r="D18" s="25">
        <v>70000000</v>
      </c>
      <c r="E18" s="25">
        <v>200000000</v>
      </c>
      <c r="F18" s="25">
        <v>250000000</v>
      </c>
      <c r="G18" s="25">
        <v>180000000</v>
      </c>
      <c r="H18" s="25">
        <v>120000000</v>
      </c>
      <c r="I18" s="25">
        <v>120000000</v>
      </c>
      <c r="J18" s="25">
        <v>90000000</v>
      </c>
      <c r="K18" s="25">
        <v>100000000</v>
      </c>
    </row>
    <row r="19" spans="1:11" x14ac:dyDescent="0.25">
      <c r="B19" s="25"/>
      <c r="C19" s="25"/>
      <c r="D19" s="25"/>
      <c r="E19" s="25"/>
      <c r="F19" s="25"/>
      <c r="G19" s="25"/>
      <c r="H19" s="25"/>
      <c r="I19" s="25"/>
      <c r="J19" s="25"/>
      <c r="K19" s="25"/>
    </row>
    <row r="20" spans="1:11" x14ac:dyDescent="0.25">
      <c r="B20" s="37"/>
      <c r="C20" s="37"/>
      <c r="D20" s="37"/>
      <c r="E20" s="37"/>
      <c r="F20" s="37"/>
      <c r="G20" s="37"/>
      <c r="H20" s="37"/>
      <c r="I20" s="37"/>
      <c r="J20" s="37"/>
      <c r="K20" s="37"/>
    </row>
    <row r="21" spans="1:11" x14ac:dyDescent="0.25">
      <c r="B21" s="42"/>
      <c r="C21" s="42"/>
      <c r="D21" s="42"/>
      <c r="E21" s="42"/>
      <c r="F21" s="42"/>
      <c r="G21" s="42"/>
      <c r="H21" s="42"/>
      <c r="I21" s="42"/>
      <c r="J21" s="42"/>
      <c r="K21" s="42"/>
    </row>
    <row r="22" spans="1:11" x14ac:dyDescent="0.25">
      <c r="B22" s="41"/>
      <c r="C22" s="42"/>
      <c r="D22" s="42"/>
      <c r="E22" s="42"/>
      <c r="F22" s="42"/>
      <c r="G22" s="42"/>
      <c r="H22" s="42"/>
      <c r="I22" s="42"/>
      <c r="J22" s="42"/>
      <c r="K22" s="42"/>
    </row>
    <row r="23" spans="1:11" x14ac:dyDescent="0.25">
      <c r="B23" s="37"/>
      <c r="C23" s="25"/>
      <c r="D23" s="25"/>
      <c r="E23" s="40"/>
      <c r="F23" s="25"/>
      <c r="G23" s="25"/>
      <c r="H23" s="25"/>
      <c r="I23" s="25"/>
      <c r="J23" s="25"/>
      <c r="K23" s="25"/>
    </row>
    <row r="24" spans="1:11" x14ac:dyDescent="0.25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11" x14ac:dyDescent="0.25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11" x14ac:dyDescent="0.25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x14ac:dyDescent="0.25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11" x14ac:dyDescent="0.25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1" x14ac:dyDescent="0.25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1" x14ac:dyDescent="0.25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1" x14ac:dyDescent="0.25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1" x14ac:dyDescent="0.25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25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25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25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25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25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25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25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25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25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25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25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autoFilter ref="A1:K18" xr:uid="{8DF17EB8-02F1-485E-9D81-51CF2F0BE0EA}">
    <sortState xmlns:xlrd2="http://schemas.microsoft.com/office/spreadsheetml/2017/richdata2" ref="A2:K18">
      <sortCondition ref="A1:A1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vaccine-producer list</vt:lpstr>
      <vt:lpstr>total_capacity_calcs</vt:lpstr>
      <vt:lpstr>Prod_capacity_agg</vt:lpstr>
      <vt:lpstr>Producers_short_name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2023-10-25T00:05:43Z</dcterms:created>
  <dcterms:modified xsi:type="dcterms:W3CDTF">2024-05-02T22:00:31Z</dcterms:modified>
</cp:coreProperties>
</file>