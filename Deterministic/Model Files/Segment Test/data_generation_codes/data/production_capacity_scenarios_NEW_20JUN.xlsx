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Model Files/L-Shaped/data_generation_codes/data/"/>
    </mc:Choice>
  </mc:AlternateContent>
  <xr:revisionPtr revIDLastSave="33" documentId="13_ncr:1_{6259234B-0F6C-41FA-846B-135095B5B389}" xr6:coauthVersionLast="47" xr6:coauthVersionMax="47" xr10:uidLastSave="{EA9B0739-16C6-408D-900C-1C358A4FE259}"/>
  <bookViews>
    <workbookView xWindow="20370" yWindow="-2565" windowWidth="29040" windowHeight="15720" xr2:uid="{00000000-000D-0000-FFFF-FFFF00000000}"/>
  </bookViews>
  <sheets>
    <sheet name="base_capacity" sheetId="1" r:id="rId1"/>
    <sheet name="IPV_Shortage" sheetId="4" r:id="rId2"/>
    <sheet name="pandemic" sheetId="5" r:id="rId3"/>
    <sheet name="funding_delay" sheetId="7" r:id="rId4"/>
    <sheet name="innacurate_forecast" sheetId="9" r:id="rId5"/>
    <sheet name="supply_chain" sheetId="11" r:id="rId6"/>
    <sheet name="other" sheetId="1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C20" i="1"/>
  <c r="D20" i="1"/>
  <c r="E20" i="1"/>
  <c r="F20" i="1"/>
  <c r="G20" i="1"/>
  <c r="H20" i="1"/>
  <c r="I20" i="1"/>
  <c r="J20" i="1"/>
  <c r="K20" i="1"/>
  <c r="B21" i="1"/>
  <c r="C21" i="1"/>
  <c r="D21" i="1"/>
  <c r="E21" i="1"/>
  <c r="F21" i="1"/>
  <c r="G21" i="1"/>
  <c r="H21" i="1"/>
  <c r="I21" i="1"/>
  <c r="J21" i="1"/>
  <c r="K21" i="1"/>
  <c r="B22" i="1"/>
  <c r="C22" i="1"/>
  <c r="D22" i="1"/>
  <c r="E22" i="1"/>
  <c r="F22" i="1"/>
  <c r="G22" i="1"/>
  <c r="H22" i="1"/>
  <c r="I22" i="1"/>
  <c r="J22" i="1"/>
  <c r="K22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I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I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I32" i="1"/>
  <c r="J32" i="1"/>
  <c r="K32" i="1"/>
  <c r="B33" i="1"/>
  <c r="C33" i="1"/>
  <c r="D33" i="1"/>
  <c r="E33" i="1"/>
  <c r="F33" i="1"/>
  <c r="G33" i="1"/>
  <c r="H33" i="1"/>
  <c r="I33" i="1"/>
  <c r="J33" i="1"/>
  <c r="K33" i="1"/>
  <c r="C19" i="1"/>
  <c r="D19" i="1"/>
  <c r="E19" i="1"/>
  <c r="F19" i="1"/>
  <c r="G19" i="1"/>
  <c r="H19" i="1"/>
  <c r="I19" i="1"/>
  <c r="J19" i="1"/>
  <c r="K19" i="1"/>
  <c r="B19" i="1"/>
</calcChain>
</file>

<file path=xl/sharedStrings.xml><?xml version="1.0" encoding="utf-8"?>
<sst xmlns="http://schemas.openxmlformats.org/spreadsheetml/2006/main" count="112" uniqueCount="16">
  <si>
    <t>Manufacturer</t>
  </si>
  <si>
    <t>AJ_Vaccines</t>
  </si>
  <si>
    <t>BB_NCIPD</t>
  </si>
  <si>
    <t>Bharat_Biotech</t>
  </si>
  <si>
    <t>Bilthoven</t>
  </si>
  <si>
    <t>Biological_E</t>
  </si>
  <si>
    <t>China_National</t>
  </si>
  <si>
    <t>GSK</t>
  </si>
  <si>
    <t>Haffkine_Bio</t>
  </si>
  <si>
    <t>LG_Chem</t>
  </si>
  <si>
    <t>Merck_Sharp</t>
  </si>
  <si>
    <t>PT_Bio</t>
  </si>
  <si>
    <t>Panacea_Biotec</t>
  </si>
  <si>
    <t>Pfizer</t>
  </si>
  <si>
    <t>Sanofi</t>
  </si>
  <si>
    <t>Serum_Institute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</si>
</sst>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workbookViewId="0">
      <selection activeCell="B19" sqref="B19:K33"/>
    </sheetView>
  </sheetViews>
  <sheetFormatPr defaultRowHeight="15" x14ac:dyDescent="0.25"/>
  <cols>
    <col min="1" max="1" width="15.42578125" bestFit="1" customWidth="1"/>
  </cols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 s="2">
        <v>7430000</v>
      </c>
      <c r="C2" s="2">
        <v>10200000</v>
      </c>
      <c r="D2" s="2">
        <v>11900000</v>
      </c>
      <c r="E2" s="2">
        <v>11900000</v>
      </c>
      <c r="F2" s="2">
        <v>11800000</v>
      </c>
      <c r="G2" s="2">
        <v>11700000</v>
      </c>
      <c r="H2" s="2">
        <v>11900000</v>
      </c>
      <c r="I2" s="2">
        <v>11700000</v>
      </c>
      <c r="J2" s="2">
        <v>11900000</v>
      </c>
      <c r="K2" s="2">
        <v>12100000</v>
      </c>
    </row>
    <row r="3" spans="1:11" x14ac:dyDescent="0.25">
      <c r="A3" t="s">
        <v>2</v>
      </c>
      <c r="B3" s="2">
        <v>52000000</v>
      </c>
      <c r="C3" s="2">
        <v>57800000</v>
      </c>
      <c r="D3" s="2">
        <v>58200000</v>
      </c>
      <c r="E3" s="2">
        <v>55000000</v>
      </c>
      <c r="F3" s="2">
        <v>54800000</v>
      </c>
      <c r="G3" s="2">
        <v>54500000</v>
      </c>
      <c r="H3" s="2">
        <v>54900000</v>
      </c>
      <c r="I3" s="2">
        <v>54500000</v>
      </c>
      <c r="J3" s="2">
        <v>55200000</v>
      </c>
      <c r="K3" s="2">
        <v>55800000</v>
      </c>
    </row>
    <row r="4" spans="1:11" x14ac:dyDescent="0.25">
      <c r="A4" t="s">
        <v>3</v>
      </c>
      <c r="B4" s="2">
        <v>76100000</v>
      </c>
      <c r="C4" s="2">
        <v>84200000</v>
      </c>
      <c r="D4" s="2">
        <v>85700000</v>
      </c>
      <c r="E4" s="2">
        <v>83000000</v>
      </c>
      <c r="F4" s="2">
        <v>83500000</v>
      </c>
      <c r="G4" s="2">
        <v>80700000</v>
      </c>
      <c r="H4" s="2">
        <v>5400000</v>
      </c>
      <c r="I4" s="2">
        <v>5340000</v>
      </c>
      <c r="J4" s="2">
        <v>5400000</v>
      </c>
      <c r="K4" s="2">
        <v>5460000</v>
      </c>
    </row>
    <row r="5" spans="1:11" x14ac:dyDescent="0.25">
      <c r="A5" t="s">
        <v>4</v>
      </c>
      <c r="B5" s="2">
        <v>11600000</v>
      </c>
      <c r="C5" s="2">
        <v>15900000</v>
      </c>
      <c r="D5" s="2">
        <v>18600000</v>
      </c>
      <c r="E5" s="2">
        <v>18500000</v>
      </c>
      <c r="F5" s="2">
        <v>18500000</v>
      </c>
      <c r="G5" s="2">
        <v>18200000</v>
      </c>
      <c r="H5" s="2">
        <v>18600000</v>
      </c>
      <c r="I5" s="2">
        <v>18300000</v>
      </c>
      <c r="J5" s="2">
        <v>18600000</v>
      </c>
      <c r="K5" s="2">
        <v>18900000</v>
      </c>
    </row>
    <row r="6" spans="1:11" x14ac:dyDescent="0.25">
      <c r="A6" t="s">
        <v>5</v>
      </c>
      <c r="B6" s="2">
        <v>167000000</v>
      </c>
      <c r="C6" s="2">
        <v>186000000</v>
      </c>
      <c r="D6" s="2">
        <v>188000000</v>
      </c>
      <c r="E6" s="2">
        <v>179000000</v>
      </c>
      <c r="F6" s="2">
        <v>177000000</v>
      </c>
      <c r="G6" s="2">
        <v>173000000</v>
      </c>
      <c r="H6" s="2">
        <v>675000000</v>
      </c>
      <c r="I6" s="2">
        <v>672000000</v>
      </c>
      <c r="J6" s="2">
        <v>675000000</v>
      </c>
      <c r="K6" s="2">
        <v>677000000</v>
      </c>
    </row>
    <row r="7" spans="1:11" x14ac:dyDescent="0.25">
      <c r="A7" t="s">
        <v>6</v>
      </c>
      <c r="B7" s="2">
        <v>13900000</v>
      </c>
      <c r="C7" s="2">
        <v>15200000</v>
      </c>
      <c r="D7" s="2">
        <v>15800000</v>
      </c>
      <c r="E7" s="2">
        <v>17000000</v>
      </c>
      <c r="F7" s="2">
        <v>17700000</v>
      </c>
      <c r="G7" s="2">
        <v>16100000</v>
      </c>
      <c r="H7" s="2">
        <v>1590000</v>
      </c>
      <c r="I7" s="2">
        <v>1590000</v>
      </c>
      <c r="J7" s="2">
        <v>1270000</v>
      </c>
      <c r="K7" s="2">
        <v>1320000</v>
      </c>
    </row>
    <row r="8" spans="1:11" x14ac:dyDescent="0.25">
      <c r="A8" t="s">
        <v>7</v>
      </c>
      <c r="B8" s="2">
        <v>321000000</v>
      </c>
      <c r="C8" s="2">
        <v>337000000</v>
      </c>
      <c r="D8" s="2">
        <v>369000000</v>
      </c>
      <c r="E8" s="2">
        <v>374000000</v>
      </c>
      <c r="F8" s="2">
        <v>397000000</v>
      </c>
      <c r="G8" s="2">
        <v>428000000</v>
      </c>
      <c r="H8" s="2">
        <v>359000000</v>
      </c>
      <c r="I8" s="2">
        <v>393000000</v>
      </c>
      <c r="J8" s="2">
        <v>368000000</v>
      </c>
      <c r="K8" s="2">
        <v>380000000</v>
      </c>
    </row>
    <row r="9" spans="1:11" x14ac:dyDescent="0.25">
      <c r="A9" t="s">
        <v>8</v>
      </c>
      <c r="B9" s="2">
        <v>102000000</v>
      </c>
      <c r="C9" s="2">
        <v>112000000</v>
      </c>
      <c r="D9" s="2">
        <v>114000000</v>
      </c>
      <c r="E9" s="2">
        <v>110000000</v>
      </c>
      <c r="F9" s="2">
        <v>110000000</v>
      </c>
      <c r="G9" s="2">
        <v>106000000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t="s">
        <v>9</v>
      </c>
      <c r="B10" s="2">
        <v>79300000</v>
      </c>
      <c r="C10" s="2">
        <v>90500000</v>
      </c>
      <c r="D10" s="2">
        <v>94000000</v>
      </c>
      <c r="E10" s="2">
        <v>89500000</v>
      </c>
      <c r="F10" s="2">
        <v>89100000</v>
      </c>
      <c r="G10" s="2">
        <v>87400000</v>
      </c>
      <c r="H10" s="2">
        <v>88500000</v>
      </c>
      <c r="I10" s="2">
        <v>87200000</v>
      </c>
      <c r="J10" s="2">
        <v>88300000</v>
      </c>
      <c r="K10" s="2">
        <v>89200000</v>
      </c>
    </row>
    <row r="11" spans="1:11" x14ac:dyDescent="0.25">
      <c r="A11" t="s">
        <v>10</v>
      </c>
      <c r="B11" s="2">
        <v>16900000</v>
      </c>
      <c r="C11" s="2">
        <v>17100000</v>
      </c>
      <c r="D11" s="2">
        <v>25000000</v>
      </c>
      <c r="E11" s="2">
        <v>66400000</v>
      </c>
      <c r="F11" s="2">
        <v>84500000</v>
      </c>
      <c r="G11" s="2">
        <v>59000000</v>
      </c>
      <c r="H11" s="2">
        <v>38500000</v>
      </c>
      <c r="I11" s="2">
        <v>38600000</v>
      </c>
      <c r="J11" s="2">
        <v>30700000</v>
      </c>
      <c r="K11" s="2">
        <v>31900000</v>
      </c>
    </row>
    <row r="12" spans="1:11" x14ac:dyDescent="0.25">
      <c r="A12" t="s">
        <v>11</v>
      </c>
      <c r="B12" s="2">
        <v>14000000</v>
      </c>
      <c r="C12" s="2">
        <v>15600000</v>
      </c>
      <c r="D12" s="2">
        <v>15900000</v>
      </c>
      <c r="E12" s="2">
        <v>15200000</v>
      </c>
      <c r="F12" s="2">
        <v>15200000</v>
      </c>
      <c r="G12" s="2">
        <v>14900000</v>
      </c>
      <c r="H12" s="2">
        <v>13800000</v>
      </c>
      <c r="I12" s="2">
        <v>13700000</v>
      </c>
      <c r="J12" s="2">
        <v>13900000</v>
      </c>
      <c r="K12" s="2">
        <v>14000000</v>
      </c>
    </row>
    <row r="13" spans="1:11" x14ac:dyDescent="0.25">
      <c r="A13" t="s">
        <v>12</v>
      </c>
      <c r="B13" s="2">
        <v>90600000</v>
      </c>
      <c r="C13" s="2">
        <v>108000000</v>
      </c>
      <c r="D13" s="2">
        <v>121000000</v>
      </c>
      <c r="E13" s="2">
        <v>119000000</v>
      </c>
      <c r="F13" s="2">
        <v>128000000</v>
      </c>
      <c r="G13" s="2">
        <v>127000000</v>
      </c>
      <c r="H13" s="2">
        <v>129000000</v>
      </c>
      <c r="I13" s="2">
        <v>126000000</v>
      </c>
      <c r="J13" s="2">
        <v>127000000</v>
      </c>
      <c r="K13" s="2">
        <v>127000000</v>
      </c>
    </row>
    <row r="14" spans="1:11" x14ac:dyDescent="0.25">
      <c r="A14" t="s">
        <v>13</v>
      </c>
      <c r="B14" s="2">
        <v>62200000</v>
      </c>
      <c r="C14" s="2">
        <v>74800000</v>
      </c>
      <c r="D14" s="2">
        <v>73100000</v>
      </c>
      <c r="E14" s="2">
        <v>66900000</v>
      </c>
      <c r="F14" s="2">
        <v>69800000</v>
      </c>
      <c r="G14" s="2">
        <v>58700000</v>
      </c>
      <c r="H14" s="2">
        <v>44000000</v>
      </c>
      <c r="I14" s="2">
        <v>41800000</v>
      </c>
      <c r="J14" s="2">
        <v>42400000</v>
      </c>
      <c r="K14" s="2">
        <v>42800000</v>
      </c>
    </row>
    <row r="15" spans="1:11" x14ac:dyDescent="0.25">
      <c r="A15" t="s">
        <v>14</v>
      </c>
      <c r="B15" s="2">
        <v>90500000</v>
      </c>
      <c r="C15" s="2">
        <v>117000000</v>
      </c>
      <c r="D15" s="2">
        <v>131000000</v>
      </c>
      <c r="E15" s="2">
        <v>130000000</v>
      </c>
      <c r="F15" s="2">
        <v>130000000</v>
      </c>
      <c r="G15" s="2">
        <v>128000000</v>
      </c>
      <c r="H15" s="2">
        <v>99900000</v>
      </c>
      <c r="I15" s="2">
        <v>98300000</v>
      </c>
      <c r="J15" s="2">
        <v>100000000</v>
      </c>
      <c r="K15" s="2">
        <v>102000000</v>
      </c>
    </row>
    <row r="16" spans="1:11" x14ac:dyDescent="0.25">
      <c r="A16" t="s">
        <v>15</v>
      </c>
      <c r="B16" s="2">
        <v>797000000</v>
      </c>
      <c r="C16" s="2">
        <v>818000000</v>
      </c>
      <c r="D16" s="2">
        <v>854000000</v>
      </c>
      <c r="E16" s="2">
        <v>791000000</v>
      </c>
      <c r="F16" s="2">
        <v>817000000</v>
      </c>
      <c r="G16" s="2">
        <v>818000000</v>
      </c>
      <c r="H16" s="2">
        <v>539000000</v>
      </c>
      <c r="I16" s="2">
        <v>620000000</v>
      </c>
      <c r="J16" s="2">
        <v>551000000</v>
      </c>
      <c r="K16" s="2">
        <v>581000000</v>
      </c>
    </row>
    <row r="19" spans="2:11" x14ac:dyDescent="0.25">
      <c r="B19" s="2">
        <f>B2*0.7</f>
        <v>5201000</v>
      </c>
      <c r="C19" s="2">
        <f t="shared" ref="C19:K19" si="0">C2*0.7</f>
        <v>7140000</v>
      </c>
      <c r="D19" s="2">
        <f t="shared" si="0"/>
        <v>8329999.9999999991</v>
      </c>
      <c r="E19" s="2">
        <f t="shared" si="0"/>
        <v>8329999.9999999991</v>
      </c>
      <c r="F19" s="2">
        <f t="shared" si="0"/>
        <v>8259999.9999999991</v>
      </c>
      <c r="G19" s="2">
        <f t="shared" si="0"/>
        <v>8189999.9999999991</v>
      </c>
      <c r="H19" s="2">
        <f t="shared" si="0"/>
        <v>8329999.9999999991</v>
      </c>
      <c r="I19" s="2">
        <f t="shared" si="0"/>
        <v>8189999.9999999991</v>
      </c>
      <c r="J19" s="2">
        <f t="shared" si="0"/>
        <v>8329999.9999999991</v>
      </c>
      <c r="K19" s="2">
        <f t="shared" si="0"/>
        <v>8470000</v>
      </c>
    </row>
    <row r="20" spans="2:11" x14ac:dyDescent="0.25">
      <c r="B20" s="2">
        <f t="shared" ref="B20:K20" si="1">B3*0.7</f>
        <v>36400000</v>
      </c>
      <c r="C20" s="2">
        <f t="shared" si="1"/>
        <v>40460000</v>
      </c>
      <c r="D20" s="2">
        <f t="shared" si="1"/>
        <v>40740000</v>
      </c>
      <c r="E20" s="2">
        <f t="shared" si="1"/>
        <v>38500000</v>
      </c>
      <c r="F20" s="2">
        <f t="shared" si="1"/>
        <v>38360000</v>
      </c>
      <c r="G20" s="2">
        <f t="shared" si="1"/>
        <v>38150000</v>
      </c>
      <c r="H20" s="2">
        <f t="shared" si="1"/>
        <v>38430000</v>
      </c>
      <c r="I20" s="2">
        <f t="shared" si="1"/>
        <v>38150000</v>
      </c>
      <c r="J20" s="2">
        <f t="shared" si="1"/>
        <v>38640000</v>
      </c>
      <c r="K20" s="2">
        <f t="shared" si="1"/>
        <v>39060000</v>
      </c>
    </row>
    <row r="21" spans="2:11" x14ac:dyDescent="0.25">
      <c r="B21" s="2">
        <f t="shared" ref="B21:K21" si="2">B4*0.7</f>
        <v>53270000</v>
      </c>
      <c r="C21" s="2">
        <f t="shared" si="2"/>
        <v>58939999.999999993</v>
      </c>
      <c r="D21" s="2">
        <f t="shared" si="2"/>
        <v>59989999.999999993</v>
      </c>
      <c r="E21" s="2">
        <f t="shared" si="2"/>
        <v>58100000</v>
      </c>
      <c r="F21" s="2">
        <f t="shared" si="2"/>
        <v>58450000</v>
      </c>
      <c r="G21" s="2">
        <f t="shared" si="2"/>
        <v>56490000</v>
      </c>
      <c r="H21" s="2">
        <f t="shared" si="2"/>
        <v>3779999.9999999995</v>
      </c>
      <c r="I21" s="2">
        <f t="shared" si="2"/>
        <v>3737999.9999999995</v>
      </c>
      <c r="J21" s="2">
        <f t="shared" si="2"/>
        <v>3779999.9999999995</v>
      </c>
      <c r="K21" s="2">
        <f t="shared" si="2"/>
        <v>3821999.9999999995</v>
      </c>
    </row>
    <row r="22" spans="2:11" x14ac:dyDescent="0.25">
      <c r="B22" s="2">
        <f t="shared" ref="B22:K22" si="3">B5*0.7</f>
        <v>8119999.9999999991</v>
      </c>
      <c r="C22" s="2">
        <f t="shared" si="3"/>
        <v>11130000</v>
      </c>
      <c r="D22" s="2">
        <f t="shared" si="3"/>
        <v>13020000</v>
      </c>
      <c r="E22" s="2">
        <f t="shared" si="3"/>
        <v>12950000</v>
      </c>
      <c r="F22" s="2">
        <f t="shared" si="3"/>
        <v>12950000</v>
      </c>
      <c r="G22" s="2">
        <f t="shared" si="3"/>
        <v>12740000</v>
      </c>
      <c r="H22" s="2">
        <f t="shared" si="3"/>
        <v>13020000</v>
      </c>
      <c r="I22" s="2">
        <f t="shared" si="3"/>
        <v>12810000</v>
      </c>
      <c r="J22" s="2">
        <f t="shared" si="3"/>
        <v>13020000</v>
      </c>
      <c r="K22" s="2">
        <f t="shared" si="3"/>
        <v>13230000</v>
      </c>
    </row>
    <row r="23" spans="2:11" x14ac:dyDescent="0.25">
      <c r="B23" s="2">
        <f t="shared" ref="B23:K23" si="4">B6*0.7</f>
        <v>116900000</v>
      </c>
      <c r="C23" s="2">
        <f t="shared" si="4"/>
        <v>130199999.99999999</v>
      </c>
      <c r="D23" s="2">
        <f t="shared" si="4"/>
        <v>131599999.99999999</v>
      </c>
      <c r="E23" s="2">
        <f t="shared" si="4"/>
        <v>125299999.99999999</v>
      </c>
      <c r="F23" s="2">
        <f t="shared" si="4"/>
        <v>123899999.99999999</v>
      </c>
      <c r="G23" s="2">
        <f t="shared" si="4"/>
        <v>121099999.99999999</v>
      </c>
      <c r="H23" s="2">
        <f t="shared" si="4"/>
        <v>472499999.99999994</v>
      </c>
      <c r="I23" s="2">
        <f t="shared" si="4"/>
        <v>470399999.99999994</v>
      </c>
      <c r="J23" s="2">
        <f t="shared" si="4"/>
        <v>472499999.99999994</v>
      </c>
      <c r="K23" s="2">
        <f t="shared" si="4"/>
        <v>473899999.99999994</v>
      </c>
    </row>
    <row r="24" spans="2:11" x14ac:dyDescent="0.25">
      <c r="B24" s="2">
        <f t="shared" ref="B24:K24" si="5">B7*0.7</f>
        <v>9730000</v>
      </c>
      <c r="C24" s="2">
        <f t="shared" si="5"/>
        <v>10640000</v>
      </c>
      <c r="D24" s="2">
        <f t="shared" si="5"/>
        <v>11060000</v>
      </c>
      <c r="E24" s="2">
        <f t="shared" si="5"/>
        <v>11900000</v>
      </c>
      <c r="F24" s="2">
        <f t="shared" si="5"/>
        <v>12390000</v>
      </c>
      <c r="G24" s="2">
        <f t="shared" si="5"/>
        <v>11270000</v>
      </c>
      <c r="H24" s="2">
        <f t="shared" si="5"/>
        <v>1113000</v>
      </c>
      <c r="I24" s="2">
        <f t="shared" si="5"/>
        <v>1113000</v>
      </c>
      <c r="J24" s="2">
        <f t="shared" si="5"/>
        <v>889000</v>
      </c>
      <c r="K24" s="2">
        <f t="shared" si="5"/>
        <v>923999.99999999988</v>
      </c>
    </row>
    <row r="25" spans="2:11" x14ac:dyDescent="0.25">
      <c r="B25" s="2">
        <f t="shared" ref="B25:K25" si="6">B8*0.7</f>
        <v>224700000</v>
      </c>
      <c r="C25" s="2">
        <f t="shared" si="6"/>
        <v>235899999.99999997</v>
      </c>
      <c r="D25" s="2">
        <f t="shared" si="6"/>
        <v>258299999.99999997</v>
      </c>
      <c r="E25" s="2">
        <f t="shared" si="6"/>
        <v>261799999.99999997</v>
      </c>
      <c r="F25" s="2">
        <f t="shared" si="6"/>
        <v>277900000</v>
      </c>
      <c r="G25" s="2">
        <f t="shared" si="6"/>
        <v>299600000</v>
      </c>
      <c r="H25" s="2">
        <f t="shared" si="6"/>
        <v>251299999.99999997</v>
      </c>
      <c r="I25" s="2">
        <f t="shared" si="6"/>
        <v>275100000</v>
      </c>
      <c r="J25" s="2">
        <f t="shared" si="6"/>
        <v>257599999.99999997</v>
      </c>
      <c r="K25" s="2">
        <f t="shared" si="6"/>
        <v>265999999.99999997</v>
      </c>
    </row>
    <row r="26" spans="2:11" x14ac:dyDescent="0.25">
      <c r="B26" s="2">
        <f t="shared" ref="B26:K26" si="7">B9*0.7</f>
        <v>71400000</v>
      </c>
      <c r="C26" s="2">
        <f t="shared" si="7"/>
        <v>78400000</v>
      </c>
      <c r="D26" s="2">
        <f t="shared" si="7"/>
        <v>79800000</v>
      </c>
      <c r="E26" s="2">
        <f t="shared" si="7"/>
        <v>77000000</v>
      </c>
      <c r="F26" s="2">
        <f t="shared" si="7"/>
        <v>77000000</v>
      </c>
      <c r="G26" s="2">
        <f t="shared" si="7"/>
        <v>74200000</v>
      </c>
      <c r="H26" s="2">
        <f t="shared" si="7"/>
        <v>0</v>
      </c>
      <c r="I26" s="2">
        <f t="shared" si="7"/>
        <v>0</v>
      </c>
      <c r="J26" s="2">
        <f t="shared" si="7"/>
        <v>0</v>
      </c>
      <c r="K26" s="2">
        <f t="shared" si="7"/>
        <v>0</v>
      </c>
    </row>
    <row r="27" spans="2:11" x14ac:dyDescent="0.25">
      <c r="B27" s="2">
        <f t="shared" ref="B27:K27" si="8">B10*0.7</f>
        <v>55510000</v>
      </c>
      <c r="C27" s="2">
        <f t="shared" si="8"/>
        <v>63349999.999999993</v>
      </c>
      <c r="D27" s="2">
        <f t="shared" si="8"/>
        <v>65799999.999999993</v>
      </c>
      <c r="E27" s="2">
        <f t="shared" si="8"/>
        <v>62649999.999999993</v>
      </c>
      <c r="F27" s="2">
        <f t="shared" si="8"/>
        <v>62369999.999999993</v>
      </c>
      <c r="G27" s="2">
        <f t="shared" si="8"/>
        <v>61179999.999999993</v>
      </c>
      <c r="H27" s="2">
        <f t="shared" si="8"/>
        <v>61949999.999999993</v>
      </c>
      <c r="I27" s="2">
        <f t="shared" si="8"/>
        <v>61039999.999999993</v>
      </c>
      <c r="J27" s="2">
        <f t="shared" si="8"/>
        <v>61809999.999999993</v>
      </c>
      <c r="K27" s="2">
        <f t="shared" si="8"/>
        <v>62439999.999999993</v>
      </c>
    </row>
    <row r="28" spans="2:11" x14ac:dyDescent="0.25">
      <c r="B28" s="2">
        <f t="shared" ref="B28:K28" si="9">B11*0.7</f>
        <v>11830000</v>
      </c>
      <c r="C28" s="2">
        <f t="shared" si="9"/>
        <v>11970000</v>
      </c>
      <c r="D28" s="2">
        <f t="shared" si="9"/>
        <v>17500000</v>
      </c>
      <c r="E28" s="2">
        <f t="shared" si="9"/>
        <v>46480000</v>
      </c>
      <c r="F28" s="2">
        <f t="shared" si="9"/>
        <v>59149999.999999993</v>
      </c>
      <c r="G28" s="2">
        <f t="shared" si="9"/>
        <v>41300000</v>
      </c>
      <c r="H28" s="2">
        <f t="shared" si="9"/>
        <v>26950000</v>
      </c>
      <c r="I28" s="2">
        <f t="shared" si="9"/>
        <v>27020000</v>
      </c>
      <c r="J28" s="2">
        <f t="shared" si="9"/>
        <v>21490000</v>
      </c>
      <c r="K28" s="2">
        <f t="shared" si="9"/>
        <v>22330000</v>
      </c>
    </row>
    <row r="29" spans="2:11" x14ac:dyDescent="0.25">
      <c r="B29" s="2">
        <f t="shared" ref="B29:K29" si="10">B12*0.7</f>
        <v>9800000</v>
      </c>
      <c r="C29" s="2">
        <f t="shared" si="10"/>
        <v>10920000</v>
      </c>
      <c r="D29" s="2">
        <f t="shared" si="10"/>
        <v>11130000</v>
      </c>
      <c r="E29" s="2">
        <f t="shared" si="10"/>
        <v>10640000</v>
      </c>
      <c r="F29" s="2">
        <f t="shared" si="10"/>
        <v>10640000</v>
      </c>
      <c r="G29" s="2">
        <f t="shared" si="10"/>
        <v>10430000</v>
      </c>
      <c r="H29" s="2">
        <f t="shared" si="10"/>
        <v>9660000</v>
      </c>
      <c r="I29" s="2">
        <f t="shared" si="10"/>
        <v>9590000</v>
      </c>
      <c r="J29" s="2">
        <f t="shared" si="10"/>
        <v>9730000</v>
      </c>
      <c r="K29" s="2">
        <f t="shared" si="10"/>
        <v>9800000</v>
      </c>
    </row>
    <row r="30" spans="2:11" x14ac:dyDescent="0.25">
      <c r="B30" s="2">
        <f t="shared" ref="B30:K30" si="11">B13*0.7</f>
        <v>63419999.999999993</v>
      </c>
      <c r="C30" s="2">
        <f t="shared" si="11"/>
        <v>75600000</v>
      </c>
      <c r="D30" s="2">
        <f t="shared" si="11"/>
        <v>84700000</v>
      </c>
      <c r="E30" s="2">
        <f t="shared" si="11"/>
        <v>83300000</v>
      </c>
      <c r="F30" s="2">
        <f t="shared" si="11"/>
        <v>89600000</v>
      </c>
      <c r="G30" s="2">
        <f t="shared" si="11"/>
        <v>88900000</v>
      </c>
      <c r="H30" s="2">
        <f t="shared" si="11"/>
        <v>90300000</v>
      </c>
      <c r="I30" s="2">
        <f t="shared" si="11"/>
        <v>88200000</v>
      </c>
      <c r="J30" s="2">
        <f t="shared" si="11"/>
        <v>88900000</v>
      </c>
      <c r="K30" s="2">
        <f t="shared" si="11"/>
        <v>88900000</v>
      </c>
    </row>
    <row r="31" spans="2:11" x14ac:dyDescent="0.25">
      <c r="B31" s="2">
        <f t="shared" ref="B31:K31" si="12">B14*0.7</f>
        <v>43540000</v>
      </c>
      <c r="C31" s="2">
        <f t="shared" si="12"/>
        <v>52360000</v>
      </c>
      <c r="D31" s="2">
        <f t="shared" si="12"/>
        <v>51170000</v>
      </c>
      <c r="E31" s="2">
        <f t="shared" si="12"/>
        <v>46830000</v>
      </c>
      <c r="F31" s="2">
        <f t="shared" si="12"/>
        <v>48860000</v>
      </c>
      <c r="G31" s="2">
        <f t="shared" si="12"/>
        <v>41090000</v>
      </c>
      <c r="H31" s="2">
        <f t="shared" si="12"/>
        <v>30799999.999999996</v>
      </c>
      <c r="I31" s="2">
        <f t="shared" si="12"/>
        <v>29260000</v>
      </c>
      <c r="J31" s="2">
        <f t="shared" si="12"/>
        <v>29679999.999999996</v>
      </c>
      <c r="K31" s="2">
        <f t="shared" si="12"/>
        <v>29959999.999999996</v>
      </c>
    </row>
    <row r="32" spans="2:11" x14ac:dyDescent="0.25">
      <c r="B32" s="2">
        <f t="shared" ref="B32:K32" si="13">B15*0.7</f>
        <v>63349999.999999993</v>
      </c>
      <c r="C32" s="2">
        <f t="shared" si="13"/>
        <v>81900000</v>
      </c>
      <c r="D32" s="2">
        <f t="shared" si="13"/>
        <v>91700000</v>
      </c>
      <c r="E32" s="2">
        <f t="shared" si="13"/>
        <v>91000000</v>
      </c>
      <c r="F32" s="2">
        <f t="shared" si="13"/>
        <v>91000000</v>
      </c>
      <c r="G32" s="2">
        <f t="shared" si="13"/>
        <v>89600000</v>
      </c>
      <c r="H32" s="2">
        <f t="shared" si="13"/>
        <v>69930000</v>
      </c>
      <c r="I32" s="2">
        <f t="shared" si="13"/>
        <v>68810000</v>
      </c>
      <c r="J32" s="2">
        <f t="shared" si="13"/>
        <v>70000000</v>
      </c>
      <c r="K32" s="2">
        <f t="shared" si="13"/>
        <v>71400000</v>
      </c>
    </row>
    <row r="33" spans="2:11" x14ac:dyDescent="0.25">
      <c r="B33" s="2">
        <f t="shared" ref="B33:K33" si="14">B16*0.7</f>
        <v>557900000</v>
      </c>
      <c r="C33" s="2">
        <f t="shared" si="14"/>
        <v>572600000</v>
      </c>
      <c r="D33" s="2">
        <f t="shared" si="14"/>
        <v>597800000</v>
      </c>
      <c r="E33" s="2">
        <f t="shared" si="14"/>
        <v>553700000</v>
      </c>
      <c r="F33" s="2">
        <f t="shared" si="14"/>
        <v>571900000</v>
      </c>
      <c r="G33" s="2">
        <f t="shared" si="14"/>
        <v>572600000</v>
      </c>
      <c r="H33" s="2">
        <f t="shared" si="14"/>
        <v>377300000</v>
      </c>
      <c r="I33" s="2">
        <f t="shared" si="14"/>
        <v>434000000</v>
      </c>
      <c r="J33" s="2">
        <f t="shared" si="14"/>
        <v>385700000</v>
      </c>
      <c r="K33" s="2">
        <f t="shared" si="14"/>
        <v>406700000</v>
      </c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</sheetData>
  <conditionalFormatting sqref="B2: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39223956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164885690</v>
      </c>
      <c r="F6">
        <v>164885690</v>
      </c>
      <c r="G6">
        <v>164885690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226762686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45911731</v>
      </c>
      <c r="C12">
        <v>45911731</v>
      </c>
      <c r="D12">
        <v>45911731</v>
      </c>
      <c r="E12">
        <v>45911731</v>
      </c>
      <c r="F12">
        <v>45911731</v>
      </c>
      <c r="G12">
        <v>45911731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83916974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82259017</v>
      </c>
      <c r="E15">
        <v>80966413</v>
      </c>
      <c r="F15">
        <v>85490526</v>
      </c>
      <c r="G15">
        <v>87429432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587114096</v>
      </c>
      <c r="F16">
        <v>587114096</v>
      </c>
      <c r="G16">
        <v>587114096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3886345.120000001</v>
      </c>
      <c r="F2">
        <v>4861787.45</v>
      </c>
      <c r="G2">
        <v>7248342.8199999994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39223956</v>
      </c>
      <c r="C3">
        <v>39223956</v>
      </c>
      <c r="D3">
        <v>39223956</v>
      </c>
      <c r="E3">
        <v>21965415.359999999</v>
      </c>
      <c r="F3">
        <v>25495571.399999999</v>
      </c>
      <c r="G3">
        <v>36870518.640000001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34176298.799999997</v>
      </c>
      <c r="F4">
        <v>39668918.25</v>
      </c>
      <c r="G4">
        <v>57367358.700000003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6072269.2800000003</v>
      </c>
      <c r="F5">
        <v>7596360.8500000006</v>
      </c>
      <c r="G5">
        <v>11325263.82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92335986.400000006</v>
      </c>
      <c r="F6">
        <v>107175698.5</v>
      </c>
      <c r="G6">
        <v>154992548.59999999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7174855.5199999996</v>
      </c>
      <c r="F7">
        <v>8327957.3000000007</v>
      </c>
      <c r="G7">
        <v>12043507.48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126987104.16</v>
      </c>
      <c r="F8">
        <v>147395745.90000001</v>
      </c>
      <c r="G8">
        <v>213156924.84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45344798.799999997</v>
      </c>
      <c r="F9">
        <v>52632355.75</v>
      </c>
      <c r="G9">
        <v>76114483.700000003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24327028.879999999</v>
      </c>
      <c r="F10">
        <v>28355514.199999999</v>
      </c>
      <c r="G10">
        <v>41080056.719999999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31914989.120000001</v>
      </c>
      <c r="F11">
        <v>37044183.799999997</v>
      </c>
      <c r="G11">
        <v>53571588.880000003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45911731</v>
      </c>
      <c r="C12">
        <v>45911731</v>
      </c>
      <c r="D12">
        <v>45911731</v>
      </c>
      <c r="E12">
        <v>25710569.359999999</v>
      </c>
      <c r="F12">
        <v>29842625.149999999</v>
      </c>
      <c r="G12">
        <v>43157027.140000001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6089532.4000000004</v>
      </c>
      <c r="F13">
        <v>7068207.25</v>
      </c>
      <c r="G13">
        <v>10221715.1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46993505.440000013</v>
      </c>
      <c r="F14">
        <v>54546033.100000001</v>
      </c>
      <c r="G14">
        <v>78881955.560000002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82259017</v>
      </c>
      <c r="E15">
        <v>45341191.280000001</v>
      </c>
      <c r="F15">
        <v>55568841.899999999</v>
      </c>
      <c r="G15">
        <v>82183666.079999998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328783893.76000011</v>
      </c>
      <c r="F16">
        <v>381624162.39999998</v>
      </c>
      <c r="G16">
        <v>551887250.24000001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164885690</v>
      </c>
      <c r="F6">
        <v>164885690</v>
      </c>
      <c r="G6">
        <v>163879088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226762686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45911731</v>
      </c>
      <c r="F12">
        <v>45436226</v>
      </c>
      <c r="G12">
        <v>45911731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83916974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587114096</v>
      </c>
      <c r="F16">
        <v>584474822</v>
      </c>
      <c r="G16">
        <v>583233946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164256564</v>
      </c>
      <c r="E6">
        <v>164885690</v>
      </c>
      <c r="F6">
        <v>164885690</v>
      </c>
      <c r="G6">
        <v>163879088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223728150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45911731</v>
      </c>
      <c r="F12">
        <v>45436226</v>
      </c>
      <c r="G12">
        <v>45911731</v>
      </c>
      <c r="H12">
        <v>45911731</v>
      </c>
      <c r="I12">
        <v>45911731</v>
      </c>
      <c r="J12">
        <v>45786458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10378216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84197922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586930899</v>
      </c>
      <c r="C16">
        <v>587114096</v>
      </c>
      <c r="D16">
        <v>584689002</v>
      </c>
      <c r="E16">
        <v>586897667</v>
      </c>
      <c r="F16">
        <v>584474822</v>
      </c>
      <c r="G16">
        <v>583233946</v>
      </c>
      <c r="H16">
        <v>587114096</v>
      </c>
      <c r="I16">
        <v>587114096</v>
      </c>
      <c r="J16">
        <v>582147838</v>
      </c>
      <c r="K16">
        <v>587114096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39120138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58151969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164256564</v>
      </c>
      <c r="C6">
        <v>164885690</v>
      </c>
      <c r="D6">
        <v>164256564</v>
      </c>
      <c r="E6">
        <v>164544872</v>
      </c>
      <c r="F6">
        <v>164885690</v>
      </c>
      <c r="G6">
        <v>163879088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12694709</v>
      </c>
      <c r="D7">
        <v>12812242</v>
      </c>
      <c r="E7">
        <v>12812242</v>
      </c>
      <c r="F7">
        <v>12812242</v>
      </c>
      <c r="G7">
        <v>12812242</v>
      </c>
      <c r="H7">
        <v>12289163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226519262</v>
      </c>
      <c r="D8">
        <v>226762686</v>
      </c>
      <c r="E8">
        <v>223728150</v>
      </c>
      <c r="F8">
        <v>226762686</v>
      </c>
      <c r="G8">
        <v>226762686</v>
      </c>
      <c r="H8">
        <v>225374680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76924212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54141499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45880741</v>
      </c>
      <c r="F12">
        <v>45436226</v>
      </c>
      <c r="G12">
        <v>45911731</v>
      </c>
      <c r="H12">
        <v>45388709</v>
      </c>
      <c r="I12">
        <v>45911731</v>
      </c>
      <c r="J12">
        <v>45786458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10826407</v>
      </c>
      <c r="I13">
        <v>10874165</v>
      </c>
      <c r="J13">
        <v>10378216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83076260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584505805</v>
      </c>
      <c r="C16">
        <v>587114096</v>
      </c>
      <c r="D16">
        <v>584689002</v>
      </c>
      <c r="E16">
        <v>586795811</v>
      </c>
      <c r="F16">
        <v>584474822</v>
      </c>
      <c r="G16">
        <v>583233946</v>
      </c>
      <c r="H16">
        <v>580252583</v>
      </c>
      <c r="I16">
        <v>587114096</v>
      </c>
      <c r="J16">
        <v>582147838</v>
      </c>
      <c r="K16">
        <v>587114096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6"/>
  <sheetViews>
    <sheetView workbookViewId="0">
      <selection activeCell="N47" sqref="N47"/>
    </sheetView>
  </sheetViews>
  <sheetFormatPr defaultRowHeight="15" x14ac:dyDescent="0.25"/>
  <cols>
    <col min="1" max="1" width="15.42578125" bestFit="1" customWidth="1"/>
    <col min="2" max="2" width="10.28515625" bestFit="1" customWidth="1"/>
  </cols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39120138</v>
      </c>
      <c r="F3">
        <v>39223956</v>
      </c>
      <c r="G3">
        <v>39161665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58151969</v>
      </c>
      <c r="I4">
        <v>61029105</v>
      </c>
      <c r="J4">
        <v>59302823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164256564</v>
      </c>
      <c r="C6">
        <v>164885690</v>
      </c>
      <c r="D6">
        <v>164256564</v>
      </c>
      <c r="E6">
        <v>164544872</v>
      </c>
      <c r="F6">
        <v>164885690</v>
      </c>
      <c r="G6">
        <v>163674597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12627715</v>
      </c>
      <c r="D7">
        <v>12812242</v>
      </c>
      <c r="E7">
        <v>12812242</v>
      </c>
      <c r="F7">
        <v>12812242</v>
      </c>
      <c r="G7">
        <v>12812242</v>
      </c>
      <c r="H7">
        <v>12289163</v>
      </c>
      <c r="I7">
        <v>12812242</v>
      </c>
      <c r="J7">
        <v>12498395</v>
      </c>
      <c r="K7">
        <v>12812242</v>
      </c>
    </row>
    <row r="8" spans="1:11" x14ac:dyDescent="0.25">
      <c r="A8" t="s">
        <v>7</v>
      </c>
      <c r="B8">
        <v>226762686</v>
      </c>
      <c r="C8">
        <v>226380511</v>
      </c>
      <c r="D8">
        <v>226762686</v>
      </c>
      <c r="E8">
        <v>223728150</v>
      </c>
      <c r="F8">
        <v>226762686</v>
      </c>
      <c r="G8">
        <v>226762686</v>
      </c>
      <c r="H8">
        <v>225374680</v>
      </c>
      <c r="I8">
        <v>226762686</v>
      </c>
      <c r="J8">
        <v>225929882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76924212</v>
      </c>
      <c r="I9">
        <v>80972855</v>
      </c>
      <c r="J9">
        <v>78543669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52517254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45702427</v>
      </c>
      <c r="F12">
        <v>45436226</v>
      </c>
      <c r="G12">
        <v>45893137</v>
      </c>
      <c r="H12">
        <v>45388709</v>
      </c>
      <c r="I12">
        <v>45911731</v>
      </c>
      <c r="J12">
        <v>45472645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10826407</v>
      </c>
      <c r="I13">
        <v>10874165</v>
      </c>
      <c r="J13">
        <v>10349561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83076260</v>
      </c>
      <c r="I15">
        <v>87429432</v>
      </c>
      <c r="J15">
        <v>86756435</v>
      </c>
      <c r="K15">
        <v>87429432</v>
      </c>
    </row>
    <row r="16" spans="1:11" x14ac:dyDescent="0.25">
      <c r="A16" t="s">
        <v>15</v>
      </c>
      <c r="B16">
        <v>584505805</v>
      </c>
      <c r="C16">
        <v>587114096</v>
      </c>
      <c r="D16">
        <v>584689002</v>
      </c>
      <c r="E16">
        <v>585806084</v>
      </c>
      <c r="F16">
        <v>584474822</v>
      </c>
      <c r="G16">
        <v>583172832</v>
      </c>
      <c r="H16">
        <v>580252583</v>
      </c>
      <c r="I16">
        <v>587114096</v>
      </c>
      <c r="J16">
        <v>578030930</v>
      </c>
      <c r="K16">
        <v>587114096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base_capacity</vt:lpstr>
      <vt:lpstr>IPV_Shortage</vt:lpstr>
      <vt:lpstr>pandemic</vt:lpstr>
      <vt:lpstr>funding_delay</vt:lpstr>
      <vt:lpstr>innacurate_forecast</vt:lpstr>
      <vt:lpstr>supply_chain</vt:lpstr>
      <vt:lpstr>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2024-07-01T17:07:50Z</dcterms:created>
  <dcterms:modified xsi:type="dcterms:W3CDTF">2025-06-25T18:20:44Z</dcterms:modified>
</cp:coreProperties>
</file>