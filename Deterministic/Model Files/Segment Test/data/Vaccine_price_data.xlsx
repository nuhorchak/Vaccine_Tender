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18" documentId="13_ncr:1_{72770B54-F3F6-4A7F-9F25-15B49EF80A6E}" xr6:coauthVersionLast="47" xr6:coauthVersionMax="47" xr10:uidLastSave="{F178DDB7-07EC-487A-AB2A-C62EC2CE107A}"/>
  <bookViews>
    <workbookView xWindow="-108" yWindow="-108" windowWidth="23256" windowHeight="12456" xr2:uid="{4E5F4A35-5A78-441E-8AE9-B1CCE3EF1506}"/>
  </bookViews>
  <sheets>
    <sheet name="vaccine-producer list" sheetId="70" r:id="rId1"/>
    <sheet name="vaccine-antigen list" sheetId="71" r:id="rId2"/>
    <sheet name="M Pricing" sheetId="46" r:id="rId3"/>
    <sheet name="MR Pricing" sheetId="48" r:id="rId4"/>
    <sheet name="MMR Pricing" sheetId="47" r:id="rId5"/>
    <sheet name="HPV Pricing" sheetId="44" r:id="rId6"/>
    <sheet name="OPV Pricing" sheetId="49" r:id="rId7"/>
    <sheet name="IPV Pricing" sheetId="45" r:id="rId8"/>
    <sheet name="HepB Pricing" sheetId="43" r:id="rId9"/>
    <sheet name="Hexa Pricing" sheetId="42" r:id="rId10"/>
    <sheet name="Penta Pricing" sheetId="39" r:id="rId11"/>
    <sheet name="DTwP Pricing" sheetId="41" r:id="rId12"/>
    <sheet name="Td Pricing" sheetId="36" r:id="rId13"/>
    <sheet name="DT Pricing" sheetId="38" r:id="rId14"/>
    <sheet name="TT Pricing" sheetId="52" r:id="rId15"/>
    <sheet name="Hib Pricing" sheetId="60" r:id="rId16"/>
    <sheet name="DTwP-Hib Pricing" sheetId="61" r:id="rId17"/>
    <sheet name="Rotavirus Pricing" sheetId="68" r:id="rId18"/>
    <sheet name="PCV Pricing" sheetId="69" r:id="rId19"/>
  </sheets>
  <definedNames>
    <definedName name="_xlnm._FilterDatabase" localSheetId="1" hidden="1">'vaccine-antigen list'!$A$1:$K$54</definedName>
    <definedName name="_xlnm._FilterDatabase" localSheetId="0" hidden="1">'vaccine-producer list'!$A$1:$O$52</definedName>
    <definedName name="ExternalData_2" localSheetId="12" hidden="1">'Td Pricing'!$A$1:$H$20</definedName>
    <definedName name="GAVI_countries" localSheetId="18">#REF!</definedName>
    <definedName name="GAVI_countries" localSheetId="17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0" l="1"/>
  <c r="Q4" i="70"/>
  <c r="Q5" i="70"/>
  <c r="Q6" i="70"/>
  <c r="Q7" i="70"/>
  <c r="Q8" i="70"/>
  <c r="Q9" i="70"/>
  <c r="Q10" i="70"/>
  <c r="Q11" i="70"/>
  <c r="Q12" i="70"/>
  <c r="Q13" i="70"/>
  <c r="Q14" i="70"/>
  <c r="Q15" i="70"/>
  <c r="Q16" i="70"/>
  <c r="Q17" i="70"/>
  <c r="Q18" i="70"/>
  <c r="Q2" i="70"/>
  <c r="C19" i="70"/>
  <c r="D19" i="70"/>
  <c r="E19" i="70"/>
  <c r="F19" i="70"/>
  <c r="G19" i="70"/>
  <c r="H19" i="70"/>
  <c r="I19" i="70"/>
  <c r="J19" i="70"/>
  <c r="K19" i="70"/>
  <c r="L19" i="70"/>
  <c r="M19" i="70"/>
  <c r="N19" i="70"/>
  <c r="O19" i="70"/>
  <c r="P19" i="70"/>
  <c r="B19" i="70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5" authorId="1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<sst xmlns="http://schemas.openxmlformats.org/spreadsheetml/2006/main" count="121" uniqueCount="61">
  <si>
    <t>Vaccine</t>
  </si>
  <si>
    <t>HPV</t>
  </si>
  <si>
    <t>PCV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</si>
  <si>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</si>
  <si>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</si>
  <si>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</si>
  <si>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</si>
  <si>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</si>
  <si>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</si>
  <si>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</si>
  <si>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</si>
  <si>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</si>
  <si>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</si>
  <si>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</si>
  <si>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</si>
  <si>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</si>
  <si>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</si>
  <si>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</si>
  <si>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Polio Vaccine - Inactivated (IPV)</t>
  </si>
  <si>
    <t>Haffkine Bio Pharmaceutical Corporation Ltd</t>
  </si>
  <si>
    <t>Bilthoven Biologicals B.V.</t>
  </si>
  <si>
    <t>AJ Vaccines A/S</t>
  </si>
  <si>
    <t>Bharat Biotech International Limited</t>
  </si>
  <si>
    <t>Merck Sharp &amp; Dohme LLC</t>
  </si>
  <si>
    <t>Measles, Mumps and Rubella</t>
  </si>
  <si>
    <t>Measles</t>
  </si>
  <si>
    <t>Measles and Rubella</t>
  </si>
  <si>
    <t>Haemophilus influenzae type b</t>
  </si>
  <si>
    <t>BB- NCIPD Ltd. (Bulgaria)</t>
  </si>
  <si>
    <t>HepB</t>
  </si>
  <si>
    <t>Mumps</t>
  </si>
  <si>
    <t>Rubella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</si>
  <si>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</si>
  <si>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</si>
  <si>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</si>
  <si>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</si>
  <si>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</si>
  <si>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</si>
  <si>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</si>
  <si>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</si>
  <si>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</si>
  <si>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</si>
  <si>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</si>
  <si>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</si>
  <si>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PT_Bio</t>
  </si>
  <si>
    <t>Serum_Institute</t>
  </si>
  <si>
    <t>Biological_E</t>
  </si>
  <si>
    <t>GSK</t>
  </si>
  <si>
    <t>Merck_Sharp</t>
  </si>
  <si>
    <t>Bharat_Biotech</t>
  </si>
  <si>
    <t>Haffkine_Bio</t>
  </si>
  <si>
    <t>Panacea_Biotec</t>
  </si>
  <si>
    <t>Bilthoven</t>
  </si>
  <si>
    <t>AJ_Vaccines</t>
  </si>
  <si>
    <t>LG_Chem</t>
  </si>
  <si>
    <t>BB_NCIPD</t>
  </si>
  <si>
    <t>Pfizer</t>
  </si>
  <si>
    <t>Rotavirus</t>
  </si>
  <si>
    <t>Pneumococcal Conjugate vaccine</t>
  </si>
  <si>
    <t>China_National</t>
  </si>
  <si>
    <t>Sanofi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</si>
</sst>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&quot;$&quot;#,##0.00000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5" fillId="0" borderId="0" xfId="0" applyFont="1"/>
    <xf numFmtId="0" fontId="2" fillId="2" borderId="1" xfId="0" applyFont="1" applyFill="1" applyBorder="1"/>
    <xf numFmtId="0" fontId="0" fillId="3" borderId="0" xfId="0" applyFill="1"/>
    <xf numFmtId="8" fontId="0" fillId="0" borderId="0" xfId="0" applyNumberFormat="1"/>
    <xf numFmtId="168" fontId="0" fillId="0" borderId="0" xfId="0" applyNumberFormat="1"/>
    <xf numFmtId="167" fontId="0" fillId="3" borderId="0" xfId="0" applyNumberFormat="1" applyFill="1"/>
    <xf numFmtId="166" fontId="0" fillId="3" borderId="0" xfId="0" applyNumberFormat="1" applyFill="1"/>
    <xf numFmtId="0" fontId="6" fillId="0" borderId="0" xfId="0" applyFont="1"/>
    <xf numFmtId="166" fontId="6" fillId="0" borderId="0" xfId="0" applyNumberFormat="1" applyFont="1"/>
    <xf numFmtId="0" fontId="0" fillId="0" borderId="2" xfId="0" applyBorder="1" applyAlignment="1">
      <alignment wrapText="1"/>
    </xf>
    <xf numFmtId="0" fontId="0" fillId="2" borderId="0" xfId="0" applyFill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/>
  </cellXfs>
  <cellStyles count="2"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15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Q52"/>
  <sheetViews>
    <sheetView tabSelected="1" zoomScale="79" zoomScaleNormal="100" workbookViewId="0">
      <selection activeCell="Q13" sqref="A13:Q13"/>
    </sheetView>
  </sheetViews>
  <sheetFormatPr defaultRowHeight="14.4" x14ac:dyDescent="0.3"/>
  <cols>
    <col min="1" max="1" width="91.109375" customWidth="1"/>
    <col min="2" max="15" width="15.6640625" customWidth="1"/>
    <col min="26" max="26" width="15.33203125" customWidth="1"/>
    <col min="27" max="27" width="10.5546875" bestFit="1" customWidth="1"/>
    <col min="28" max="28" width="16.6640625" bestFit="1" customWidth="1"/>
    <col min="29" max="29" width="16.44140625" bestFit="1" customWidth="1"/>
    <col min="30" max="30" width="10.5546875" bestFit="1" customWidth="1"/>
    <col min="31" max="31" width="13.33203125" bestFit="1" customWidth="1"/>
    <col min="32" max="32" width="4.88671875" bestFit="1" customWidth="1"/>
    <col min="33" max="33" width="14" bestFit="1" customWidth="1"/>
    <col min="34" max="34" width="10.109375" bestFit="1" customWidth="1"/>
    <col min="35" max="35" width="13.6640625" bestFit="1" customWidth="1"/>
    <col min="36" max="36" width="17" bestFit="1" customWidth="1"/>
    <col min="37" max="37" width="7.6640625" bestFit="1" customWidth="1"/>
    <col min="38" max="38" width="7.5546875" bestFit="1" customWidth="1"/>
    <col min="39" max="39" width="17.109375" bestFit="1" customWidth="1"/>
  </cols>
  <sheetData>
    <row r="1" spans="1:17" ht="43.2" x14ac:dyDescent="0.3">
      <c r="A1" s="1" t="s">
        <v>0</v>
      </c>
      <c r="B1" s="3" t="s">
        <v>9</v>
      </c>
      <c r="C1" s="3" t="s">
        <v>7</v>
      </c>
      <c r="D1" s="3" t="s">
        <v>16</v>
      </c>
      <c r="E1" s="3" t="s">
        <v>11</v>
      </c>
      <c r="F1" s="3" t="s">
        <v>23</v>
      </c>
      <c r="G1" s="3" t="s">
        <v>60</v>
      </c>
      <c r="H1" s="3" t="s">
        <v>28</v>
      </c>
      <c r="I1" s="3" t="s">
        <v>13</v>
      </c>
      <c r="J1" s="3" t="s">
        <v>14</v>
      </c>
      <c r="K1" s="27" t="s">
        <v>21</v>
      </c>
      <c r="L1" s="3" t="s">
        <v>20</v>
      </c>
      <c r="M1" s="26" t="s">
        <v>59</v>
      </c>
      <c r="N1" s="3" t="s">
        <v>22</v>
      </c>
      <c r="O1" s="3" t="s">
        <v>19</v>
      </c>
      <c r="P1" s="24" t="s">
        <v>56</v>
      </c>
    </row>
    <row r="2" spans="1:17" hidden="1" x14ac:dyDescent="0.3">
      <c r="A2" s="16" t="s">
        <v>25</v>
      </c>
      <c r="B2" s="27">
        <v>1</v>
      </c>
      <c r="C2" s="27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9"/>
      <c r="Q2">
        <f t="shared" ref="Q2:Q18" si="0">SUM(B2:P2)</f>
        <v>2</v>
      </c>
    </row>
    <row r="3" spans="1:17" hidden="1" x14ac:dyDescent="0.3">
      <c r="A3" s="16" t="s">
        <v>26</v>
      </c>
      <c r="B3" s="27">
        <v>1</v>
      </c>
      <c r="C3" s="27"/>
      <c r="D3" s="27"/>
      <c r="E3" s="27">
        <v>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>
        <f t="shared" si="0"/>
        <v>2</v>
      </c>
    </row>
    <row r="4" spans="1:17" hidden="1" x14ac:dyDescent="0.3">
      <c r="A4" s="16" t="s">
        <v>24</v>
      </c>
      <c r="B4" s="27">
        <v>1</v>
      </c>
      <c r="C4" s="27"/>
      <c r="D4" s="27">
        <v>1</v>
      </c>
      <c r="E4" s="27"/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9"/>
      <c r="Q4">
        <f t="shared" si="0"/>
        <v>3</v>
      </c>
    </row>
    <row r="5" spans="1:17" x14ac:dyDescent="0.3">
      <c r="A5" s="16" t="s">
        <v>6</v>
      </c>
      <c r="B5" s="27">
        <v>1</v>
      </c>
      <c r="C5" s="27">
        <v>1</v>
      </c>
      <c r="D5" s="27"/>
      <c r="E5" s="27"/>
      <c r="F5" s="27"/>
      <c r="G5" s="27"/>
      <c r="H5" s="27">
        <v>1</v>
      </c>
      <c r="I5" s="27"/>
      <c r="J5" s="27"/>
      <c r="K5" s="27"/>
      <c r="L5" s="27"/>
      <c r="M5" s="27"/>
      <c r="N5" s="27"/>
      <c r="O5" s="27"/>
      <c r="P5" s="29"/>
      <c r="Q5">
        <f t="shared" si="0"/>
        <v>3</v>
      </c>
    </row>
    <row r="6" spans="1:17" hidden="1" x14ac:dyDescent="0.3">
      <c r="A6" s="16" t="s">
        <v>27</v>
      </c>
      <c r="B6" s="27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  <c r="Q6">
        <f t="shared" si="0"/>
        <v>1</v>
      </c>
    </row>
    <row r="7" spans="1:17" x14ac:dyDescent="0.3">
      <c r="A7" s="16" t="s">
        <v>18</v>
      </c>
      <c r="B7" s="27"/>
      <c r="C7" s="27"/>
      <c r="D7" s="27"/>
      <c r="E7" s="27"/>
      <c r="F7" s="27"/>
      <c r="G7" s="27">
        <v>1</v>
      </c>
      <c r="H7" s="27"/>
      <c r="I7" s="27">
        <v>1</v>
      </c>
      <c r="J7" s="27"/>
      <c r="K7" s="27">
        <v>1</v>
      </c>
      <c r="L7" s="27">
        <v>1</v>
      </c>
      <c r="M7" s="27"/>
      <c r="N7" s="27"/>
      <c r="O7" s="27"/>
      <c r="P7" s="29"/>
      <c r="Q7">
        <f t="shared" si="0"/>
        <v>4</v>
      </c>
    </row>
    <row r="8" spans="1:17" x14ac:dyDescent="0.3">
      <c r="A8" s="16" t="s">
        <v>17</v>
      </c>
      <c r="B8" s="27">
        <v>1</v>
      </c>
      <c r="C8" s="27">
        <v>1</v>
      </c>
      <c r="D8" s="27">
        <v>1</v>
      </c>
      <c r="E8" s="27"/>
      <c r="F8" s="27"/>
      <c r="G8" s="27">
        <v>1</v>
      </c>
      <c r="H8" s="27"/>
      <c r="I8" s="27"/>
      <c r="J8" s="27">
        <v>1</v>
      </c>
      <c r="K8" s="27"/>
      <c r="L8" s="27"/>
      <c r="M8" s="27">
        <v>1</v>
      </c>
      <c r="N8" s="27">
        <v>1</v>
      </c>
      <c r="O8" s="27">
        <v>1</v>
      </c>
      <c r="P8" s="29"/>
      <c r="Q8" s="25">
        <f t="shared" si="0"/>
        <v>8</v>
      </c>
    </row>
    <row r="9" spans="1:17" x14ac:dyDescent="0.3">
      <c r="A9" s="16" t="s">
        <v>39</v>
      </c>
      <c r="B9" s="27">
        <v>1</v>
      </c>
      <c r="C9" s="27"/>
      <c r="D9" s="27"/>
      <c r="E9" s="27"/>
      <c r="F9" s="27"/>
      <c r="G9" s="27"/>
      <c r="H9" s="27"/>
      <c r="I9" s="27">
        <v>1</v>
      </c>
      <c r="J9" s="27"/>
      <c r="K9" s="27"/>
      <c r="L9" s="27"/>
      <c r="M9" s="27"/>
      <c r="N9" s="27"/>
      <c r="O9" s="27"/>
      <c r="P9" s="29"/>
      <c r="Q9">
        <f t="shared" si="0"/>
        <v>2</v>
      </c>
    </row>
    <row r="10" spans="1:17" x14ac:dyDescent="0.3">
      <c r="A10" s="16" t="s">
        <v>42</v>
      </c>
      <c r="B10" s="27">
        <v>1</v>
      </c>
      <c r="C10" s="27">
        <v>1</v>
      </c>
      <c r="D10" s="27"/>
      <c r="E10" s="27"/>
      <c r="F10" s="27"/>
      <c r="G10" s="27"/>
      <c r="H10" s="27">
        <v>1</v>
      </c>
      <c r="I10" s="27"/>
      <c r="J10" s="27"/>
      <c r="K10" s="27"/>
      <c r="L10" s="27"/>
      <c r="M10" s="27"/>
      <c r="N10" s="27"/>
      <c r="O10" s="27"/>
      <c r="P10" s="29"/>
      <c r="Q10">
        <f t="shared" si="0"/>
        <v>3</v>
      </c>
    </row>
    <row r="11" spans="1:17" x14ac:dyDescent="0.3">
      <c r="A11" s="16" t="s">
        <v>43</v>
      </c>
      <c r="B11" s="27"/>
      <c r="C11" s="27">
        <v>1</v>
      </c>
      <c r="D11" s="27"/>
      <c r="E11" s="27"/>
      <c r="F11" s="27"/>
      <c r="G11" s="27"/>
      <c r="H11" s="27">
        <v>1</v>
      </c>
      <c r="I11" s="27"/>
      <c r="J11" s="27"/>
      <c r="K11" s="27"/>
      <c r="L11" s="27"/>
      <c r="M11" s="27"/>
      <c r="N11" s="27"/>
      <c r="O11" s="27"/>
      <c r="P11" s="29"/>
      <c r="Q11">
        <f t="shared" si="0"/>
        <v>2</v>
      </c>
    </row>
    <row r="12" spans="1:17" x14ac:dyDescent="0.3">
      <c r="A12" s="16" t="s">
        <v>40</v>
      </c>
      <c r="B12" s="27">
        <v>1</v>
      </c>
      <c r="C12" s="27"/>
      <c r="D12" s="27"/>
      <c r="E12" s="27"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  <c r="Q12">
        <f t="shared" si="0"/>
        <v>2</v>
      </c>
    </row>
    <row r="13" spans="1:17" x14ac:dyDescent="0.3">
      <c r="A13" s="16" t="s">
        <v>15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9"/>
      <c r="Q13">
        <f t="shared" si="0"/>
        <v>1</v>
      </c>
    </row>
    <row r="14" spans="1:17" hidden="1" x14ac:dyDescent="0.3">
      <c r="A14" s="16" t="s">
        <v>10</v>
      </c>
      <c r="B14" s="27">
        <v>1</v>
      </c>
      <c r="C14" s="27">
        <v>1</v>
      </c>
      <c r="D14" s="27"/>
      <c r="E14" s="27">
        <v>1</v>
      </c>
      <c r="F14" s="27"/>
      <c r="G14" s="27"/>
      <c r="H14" s="27"/>
      <c r="I14" s="27">
        <v>1</v>
      </c>
      <c r="J14" s="27">
        <v>1</v>
      </c>
      <c r="K14" s="27"/>
      <c r="L14" s="27"/>
      <c r="M14" s="28"/>
      <c r="N14" s="27"/>
      <c r="O14" s="27"/>
      <c r="P14" s="29"/>
      <c r="Q14" s="25">
        <f t="shared" si="0"/>
        <v>5</v>
      </c>
    </row>
    <row r="15" spans="1:17" hidden="1" x14ac:dyDescent="0.3">
      <c r="A15" s="16" t="s">
        <v>12</v>
      </c>
      <c r="B15" s="27"/>
      <c r="C15" s="27"/>
      <c r="D15" s="27"/>
      <c r="E15" s="27"/>
      <c r="F15" s="27"/>
      <c r="G15" s="27">
        <v>1</v>
      </c>
      <c r="H15" s="27"/>
      <c r="I15" s="27"/>
      <c r="J15" s="27"/>
      <c r="K15" s="27"/>
      <c r="L15" s="27"/>
      <c r="M15" s="28"/>
      <c r="N15" s="27"/>
      <c r="O15" s="27"/>
      <c r="P15" s="29"/>
      <c r="Q15">
        <f t="shared" si="0"/>
        <v>1</v>
      </c>
    </row>
    <row r="16" spans="1:17" x14ac:dyDescent="0.3">
      <c r="A16" s="16" t="s">
        <v>37</v>
      </c>
      <c r="B16" s="27"/>
      <c r="C16" s="27"/>
      <c r="D16" s="27">
        <v>1</v>
      </c>
      <c r="E16" s="27"/>
      <c r="F16" s="27">
        <v>1</v>
      </c>
      <c r="G16" s="27"/>
      <c r="H16" s="27"/>
      <c r="I16" s="27"/>
      <c r="J16" s="27"/>
      <c r="K16" s="27"/>
      <c r="L16" s="27"/>
      <c r="M16" s="27">
        <v>1</v>
      </c>
      <c r="N16" s="27"/>
      <c r="O16" s="27"/>
      <c r="P16" s="29"/>
      <c r="Q16">
        <f t="shared" si="0"/>
        <v>3</v>
      </c>
    </row>
    <row r="17" spans="1:17" x14ac:dyDescent="0.3">
      <c r="A17" s="16" t="s">
        <v>57</v>
      </c>
      <c r="B17" s="27">
        <v>1</v>
      </c>
      <c r="C17" s="27"/>
      <c r="D17" s="27">
        <v>1</v>
      </c>
      <c r="E17" s="27"/>
      <c r="F17" s="27"/>
      <c r="G17" s="27"/>
      <c r="H17" s="27"/>
      <c r="I17" s="27"/>
      <c r="J17" s="27"/>
      <c r="K17" s="27"/>
      <c r="L17" s="27"/>
      <c r="M17" s="27"/>
      <c r="N17" s="27">
        <v>1</v>
      </c>
      <c r="O17" s="27"/>
      <c r="P17" s="27"/>
      <c r="Q17">
        <f t="shared" si="0"/>
        <v>3</v>
      </c>
    </row>
    <row r="18" spans="1:17" x14ac:dyDescent="0.3">
      <c r="A18" s="16" t="s">
        <v>58</v>
      </c>
      <c r="B18" s="27">
        <v>1</v>
      </c>
      <c r="C18" s="27"/>
      <c r="D18" s="27">
        <v>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1</v>
      </c>
      <c r="Q18">
        <f t="shared" si="0"/>
        <v>3</v>
      </c>
    </row>
    <row r="19" spans="1:17" x14ac:dyDescent="0.3">
      <c r="A19" s="5"/>
      <c r="B19" s="2">
        <f t="shared" ref="B19:P19" si="1">SUM(B2:B18)</f>
        <v>13</v>
      </c>
      <c r="C19" s="2">
        <f t="shared" si="1"/>
        <v>6</v>
      </c>
      <c r="D19" s="2">
        <f t="shared" si="1"/>
        <v>5</v>
      </c>
      <c r="E19" s="2">
        <f t="shared" si="1"/>
        <v>3</v>
      </c>
      <c r="F19" s="2">
        <f t="shared" si="1"/>
        <v>2</v>
      </c>
      <c r="G19" s="2">
        <f t="shared" si="1"/>
        <v>3</v>
      </c>
      <c r="H19" s="2">
        <f t="shared" si="1"/>
        <v>3</v>
      </c>
      <c r="I19" s="2">
        <f t="shared" si="1"/>
        <v>3</v>
      </c>
      <c r="J19" s="2">
        <f t="shared" si="1"/>
        <v>2</v>
      </c>
      <c r="K19" s="2">
        <f t="shared" si="1"/>
        <v>1</v>
      </c>
      <c r="L19" s="2">
        <f t="shared" si="1"/>
        <v>1</v>
      </c>
      <c r="M19" s="2">
        <f t="shared" si="1"/>
        <v>2</v>
      </c>
      <c r="N19" s="2">
        <f t="shared" si="1"/>
        <v>2</v>
      </c>
      <c r="O19" s="2">
        <f t="shared" si="1"/>
        <v>1</v>
      </c>
      <c r="P19" s="2">
        <f t="shared" si="1"/>
        <v>1</v>
      </c>
    </row>
    <row r="20" spans="1:17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7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autoFilter ref="A1:O52" xr:uid="{33B467EF-9A95-4D5D-8C3D-345AC2CF8301}"/>
  <conditionalFormatting sqref="B1:L1 N1:P1 B2:O13 B14:L15 N14:O15 B16:O16 B19:P19">
    <cfRule type="notContainsBlanks" dxfId="3" priority="2" stopIfTrue="1">
      <formula>LEN(TRIM(B1))&gt;0</formula>
    </cfRule>
  </conditionalFormatting>
  <conditionalFormatting sqref="B17:P18">
    <cfRule type="notContainsBlanks" dxfId="2" priority="1">
      <formula>LEN(TRIM(B17))&gt;0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0</v>
      </c>
      <c r="B1" s="3" t="s">
        <v>25</v>
      </c>
      <c r="C1" s="3" t="s">
        <v>30</v>
      </c>
      <c r="D1" s="3" t="s">
        <v>31</v>
      </c>
      <c r="E1" s="3" t="s">
        <v>1</v>
      </c>
      <c r="F1" s="3" t="s">
        <v>34</v>
      </c>
      <c r="G1" s="3" t="s">
        <v>4</v>
      </c>
      <c r="H1" s="3" t="s">
        <v>3</v>
      </c>
      <c r="I1" s="3" t="s">
        <v>35</v>
      </c>
      <c r="J1" s="3" t="s">
        <v>36</v>
      </c>
      <c r="K1" s="3" t="s">
        <v>29</v>
      </c>
      <c r="L1" s="3" t="s">
        <v>57</v>
      </c>
      <c r="M1" s="3" t="s">
        <v>2</v>
      </c>
    </row>
    <row r="2" spans="1:13" x14ac:dyDescent="0.3">
      <c r="A2" s="4" t="s">
        <v>25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26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24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6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41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5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8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40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15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10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12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18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17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38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39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16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4.4" x14ac:dyDescent="0.3"/>
  <cols>
    <col min="1" max="1" width="33.44140625" bestFit="1" customWidth="1"/>
  </cols>
  <sheetData>
    <row r="1" spans="1:11" x14ac:dyDescent="0.3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s="17" t="s">
        <v>44</v>
      </c>
      <c r="B2" s="20">
        <v>0.25</v>
      </c>
      <c r="C2" s="20">
        <v>0.26</v>
      </c>
      <c r="D2" s="20">
        <v>0.27</v>
      </c>
      <c r="E2" s="20">
        <f t="shared" ref="E2:K2" si="0">AVERAGE(C2:D2)</f>
        <v>0.26500000000000001</v>
      </c>
      <c r="F2" s="20">
        <f t="shared" si="0"/>
        <v>0.26750000000000002</v>
      </c>
      <c r="G2" s="20">
        <f t="shared" si="0"/>
        <v>0.26624999999999999</v>
      </c>
      <c r="H2" s="20">
        <f t="shared" si="0"/>
        <v>0.26687499999999997</v>
      </c>
      <c r="I2" s="20">
        <f t="shared" si="0"/>
        <v>0.26656249999999998</v>
      </c>
      <c r="J2" s="20">
        <f t="shared" si="0"/>
        <v>0.26671875</v>
      </c>
      <c r="K2" s="20">
        <f t="shared" si="0"/>
        <v>0.26664062499999996</v>
      </c>
    </row>
    <row r="3" spans="1:11" x14ac:dyDescent="0.3">
      <c r="A3" s="17" t="s">
        <v>45</v>
      </c>
      <c r="B3" s="20">
        <v>0.39200000000000002</v>
      </c>
      <c r="C3" s="20">
        <v>0.43049999999999999</v>
      </c>
      <c r="D3" s="20">
        <v>0.44</v>
      </c>
      <c r="E3" s="20">
        <f t="shared" ref="E3:K3" si="1">AVERAGE(C3:D3)</f>
        <v>0.43525000000000003</v>
      </c>
      <c r="F3" s="20">
        <f t="shared" si="1"/>
        <v>0.43762500000000004</v>
      </c>
      <c r="G3" s="20">
        <f t="shared" si="1"/>
        <v>0.43643750000000003</v>
      </c>
      <c r="H3" s="20">
        <f t="shared" si="1"/>
        <v>0.43703125000000004</v>
      </c>
      <c r="I3" s="20">
        <f t="shared" si="1"/>
        <v>0.43673437500000001</v>
      </c>
      <c r="J3" s="20">
        <f t="shared" si="1"/>
        <v>0.43688281250000005</v>
      </c>
      <c r="K3" s="20">
        <f t="shared" si="1"/>
        <v>0.43680859375000003</v>
      </c>
    </row>
    <row r="6" spans="1:11" x14ac:dyDescent="0.3">
      <c r="B6" s="8"/>
      <c r="C6" s="8"/>
    </row>
    <row r="7" spans="1:11" x14ac:dyDescent="0.3">
      <c r="B7" s="8"/>
      <c r="C7" s="8"/>
    </row>
    <row r="8" spans="1:11" x14ac:dyDescent="0.3">
      <c r="B8" s="7"/>
      <c r="C8" s="7"/>
    </row>
    <row r="9" spans="1:11" x14ac:dyDescent="0.3">
      <c r="C9" s="6"/>
    </row>
    <row r="23" spans="2:2" x14ac:dyDescent="0.3">
      <c r="B23" s="6"/>
    </row>
    <row r="24" spans="2:2" x14ac:dyDescent="0.3">
      <c r="B24" s="9"/>
    </row>
    <row r="25" spans="2:2" x14ac:dyDescent="0.3">
      <c r="B25" s="9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4.4" x14ac:dyDescent="0.3"/>
  <cols>
    <col min="1" max="1" width="34.109375" bestFit="1" customWidth="1"/>
  </cols>
  <sheetData>
    <row r="1" spans="1:11" x14ac:dyDescent="0.3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s="17" t="s">
        <v>45</v>
      </c>
      <c r="B2" s="21">
        <v>0.8115</v>
      </c>
      <c r="C2" s="21">
        <v>0.89250000000000007</v>
      </c>
      <c r="D2" s="21">
        <v>0.89</v>
      </c>
      <c r="E2" s="21">
        <v>0.8912500000000001</v>
      </c>
      <c r="F2" s="21">
        <v>0.890625</v>
      </c>
      <c r="G2" s="21">
        <v>0.89093750000000005</v>
      </c>
      <c r="H2" s="21">
        <v>0.89078125000000008</v>
      </c>
      <c r="I2" s="21">
        <v>0.89085937500000001</v>
      </c>
      <c r="J2" s="21">
        <v>0.89082031250000004</v>
      </c>
      <c r="K2" s="21">
        <v>0.89083984375000003</v>
      </c>
    </row>
    <row r="3" spans="1:11" x14ac:dyDescent="0.3">
      <c r="A3" s="17" t="s">
        <v>46</v>
      </c>
      <c r="B3" s="21">
        <v>0.69950000000000001</v>
      </c>
      <c r="C3" s="21">
        <v>0.81899999999999995</v>
      </c>
      <c r="D3" s="21">
        <v>0.87</v>
      </c>
      <c r="E3" s="21">
        <v>0.94450000000000001</v>
      </c>
      <c r="F3" s="21">
        <v>0.90725</v>
      </c>
      <c r="G3" s="21">
        <v>0.925875</v>
      </c>
      <c r="H3" s="21">
        <v>0.91656249999999995</v>
      </c>
      <c r="I3" s="21">
        <v>0.92121874999999998</v>
      </c>
      <c r="J3" s="21">
        <v>0.91889062499999996</v>
      </c>
      <c r="K3" s="21">
        <v>0.92005468749999997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5"/>
  <sheetViews>
    <sheetView workbookViewId="0">
      <selection activeCell="B5" sqref="B5:K5"/>
    </sheetView>
  </sheetViews>
  <sheetFormatPr defaultRowHeight="14.4" x14ac:dyDescent="0.3"/>
  <cols>
    <col min="1" max="1" width="39.5546875" bestFit="1" customWidth="1"/>
    <col min="4" max="5" width="12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45</v>
      </c>
      <c r="B2" s="12">
        <v>1.944</v>
      </c>
      <c r="C2" s="12">
        <v>2.1363333333333334</v>
      </c>
      <c r="D2" s="12">
        <v>2.3483333333333332</v>
      </c>
      <c r="E2" s="12">
        <v>2.2423333333333333</v>
      </c>
      <c r="F2" s="12">
        <v>2.2953333333333332</v>
      </c>
      <c r="G2" s="12">
        <v>2.2688333333333333</v>
      </c>
      <c r="H2" s="12">
        <v>2.2820833333333335</v>
      </c>
      <c r="I2" s="12">
        <v>2.2754583333333334</v>
      </c>
      <c r="J2" s="12">
        <v>2.2787708333333336</v>
      </c>
      <c r="K2" s="12">
        <v>2.2771145833333337</v>
      </c>
    </row>
    <row r="3" spans="1:11" x14ac:dyDescent="0.3">
      <c r="A3" t="s">
        <v>47</v>
      </c>
      <c r="B3" s="12">
        <v>4.47</v>
      </c>
      <c r="C3" s="12">
        <v>4.47</v>
      </c>
      <c r="D3" s="12">
        <v>4.47</v>
      </c>
      <c r="E3" s="12">
        <v>4.47</v>
      </c>
      <c r="F3" s="12">
        <v>4.47</v>
      </c>
      <c r="G3" s="12">
        <v>4.47</v>
      </c>
      <c r="H3" s="12">
        <v>4.47</v>
      </c>
      <c r="I3" s="12">
        <v>4.47</v>
      </c>
      <c r="J3" s="12">
        <v>4.47</v>
      </c>
      <c r="K3" s="12">
        <v>4.47</v>
      </c>
    </row>
    <row r="5" spans="1:11" x14ac:dyDescent="0.3">
      <c r="B5" s="12"/>
      <c r="C5" s="12"/>
      <c r="D5" s="12"/>
      <c r="E5" s="12"/>
      <c r="F5" s="12"/>
      <c r="G5" s="12"/>
      <c r="H5" s="12"/>
      <c r="I5" s="12"/>
      <c r="J5" s="12"/>
      <c r="K5" s="12"/>
    </row>
  </sheetData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A2" sqref="A2"/>
    </sheetView>
  </sheetViews>
  <sheetFormatPr defaultRowHeight="14.4" x14ac:dyDescent="0.3"/>
  <cols>
    <col min="1" max="1" width="38.886718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s="26" t="s">
        <v>59</v>
      </c>
      <c r="B2" s="12">
        <v>2.9</v>
      </c>
      <c r="C2" s="12">
        <v>2.9</v>
      </c>
      <c r="D2" s="12">
        <v>2.9</v>
      </c>
      <c r="E2" s="12">
        <v>2.9</v>
      </c>
      <c r="F2" s="12">
        <v>2.9</v>
      </c>
      <c r="G2" s="12">
        <v>2.9</v>
      </c>
      <c r="H2" s="12">
        <v>2.9</v>
      </c>
      <c r="I2" s="12">
        <v>2.9</v>
      </c>
      <c r="J2" s="12">
        <v>2.9</v>
      </c>
      <c r="K2" s="12">
        <v>2.9</v>
      </c>
    </row>
    <row r="3" spans="1:11" x14ac:dyDescent="0.3">
      <c r="A3" t="s">
        <v>47</v>
      </c>
      <c r="B3" s="12">
        <v>4.5999999999999996</v>
      </c>
      <c r="C3" s="12">
        <v>5.18</v>
      </c>
      <c r="D3" s="12">
        <v>5.18</v>
      </c>
      <c r="E3" s="12">
        <v>5.18</v>
      </c>
      <c r="F3" s="12">
        <v>5.18</v>
      </c>
      <c r="G3" s="12">
        <v>5.18</v>
      </c>
      <c r="H3" s="12">
        <v>5.18</v>
      </c>
      <c r="I3" s="12">
        <v>5.18</v>
      </c>
      <c r="J3" s="12">
        <v>5.18</v>
      </c>
      <c r="K3" s="12">
        <v>5.18</v>
      </c>
    </row>
    <row r="4" spans="1:11" x14ac:dyDescent="0.3">
      <c r="A4" t="s">
        <v>48</v>
      </c>
      <c r="B4" s="12">
        <v>4.5</v>
      </c>
      <c r="C4" s="12">
        <v>4.5</v>
      </c>
      <c r="D4" s="12">
        <v>4.5</v>
      </c>
      <c r="E4" s="12">
        <v>4.5</v>
      </c>
      <c r="F4" s="12">
        <v>4.5</v>
      </c>
      <c r="G4" s="12">
        <v>4.5</v>
      </c>
      <c r="H4" s="12">
        <v>4.5</v>
      </c>
      <c r="I4" s="12">
        <v>4.5</v>
      </c>
      <c r="J4" s="12">
        <v>4.5</v>
      </c>
      <c r="K4" s="12">
        <v>4.5</v>
      </c>
    </row>
  </sheetData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C15" sqref="C15"/>
    </sheetView>
  </sheetViews>
  <sheetFormatPr defaultRowHeight="14.4" x14ac:dyDescent="0.3"/>
  <cols>
    <col min="1" max="1" width="38" bestFit="1" customWidth="1"/>
  </cols>
  <sheetData>
    <row r="1" spans="1:11" x14ac:dyDescent="0.3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3">
      <c r="A2" t="s">
        <v>49</v>
      </c>
      <c r="B2" s="11">
        <v>0.15925</v>
      </c>
      <c r="C2" s="11">
        <v>0.15925</v>
      </c>
      <c r="D2" s="11">
        <v>0.15925</v>
      </c>
      <c r="E2" s="11">
        <v>0.15925</v>
      </c>
      <c r="F2" s="11">
        <v>0.15925</v>
      </c>
      <c r="G2" s="11">
        <v>0.15925</v>
      </c>
      <c r="H2" s="11">
        <v>0.15925</v>
      </c>
      <c r="I2" s="11">
        <v>0.15925</v>
      </c>
      <c r="J2" s="11">
        <v>0.15925</v>
      </c>
      <c r="K2" s="11">
        <v>0.15925</v>
      </c>
    </row>
    <row r="3" spans="1:11" x14ac:dyDescent="0.3">
      <c r="A3" t="s">
        <v>44</v>
      </c>
      <c r="B3" s="11">
        <v>0.13124999999999998</v>
      </c>
      <c r="C3" s="11">
        <v>0.13124999999999998</v>
      </c>
      <c r="D3" s="11">
        <v>0.13124999999999998</v>
      </c>
      <c r="E3" s="11">
        <v>0.13124999999999998</v>
      </c>
      <c r="F3" s="11">
        <v>0.13124999999999998</v>
      </c>
      <c r="G3" s="11">
        <v>0.13124999999999998</v>
      </c>
      <c r="H3" s="11">
        <v>0.13124999999999998</v>
      </c>
      <c r="I3" s="11">
        <v>0.13124999999999998</v>
      </c>
      <c r="J3" s="11">
        <v>0.13124999999999998</v>
      </c>
      <c r="K3" s="11">
        <v>0.13124999999999998</v>
      </c>
    </row>
    <row r="4" spans="1:11" x14ac:dyDescent="0.3">
      <c r="A4" t="s">
        <v>47</v>
      </c>
      <c r="B4" s="11">
        <v>0.1575</v>
      </c>
      <c r="C4" s="11">
        <v>0.1575</v>
      </c>
      <c r="D4" s="11">
        <v>0.1575</v>
      </c>
      <c r="E4" s="11">
        <v>0.1575</v>
      </c>
      <c r="F4" s="11">
        <v>0.1575</v>
      </c>
      <c r="G4" s="11">
        <v>0.1575</v>
      </c>
      <c r="H4" s="11">
        <v>0.1575</v>
      </c>
      <c r="I4" s="11">
        <v>0.1575</v>
      </c>
      <c r="J4" s="11">
        <v>0.1575</v>
      </c>
      <c r="K4" s="11">
        <v>0.1575</v>
      </c>
    </row>
    <row r="5" spans="1:11" x14ac:dyDescent="0.3">
      <c r="A5" s="26" t="s">
        <v>59</v>
      </c>
      <c r="B5" s="11">
        <v>8.8900000000000007E-2</v>
      </c>
      <c r="C5" s="11">
        <v>0.12</v>
      </c>
      <c r="D5" s="11">
        <v>0.12</v>
      </c>
      <c r="E5" s="11">
        <v>0.12</v>
      </c>
      <c r="F5" s="11">
        <v>0.12</v>
      </c>
      <c r="G5" s="11">
        <v>0.12</v>
      </c>
      <c r="H5" s="11">
        <v>0.12</v>
      </c>
      <c r="I5" s="11">
        <v>0.12</v>
      </c>
      <c r="J5" s="11">
        <v>0.12</v>
      </c>
      <c r="K5" s="11">
        <v>0.12</v>
      </c>
    </row>
    <row r="6" spans="1:11" x14ac:dyDescent="0.3">
      <c r="A6" t="s">
        <v>50</v>
      </c>
      <c r="B6" s="11">
        <v>0.11</v>
      </c>
      <c r="C6" s="11">
        <v>0.11</v>
      </c>
      <c r="D6" s="11">
        <v>0.11</v>
      </c>
      <c r="E6" s="11">
        <v>0.11</v>
      </c>
      <c r="F6" s="11">
        <v>0.11</v>
      </c>
      <c r="G6" s="11">
        <v>0.11</v>
      </c>
      <c r="H6" s="11">
        <v>0.11</v>
      </c>
      <c r="I6" s="11">
        <v>0.11</v>
      </c>
      <c r="J6" s="11">
        <v>0.11</v>
      </c>
      <c r="K6" s="11">
        <v>0.11</v>
      </c>
    </row>
    <row r="7" spans="1:11" x14ac:dyDescent="0.3">
      <c r="A7" t="s">
        <v>60</v>
      </c>
      <c r="B7" s="11">
        <v>0.16500000000000001</v>
      </c>
      <c r="C7" s="11">
        <v>0.16500000000000001</v>
      </c>
      <c r="D7" s="11">
        <v>0.16500000000000001</v>
      </c>
      <c r="E7" s="11">
        <v>0.16500000000000001</v>
      </c>
      <c r="F7" s="11">
        <v>0.16500000000000001</v>
      </c>
      <c r="G7" s="11">
        <v>0.16500000000000001</v>
      </c>
      <c r="H7" s="11">
        <v>0.16500000000000001</v>
      </c>
      <c r="I7" s="11">
        <v>0.16500000000000001</v>
      </c>
      <c r="J7" s="11">
        <v>0.16500000000000001</v>
      </c>
      <c r="K7" s="11">
        <v>0.16500000000000001</v>
      </c>
    </row>
    <row r="8" spans="1:11" x14ac:dyDescent="0.3">
      <c r="A8" t="s">
        <v>45</v>
      </c>
      <c r="B8" s="11">
        <v>0.13</v>
      </c>
      <c r="C8" s="11">
        <v>0.13</v>
      </c>
      <c r="D8" s="11">
        <v>0.13</v>
      </c>
      <c r="E8" s="11">
        <v>0.13</v>
      </c>
      <c r="F8" s="11">
        <v>0.13</v>
      </c>
      <c r="G8" s="11">
        <v>0.13</v>
      </c>
      <c r="H8" s="11">
        <v>0.13</v>
      </c>
      <c r="I8" s="11">
        <v>0.13</v>
      </c>
      <c r="J8" s="11">
        <v>0.13</v>
      </c>
      <c r="K8" s="11">
        <v>0.13</v>
      </c>
    </row>
    <row r="9" spans="1:11" x14ac:dyDescent="0.3">
      <c r="A9" t="s">
        <v>51</v>
      </c>
      <c r="B9" s="11">
        <v>0.1225</v>
      </c>
      <c r="C9" s="11">
        <v>0.1225</v>
      </c>
      <c r="D9" s="11">
        <v>0.1225</v>
      </c>
      <c r="E9" s="11">
        <v>0.1225</v>
      </c>
      <c r="F9" s="11">
        <v>0.1225</v>
      </c>
      <c r="G9" s="11">
        <v>0.1225</v>
      </c>
      <c r="H9" s="11">
        <v>0.1225</v>
      </c>
      <c r="I9" s="11">
        <v>0.1225</v>
      </c>
      <c r="J9" s="11">
        <v>0.1225</v>
      </c>
      <c r="K9" s="11">
        <v>0.1225</v>
      </c>
    </row>
    <row r="28" spans="2:3" x14ac:dyDescent="0.3">
      <c r="B28" t="s">
        <v>32</v>
      </c>
      <c r="C28" t="s">
        <v>32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K17" sqref="K17"/>
    </sheetView>
  </sheetViews>
  <sheetFormatPr defaultRowHeight="14.4" x14ac:dyDescent="0.3"/>
  <cols>
    <col min="1" max="1" width="16.88671875" bestFit="1" customWidth="1"/>
    <col min="6" max="6" width="12" bestFit="1" customWidth="1"/>
  </cols>
  <sheetData>
    <row r="1" spans="1:11" x14ac:dyDescent="0.3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3">
      <c r="A2" t="s">
        <v>52</v>
      </c>
      <c r="B2" s="12">
        <v>2.95</v>
      </c>
      <c r="C2" s="12">
        <v>2.65</v>
      </c>
      <c r="D2" s="12">
        <v>2.25</v>
      </c>
      <c r="E2" s="12">
        <v>1.9058333333333335</v>
      </c>
      <c r="F2" s="12">
        <v>1.9058333333333335</v>
      </c>
      <c r="G2" s="12">
        <v>1.9058333333333335</v>
      </c>
      <c r="H2" s="12">
        <v>1.9058333333333335</v>
      </c>
      <c r="I2" s="12">
        <v>1.9058333333333335</v>
      </c>
      <c r="J2" s="12">
        <v>1.9058333333333335</v>
      </c>
      <c r="K2" s="12">
        <v>1.9058333333333335</v>
      </c>
    </row>
    <row r="3" spans="1:11" x14ac:dyDescent="0.3">
      <c r="A3" t="s">
        <v>53</v>
      </c>
      <c r="B3" s="12">
        <v>2.4500000000000002</v>
      </c>
      <c r="C3" s="14">
        <v>1.9</v>
      </c>
      <c r="D3" s="12">
        <v>1.85</v>
      </c>
      <c r="E3" s="12">
        <v>1.85</v>
      </c>
      <c r="F3" s="12">
        <v>1.85</v>
      </c>
      <c r="G3" s="12">
        <v>1.85</v>
      </c>
      <c r="H3" s="12">
        <v>1.85</v>
      </c>
      <c r="I3" s="12">
        <v>1.85</v>
      </c>
      <c r="J3" s="12">
        <v>1.85</v>
      </c>
      <c r="K3" s="12">
        <v>1.85</v>
      </c>
    </row>
    <row r="4" spans="1:11" x14ac:dyDescent="0.3">
      <c r="A4" t="s">
        <v>54</v>
      </c>
      <c r="B4" s="12">
        <v>1.75</v>
      </c>
      <c r="C4" s="12">
        <v>1.5</v>
      </c>
      <c r="D4" s="12">
        <v>1.25</v>
      </c>
      <c r="E4" s="12">
        <v>1.25</v>
      </c>
      <c r="F4" s="12">
        <v>1.25</v>
      </c>
      <c r="G4" s="12">
        <v>1.25</v>
      </c>
      <c r="H4" s="12">
        <v>1.25</v>
      </c>
      <c r="I4" s="12">
        <v>1.25</v>
      </c>
      <c r="J4" s="12">
        <v>1.25</v>
      </c>
      <c r="K4" s="12">
        <v>1.25</v>
      </c>
    </row>
    <row r="5" spans="1:11" x14ac:dyDescent="0.3">
      <c r="A5" t="s">
        <v>60</v>
      </c>
      <c r="B5" s="12">
        <v>1.9005000000000001</v>
      </c>
      <c r="C5" s="12">
        <v>1.9005000000000001</v>
      </c>
      <c r="D5" s="12">
        <v>1.9005000000000001</v>
      </c>
      <c r="E5" s="12">
        <v>2.6774999999999998</v>
      </c>
      <c r="F5" s="12">
        <v>2.6774999999999998</v>
      </c>
      <c r="G5" s="12">
        <v>2.6774999999999998</v>
      </c>
      <c r="H5" s="12">
        <v>2.6774999999999998</v>
      </c>
      <c r="I5" s="12">
        <v>2.6774999999999998</v>
      </c>
      <c r="J5" s="12">
        <v>2.6774999999999998</v>
      </c>
      <c r="K5" s="12">
        <v>2.6774999999999998</v>
      </c>
    </row>
    <row r="18" spans="1:1" x14ac:dyDescent="0.3">
      <c r="A18" s="13"/>
    </row>
  </sheetData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B22" sqref="B22"/>
    </sheetView>
  </sheetViews>
  <sheetFormatPr defaultRowHeight="14.4" x14ac:dyDescent="0.3"/>
  <cols>
    <col min="1" max="1" width="25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54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3">
      <c r="A3" t="s">
        <v>45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3">
      <c r="B4" s="12"/>
      <c r="C4" s="12"/>
    </row>
    <row r="5" spans="1:11" x14ac:dyDescent="0.3">
      <c r="B5" s="12"/>
      <c r="C5" s="12"/>
    </row>
    <row r="6" spans="1:11" x14ac:dyDescent="0.3">
      <c r="B6" s="12"/>
      <c r="C6" s="12"/>
    </row>
    <row r="7" spans="1:11" x14ac:dyDescent="0.3">
      <c r="B7" s="12"/>
      <c r="C7" s="12"/>
    </row>
    <row r="10" spans="1:11" x14ac:dyDescent="0.3">
      <c r="B10" s="12"/>
      <c r="C10" s="12"/>
    </row>
    <row r="30" spans="2:3" x14ac:dyDescent="0.3">
      <c r="B30" s="12"/>
      <c r="C30" s="12"/>
    </row>
    <row r="31" spans="2:3" x14ac:dyDescent="0.3">
      <c r="B31" s="12"/>
      <c r="C31" s="12"/>
    </row>
    <row r="32" spans="2:3" x14ac:dyDescent="0.3">
      <c r="B32" s="12"/>
      <c r="C32" s="12"/>
    </row>
    <row r="33" spans="2:3" x14ac:dyDescent="0.3">
      <c r="B33" s="12"/>
      <c r="C33" s="12"/>
    </row>
    <row r="34" spans="2:3" x14ac:dyDescent="0.3">
      <c r="B34" s="12"/>
      <c r="C34" s="12"/>
    </row>
    <row r="35" spans="2:3" x14ac:dyDescent="0.3">
      <c r="B35" s="12"/>
      <c r="C35" s="12"/>
    </row>
  </sheetData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B2" sqref="B2:K2"/>
    </sheetView>
  </sheetViews>
  <sheetFormatPr defaultRowHeight="14.4" x14ac:dyDescent="0.3"/>
  <cols>
    <col min="1" max="1" width="13.332031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60</v>
      </c>
      <c r="B2" s="18">
        <v>4.9000000000000004</v>
      </c>
      <c r="C2" s="18">
        <v>4.5</v>
      </c>
      <c r="D2" s="12">
        <v>4.7</v>
      </c>
      <c r="E2" s="12">
        <v>4.5999999999999996</v>
      </c>
      <c r="F2" s="12">
        <v>4.6500000000000004</v>
      </c>
      <c r="G2" s="12">
        <v>4.625</v>
      </c>
      <c r="H2" s="12">
        <v>4.6375000000000002</v>
      </c>
      <c r="I2" s="12">
        <v>4.6312499999999996</v>
      </c>
      <c r="J2" s="12">
        <v>4.6343750000000004</v>
      </c>
      <c r="K2" s="12">
        <v>4.6328125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B2" sqref="B2:K2"/>
    </sheetView>
  </sheetViews>
  <sheetFormatPr defaultRowHeight="14.4" x14ac:dyDescent="0.3"/>
  <cols>
    <col min="1" max="1" width="18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45</v>
      </c>
      <c r="B2">
        <v>1.0625</v>
      </c>
      <c r="C2">
        <v>1.0625</v>
      </c>
      <c r="D2" s="12">
        <v>1.0625</v>
      </c>
      <c r="E2" s="12">
        <v>1.0625</v>
      </c>
      <c r="F2" s="12">
        <v>1.0625</v>
      </c>
      <c r="G2" s="12">
        <v>1.0625</v>
      </c>
      <c r="H2" s="12">
        <v>1.0625</v>
      </c>
      <c r="I2" s="12">
        <v>1.0625</v>
      </c>
      <c r="J2" s="12">
        <v>1.0625</v>
      </c>
      <c r="K2" s="12">
        <v>1.0625</v>
      </c>
    </row>
    <row r="3" spans="1:11" x14ac:dyDescent="0.3">
      <c r="A3" t="s">
        <v>46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2">
        <v>1.0575000000000001</v>
      </c>
      <c r="G3" s="12">
        <v>1.0575000000000001</v>
      </c>
      <c r="H3" s="12">
        <v>1.0575000000000001</v>
      </c>
      <c r="I3" s="12">
        <v>1.0575000000000001</v>
      </c>
      <c r="J3" s="12">
        <v>1.0575000000000001</v>
      </c>
      <c r="K3" s="12">
        <v>1.0575000000000001</v>
      </c>
    </row>
    <row r="4" spans="1:11" x14ac:dyDescent="0.3">
      <c r="A4" t="s">
        <v>51</v>
      </c>
      <c r="B4">
        <v>1.05</v>
      </c>
      <c r="C4">
        <v>1.05</v>
      </c>
      <c r="D4">
        <v>1.05</v>
      </c>
      <c r="E4">
        <v>1.05</v>
      </c>
      <c r="F4" s="12">
        <v>1.05</v>
      </c>
      <c r="G4" s="12">
        <v>1.05</v>
      </c>
      <c r="H4" s="12">
        <v>1.05</v>
      </c>
      <c r="I4" s="12">
        <v>1.05</v>
      </c>
      <c r="J4" s="12">
        <v>1.05</v>
      </c>
      <c r="K4" s="12">
        <v>1.05</v>
      </c>
    </row>
    <row r="5" spans="1:11" x14ac:dyDescent="0.3">
      <c r="A5" t="s">
        <v>54</v>
      </c>
      <c r="B5">
        <v>0.78</v>
      </c>
      <c r="C5">
        <v>0.78</v>
      </c>
      <c r="D5">
        <v>0.78</v>
      </c>
      <c r="E5">
        <v>0.78</v>
      </c>
      <c r="F5" s="12">
        <v>0.83500000000000008</v>
      </c>
      <c r="G5" s="12">
        <v>0.80750000000000011</v>
      </c>
      <c r="H5" s="12">
        <v>0.82125000000000004</v>
      </c>
      <c r="I5" s="12">
        <v>0.81437500000000007</v>
      </c>
      <c r="J5" s="12">
        <v>0.81781250000000005</v>
      </c>
      <c r="K5" s="12">
        <v>0.81609375000000006</v>
      </c>
    </row>
    <row r="6" spans="1:11" x14ac:dyDescent="0.3">
      <c r="A6" s="25" t="s">
        <v>44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3">
      <c r="H8" s="19"/>
    </row>
    <row r="33" spans="1:5" x14ac:dyDescent="0.3">
      <c r="A33" s="15" t="s">
        <v>33</v>
      </c>
      <c r="B33" t="s">
        <v>32</v>
      </c>
      <c r="C33" t="s">
        <v>32</v>
      </c>
      <c r="D33">
        <v>0.85</v>
      </c>
      <c r="E33">
        <v>0.85</v>
      </c>
    </row>
    <row r="34" spans="1:5" x14ac:dyDescent="0.3">
      <c r="A34" s="15" t="s">
        <v>33</v>
      </c>
      <c r="B34" t="s">
        <v>32</v>
      </c>
      <c r="C34" t="s">
        <v>32</v>
      </c>
      <c r="D34">
        <v>1.29</v>
      </c>
      <c r="E34">
        <v>1.29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>
      <selection activeCell="A2" sqref="A2"/>
    </sheetView>
  </sheetViews>
  <sheetFormatPr defaultRowHeight="14.4" x14ac:dyDescent="0.3"/>
  <cols>
    <col min="1" max="1" width="36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46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3">
      <c r="A3" t="s">
        <v>45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5"/>
  <sheetViews>
    <sheetView workbookViewId="0">
      <selection activeCell="A5" sqref="A5"/>
    </sheetView>
  </sheetViews>
  <sheetFormatPr defaultRowHeight="14.4" x14ac:dyDescent="0.3"/>
  <cols>
    <col min="1" max="1" width="14" bestFit="1" customWidth="1"/>
    <col min="2" max="2" width="13.44140625" bestFit="1" customWidth="1"/>
    <col min="3" max="8" width="12.1093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44</v>
      </c>
      <c r="B2" s="12">
        <v>0.09</v>
      </c>
      <c r="C2" s="12">
        <v>0.09</v>
      </c>
      <c r="D2" s="12">
        <v>0.123</v>
      </c>
      <c r="E2" s="12">
        <v>0.13</v>
      </c>
      <c r="F2" s="12">
        <v>0.13800000000000001</v>
      </c>
      <c r="G2" s="12">
        <v>0.14299999999999999</v>
      </c>
      <c r="H2" s="12">
        <v>0.14799999999999999</v>
      </c>
      <c r="I2" s="12">
        <v>0.14549999999999999</v>
      </c>
      <c r="J2" s="12">
        <v>0.14674999999999999</v>
      </c>
      <c r="K2" s="12">
        <v>0.146125</v>
      </c>
    </row>
    <row r="3" spans="1:11" x14ac:dyDescent="0.3">
      <c r="A3" t="s">
        <v>55</v>
      </c>
      <c r="B3" s="12">
        <v>0.11219999999999999</v>
      </c>
      <c r="C3" s="12">
        <v>0.11219999999999999</v>
      </c>
      <c r="D3" s="12">
        <v>0.14250000000000002</v>
      </c>
      <c r="E3" s="12">
        <v>0.14679999999999999</v>
      </c>
      <c r="F3" s="12">
        <v>0.151175</v>
      </c>
      <c r="G3" s="12">
        <v>0.12570000000000001</v>
      </c>
      <c r="H3" s="12">
        <v>0.12939999999999999</v>
      </c>
      <c r="I3" s="12">
        <v>0.12755</v>
      </c>
      <c r="J3" s="12">
        <v>0.12847500000000001</v>
      </c>
      <c r="K3" s="12">
        <v>0.1280125</v>
      </c>
    </row>
    <row r="4" spans="1:11" x14ac:dyDescent="0.3">
      <c r="A4" t="s">
        <v>45</v>
      </c>
      <c r="B4" s="12">
        <v>0.10250000000000001</v>
      </c>
      <c r="C4" s="12">
        <v>0.1075</v>
      </c>
      <c r="D4" s="12">
        <v>0.10500000000000001</v>
      </c>
      <c r="E4" s="12">
        <v>0.10625000000000001</v>
      </c>
      <c r="F4" s="12">
        <v>0.10562500000000001</v>
      </c>
      <c r="G4" s="12">
        <v>0.10593750000000002</v>
      </c>
      <c r="H4" s="12">
        <v>0.10578125000000002</v>
      </c>
      <c r="I4" s="12">
        <v>0.10585937500000002</v>
      </c>
      <c r="J4" s="12">
        <v>0.10582031250000001</v>
      </c>
      <c r="K4" s="12">
        <v>0.10583984375000002</v>
      </c>
    </row>
    <row r="5" spans="1:11" x14ac:dyDescent="0.3">
      <c r="A5" t="s">
        <v>46</v>
      </c>
      <c r="B5" s="18">
        <v>9.9000000000000005E-2</v>
      </c>
      <c r="C5" s="18">
        <v>9.9000000000000005E-2</v>
      </c>
      <c r="D5" s="18">
        <v>9.9000000000000005E-2</v>
      </c>
      <c r="E5" s="12">
        <v>0.12</v>
      </c>
      <c r="F5" s="12">
        <v>0.12</v>
      </c>
      <c r="G5" s="12">
        <v>0.124</v>
      </c>
      <c r="H5" s="12">
        <v>0.13400000000000001</v>
      </c>
      <c r="I5" s="12">
        <v>0.13700000000000001</v>
      </c>
      <c r="J5" s="12">
        <v>0.13550000000000001</v>
      </c>
      <c r="K5" s="12">
        <v>0.13625000000000001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3"/>
  <sheetViews>
    <sheetView workbookViewId="0">
      <selection activeCell="E8" sqref="E8"/>
    </sheetView>
  </sheetViews>
  <sheetFormatPr defaultRowHeight="14.4" x14ac:dyDescent="0.3"/>
  <cols>
    <col min="1" max="1" width="24.1093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44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3">
      <c r="A3" t="s">
        <v>55</v>
      </c>
      <c r="B3">
        <v>0.17499999999999999</v>
      </c>
      <c r="C3">
        <v>0.17499999999999999</v>
      </c>
      <c r="D3">
        <v>0.17499999999999999</v>
      </c>
      <c r="E3">
        <v>0.17499999999999999</v>
      </c>
      <c r="F3">
        <v>0.17499999999999999</v>
      </c>
      <c r="G3">
        <v>0.17499999999999999</v>
      </c>
      <c r="H3">
        <v>0.17499999999999999</v>
      </c>
      <c r="I3">
        <v>0.17499999999999999</v>
      </c>
      <c r="J3">
        <v>0.17499999999999999</v>
      </c>
      <c r="K3">
        <v>0.17499999999999999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5"/>
  <sheetViews>
    <sheetView workbookViewId="0">
      <selection activeCell="A2" sqref="A2:A5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44</v>
      </c>
      <c r="B2" s="12">
        <v>9.5000000000000001E-2</v>
      </c>
      <c r="C2" s="12">
        <v>9.7500000000000003E-2</v>
      </c>
      <c r="D2" s="12">
        <v>9.6250000000000002E-2</v>
      </c>
      <c r="E2" s="12">
        <v>9.6875000000000003E-2</v>
      </c>
      <c r="F2" s="12">
        <v>9.6562499999999996E-2</v>
      </c>
      <c r="G2" s="12">
        <v>9.6718749999999992E-2</v>
      </c>
      <c r="H2" s="12">
        <v>9.6640624999999994E-2</v>
      </c>
      <c r="I2" s="12">
        <v>9.66796875E-2</v>
      </c>
      <c r="J2" s="12">
        <v>9.666015624999999E-2</v>
      </c>
      <c r="K2" s="12">
        <v>9.6669921874999995E-2</v>
      </c>
    </row>
    <row r="3" spans="1:11" x14ac:dyDescent="0.3">
      <c r="A3" t="s">
        <v>45</v>
      </c>
      <c r="B3" s="12">
        <v>0.11800000000000001</v>
      </c>
      <c r="C3" s="12">
        <v>0.11800000000000001</v>
      </c>
      <c r="D3" s="12">
        <v>0.11800000000000001</v>
      </c>
      <c r="E3" s="12">
        <v>0.11800000000000001</v>
      </c>
      <c r="F3" s="12">
        <v>0.11800000000000001</v>
      </c>
      <c r="G3" s="12">
        <v>0.11800000000000001</v>
      </c>
      <c r="H3" s="12">
        <v>0.11800000000000001</v>
      </c>
      <c r="I3" s="12">
        <v>0.11800000000000001</v>
      </c>
      <c r="J3" s="12">
        <v>0.11800000000000001</v>
      </c>
      <c r="K3" s="12">
        <v>0.11800000000000001</v>
      </c>
    </row>
    <row r="4" spans="1:11" x14ac:dyDescent="0.3">
      <c r="A4" t="s">
        <v>55</v>
      </c>
      <c r="B4" s="12">
        <v>6.6000000000000003E-2</v>
      </c>
      <c r="C4" s="12">
        <v>6.6000000000000003E-2</v>
      </c>
      <c r="D4" s="12">
        <v>6.6000000000000003E-2</v>
      </c>
      <c r="E4" s="12">
        <v>6.6000000000000003E-2</v>
      </c>
      <c r="F4" s="12">
        <v>6.6000000000000003E-2</v>
      </c>
      <c r="G4" s="12">
        <v>6.6000000000000003E-2</v>
      </c>
      <c r="H4" s="12">
        <v>6.6000000000000003E-2</v>
      </c>
      <c r="I4" s="12">
        <v>6.6000000000000003E-2</v>
      </c>
      <c r="J4" s="12">
        <v>6.6000000000000003E-2</v>
      </c>
      <c r="K4" s="12">
        <v>6.6000000000000003E-2</v>
      </c>
    </row>
    <row r="5" spans="1:11" x14ac:dyDescent="0.3">
      <c r="A5" t="s">
        <v>46</v>
      </c>
      <c r="B5" s="18">
        <v>2.9000000000000001E-2</v>
      </c>
      <c r="C5">
        <v>2.9000000000000001E-2</v>
      </c>
      <c r="D5">
        <v>2.9499999999999998E-2</v>
      </c>
      <c r="E5">
        <v>6.0000000000000005E-2</v>
      </c>
      <c r="F5">
        <v>6.0000000000000005E-2</v>
      </c>
      <c r="G5">
        <v>6.0000000000000005E-2</v>
      </c>
      <c r="H5">
        <v>6.615E-2</v>
      </c>
      <c r="I5">
        <v>6.615E-2</v>
      </c>
      <c r="J5">
        <v>6.615E-2</v>
      </c>
      <c r="K5">
        <v>0.11249999999999999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2"/>
  <sheetViews>
    <sheetView workbookViewId="0">
      <selection activeCell="A2" sqref="A2:XFD2"/>
    </sheetView>
  </sheetViews>
  <sheetFormatPr defaultRowHeight="14.4" x14ac:dyDescent="0.3"/>
  <cols>
    <col min="1" max="1" width="25.1093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s="25" t="s">
        <v>45</v>
      </c>
      <c r="B2" s="12">
        <v>0.11800000000000001</v>
      </c>
      <c r="C2" s="12">
        <v>0.11800000000000001</v>
      </c>
      <c r="D2" s="12">
        <v>0.11800000000000001</v>
      </c>
      <c r="E2" s="12">
        <v>0.11800000000000001</v>
      </c>
      <c r="F2" s="12">
        <v>0.11800000000000001</v>
      </c>
      <c r="G2" s="12">
        <v>0.11800000000000001</v>
      </c>
      <c r="H2" s="12">
        <v>0.11800000000000001</v>
      </c>
      <c r="I2" s="12">
        <v>0.11800000000000001</v>
      </c>
      <c r="J2" s="12">
        <v>0.11800000000000001</v>
      </c>
      <c r="K2" s="12">
        <v>0.11800000000000001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45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D7" sqref="D7"/>
    </sheetView>
  </sheetViews>
  <sheetFormatPr defaultRowHeight="14.4" x14ac:dyDescent="0.3"/>
  <cols>
    <col min="1" max="1" width="40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49</v>
      </c>
      <c r="B2" s="11">
        <v>0.85</v>
      </c>
      <c r="C2" s="11">
        <v>0.98749999999999993</v>
      </c>
      <c r="D2" s="11">
        <v>0.98749999999999993</v>
      </c>
      <c r="E2" s="11">
        <v>0.98749999999999993</v>
      </c>
      <c r="F2" s="11">
        <v>0.92499999999999993</v>
      </c>
      <c r="G2" s="11">
        <v>0.92499999999999993</v>
      </c>
      <c r="H2" s="11">
        <v>0.92499999999999993</v>
      </c>
      <c r="I2" s="11">
        <v>0.92499999999999993</v>
      </c>
      <c r="J2" s="11">
        <f>AVERAGE(H2:I2)</f>
        <v>0.92499999999999993</v>
      </c>
      <c r="K2" s="11">
        <f t="shared" ref="K2:K4" si="0">AVERAGE(I2:J2)</f>
        <v>0.92499999999999993</v>
      </c>
    </row>
    <row r="3" spans="1:11" x14ac:dyDescent="0.3">
      <c r="A3" s="22" t="s">
        <v>47</v>
      </c>
      <c r="B3" s="23">
        <v>1.9927999999999999</v>
      </c>
      <c r="C3" s="23">
        <v>2.173</v>
      </c>
      <c r="D3" s="23">
        <v>2.173</v>
      </c>
      <c r="E3" s="23">
        <v>2.173</v>
      </c>
      <c r="F3" s="23">
        <v>2.173</v>
      </c>
      <c r="G3" s="23">
        <v>2.173</v>
      </c>
      <c r="H3" s="23">
        <v>2.1732119999999999</v>
      </c>
      <c r="I3" s="23">
        <v>2.1733180000000001</v>
      </c>
      <c r="J3" s="11">
        <f t="shared" ref="J3:J4" si="1">AVERAGE(H3:I3)</f>
        <v>2.1732649999999998</v>
      </c>
      <c r="K3" s="11">
        <f t="shared" si="0"/>
        <v>2.1732914999999999</v>
      </c>
    </row>
    <row r="4" spans="1:11" x14ac:dyDescent="0.3">
      <c r="A4" t="s">
        <v>45</v>
      </c>
      <c r="B4" s="11">
        <v>0.95</v>
      </c>
      <c r="C4" s="11">
        <v>0.9</v>
      </c>
      <c r="D4" s="11">
        <v>0.9</v>
      </c>
      <c r="E4" s="11">
        <v>0.93333333333333324</v>
      </c>
      <c r="F4" s="11">
        <v>0.93333333333333324</v>
      </c>
      <c r="G4" s="11">
        <v>0.96666666666666645</v>
      </c>
      <c r="H4" s="11">
        <v>0.96666666666666645</v>
      </c>
      <c r="I4" s="11">
        <v>1.0033333333333332</v>
      </c>
      <c r="J4" s="11">
        <f t="shared" si="1"/>
        <v>0.98499999999999988</v>
      </c>
      <c r="K4" s="11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G4" sqref="G4"/>
    </sheetView>
  </sheetViews>
  <sheetFormatPr defaultRowHeight="14.4" x14ac:dyDescent="0.3"/>
  <cols>
    <col min="1" max="1" width="35.55468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56</v>
      </c>
      <c r="B2" s="11">
        <v>3.0999999999999996</v>
      </c>
      <c r="C2" s="11">
        <v>3.0999999999999996</v>
      </c>
      <c r="D2" s="11">
        <v>3.0249999999999999</v>
      </c>
      <c r="E2" s="11">
        <v>3.0625</v>
      </c>
      <c r="F2" s="11">
        <v>3.0437500000000002</v>
      </c>
      <c r="G2" s="11">
        <v>3.0531250000000001</v>
      </c>
      <c r="H2" s="11">
        <v>3.0484374999999999</v>
      </c>
      <c r="I2" s="11">
        <v>3.05078125</v>
      </c>
      <c r="J2" s="11">
        <v>3.0496093750000002</v>
      </c>
      <c r="K2" s="11">
        <v>3.0501953125000001</v>
      </c>
    </row>
    <row r="3" spans="1:11" ht="15" customHeight="1" x14ac:dyDescent="0.3">
      <c r="A3" s="22" t="s">
        <v>47</v>
      </c>
      <c r="B3" s="11">
        <v>3.05</v>
      </c>
      <c r="C3" s="11">
        <v>3.05</v>
      </c>
      <c r="D3" s="11">
        <v>2.9</v>
      </c>
      <c r="E3" s="11">
        <f>AVERAGE(C3:D3)</f>
        <v>2.9749999999999996</v>
      </c>
      <c r="F3" s="11">
        <f t="shared" ref="F3:K4" si="0">AVERAGE(D3:E3)</f>
        <v>2.9375</v>
      </c>
      <c r="G3" s="11">
        <f t="shared" si="0"/>
        <v>2.9562499999999998</v>
      </c>
      <c r="H3" s="11">
        <f t="shared" si="0"/>
        <v>2.9468749999999999</v>
      </c>
      <c r="I3" s="11">
        <f t="shared" si="0"/>
        <v>2.9515624999999996</v>
      </c>
      <c r="J3" s="11">
        <f t="shared" si="0"/>
        <v>2.94921875</v>
      </c>
      <c r="K3" s="11">
        <f t="shared" si="0"/>
        <v>2.9503906249999998</v>
      </c>
    </row>
    <row r="4" spans="1:11" x14ac:dyDescent="0.3">
      <c r="A4" t="s">
        <v>45</v>
      </c>
      <c r="B4" s="11">
        <v>2.4500000000000002</v>
      </c>
      <c r="C4" s="11">
        <v>2.4500000000000002</v>
      </c>
      <c r="D4" s="11">
        <v>2.2000000000000002</v>
      </c>
      <c r="E4" s="11">
        <f>AVERAGE(C4:D4)</f>
        <v>2.3250000000000002</v>
      </c>
      <c r="F4" s="11">
        <f t="shared" si="0"/>
        <v>2.2625000000000002</v>
      </c>
      <c r="G4" s="11">
        <f t="shared" si="0"/>
        <v>2.2937500000000002</v>
      </c>
      <c r="H4" s="11">
        <f t="shared" si="0"/>
        <v>2.2781250000000002</v>
      </c>
      <c r="I4" s="11">
        <f t="shared" si="0"/>
        <v>2.2859375000000002</v>
      </c>
      <c r="J4" s="11">
        <f t="shared" si="0"/>
        <v>2.2820312500000002</v>
      </c>
      <c r="K4" s="11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Props1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vaccine-producer list</vt:lpstr>
      <vt:lpstr>vaccine-antigen list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2026-06-18T19:09:55Z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