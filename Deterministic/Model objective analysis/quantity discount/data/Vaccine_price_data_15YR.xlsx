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20" documentId="8_{B3D6EF81-AC6A-4F80-A69A-AADB5AD9D577}" xr6:coauthVersionLast="47" xr6:coauthVersionMax="47" xr10:uidLastSave="{31BD8444-3590-4E85-827E-B03C2F5E02A4}"/>
  <bookViews>
    <workbookView xWindow="-108" yWindow="-108" windowWidth="23256" windowHeight="12456" activeTab="18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9" l="1"/>
  <c r="P3" i="69"/>
  <c r="O4" i="69"/>
  <c r="P4" i="69"/>
  <c r="O2" i="46"/>
  <c r="P2" i="46" s="1"/>
  <c r="O3" i="46"/>
  <c r="P3" i="46" s="1"/>
  <c r="Q3" i="70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<sst xmlns="http://schemas.openxmlformats.org/spreadsheetml/2006/main" count="121" uniqueCount="61">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</sst>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zoomScale="79" zoomScaleNormal="100" workbookViewId="0">
      <selection activeCell="A27" sqref="A27"/>
    </sheetView>
  </sheetViews>
  <sheetFormatPr defaultRowHeight="14.4" x14ac:dyDescent="0.3"/>
  <cols>
    <col min="1" max="1" width="91.109375" customWidth="1"/>
    <col min="2" max="15" width="15.6640625" customWidth="1"/>
    <col min="26" max="26" width="15.33203125" customWidth="1"/>
    <col min="27" max="27" width="10.5546875" bestFit="1" customWidth="1"/>
    <col min="28" max="28" width="16.6640625" bestFit="1" customWidth="1"/>
    <col min="29" max="29" width="16.44140625" bestFit="1" customWidth="1"/>
    <col min="30" max="30" width="10.5546875" bestFit="1" customWidth="1"/>
    <col min="31" max="31" width="13.33203125" bestFit="1" customWidth="1"/>
    <col min="32" max="32" width="4.88671875" bestFit="1" customWidth="1"/>
    <col min="33" max="33" width="14" bestFit="1" customWidth="1"/>
    <col min="34" max="34" width="10.109375" bestFit="1" customWidth="1"/>
    <col min="35" max="35" width="13.6640625" bestFit="1" customWidth="1"/>
    <col min="36" max="36" width="17" bestFit="1" customWidth="1"/>
    <col min="37" max="37" width="7.6640625" bestFit="1" customWidth="1"/>
    <col min="38" max="38" width="7.5546875" bestFit="1" customWidth="1"/>
    <col min="39" max="39" width="17.109375" bestFit="1" customWidth="1"/>
  </cols>
  <sheetData>
    <row r="1" spans="1:17" ht="43.2" x14ac:dyDescent="0.3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60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59</v>
      </c>
      <c r="N1" s="3" t="s">
        <v>22</v>
      </c>
      <c r="O1" s="3" t="s">
        <v>19</v>
      </c>
      <c r="P1" s="24" t="s">
        <v>56</v>
      </c>
    </row>
    <row r="2" spans="1:17" x14ac:dyDescent="0.3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x14ac:dyDescent="0.3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x14ac:dyDescent="0.3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3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x14ac:dyDescent="0.3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3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3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3">
      <c r="A9" s="16" t="s">
        <v>39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3">
      <c r="A10" s="16" t="s">
        <v>42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3">
      <c r="A11" s="16" t="s">
        <v>43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3">
      <c r="A12" s="16" t="s">
        <v>40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3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x14ac:dyDescent="0.3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x14ac:dyDescent="0.3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3">
      <c r="A16" s="16" t="s">
        <v>37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3">
      <c r="A17" s="16" t="s">
        <v>57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3">
      <c r="A18" s="16" t="s">
        <v>58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3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34</v>
      </c>
      <c r="G1" s="3" t="s">
        <v>4</v>
      </c>
      <c r="H1" s="3" t="s">
        <v>3</v>
      </c>
      <c r="I1" s="3" t="s">
        <v>35</v>
      </c>
      <c r="J1" s="3" t="s">
        <v>36</v>
      </c>
      <c r="K1" s="3" t="s">
        <v>29</v>
      </c>
      <c r="L1" s="3" t="s">
        <v>57</v>
      </c>
      <c r="M1" s="3" t="s">
        <v>2</v>
      </c>
    </row>
    <row r="2" spans="1:13" x14ac:dyDescent="0.3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41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40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38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39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16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P25"/>
  <sheetViews>
    <sheetView workbookViewId="0">
      <selection activeCell="B1" sqref="B1:P3"/>
    </sheetView>
  </sheetViews>
  <sheetFormatPr defaultRowHeight="14.4" x14ac:dyDescent="0.3"/>
  <cols>
    <col min="1" max="1" width="33.44140625" bestFit="1" customWidth="1"/>
  </cols>
  <sheetData>
    <row r="1" spans="1:16" x14ac:dyDescent="0.3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  <c r="N1" s="17">
        <v>13</v>
      </c>
      <c r="O1" s="17">
        <v>14</v>
      </c>
      <c r="P1" s="17">
        <v>15</v>
      </c>
    </row>
    <row r="2" spans="1:16" x14ac:dyDescent="0.3">
      <c r="A2" s="17" t="s">
        <v>44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  <c r="L2" s="20">
        <v>0.28000000000000003</v>
      </c>
      <c r="M2" s="20">
        <v>0.28999999999999998</v>
      </c>
      <c r="N2" s="20">
        <v>0.3</v>
      </c>
      <c r="O2" s="20">
        <f t="shared" ref="O2:O3" si="1">AVERAGE(M2:N2)</f>
        <v>0.29499999999999998</v>
      </c>
      <c r="P2" s="20">
        <f t="shared" ref="P2:P3" si="2">AVERAGE(N2:O2)</f>
        <v>0.29749999999999999</v>
      </c>
    </row>
    <row r="3" spans="1:16" x14ac:dyDescent="0.3">
      <c r="A3" s="17" t="s">
        <v>45</v>
      </c>
      <c r="B3" s="20">
        <v>0.39200000000000002</v>
      </c>
      <c r="C3" s="20">
        <v>0.43049999999999999</v>
      </c>
      <c r="D3" s="20">
        <v>0.44</v>
      </c>
      <c r="E3" s="20">
        <f t="shared" ref="E3:K3" si="3">AVERAGE(C3:D3)</f>
        <v>0.43525000000000003</v>
      </c>
      <c r="F3" s="20">
        <f t="shared" si="3"/>
        <v>0.43762500000000004</v>
      </c>
      <c r="G3" s="20">
        <f t="shared" si="3"/>
        <v>0.43643750000000003</v>
      </c>
      <c r="H3" s="20">
        <f t="shared" si="3"/>
        <v>0.43703125000000004</v>
      </c>
      <c r="I3" s="20">
        <f t="shared" si="3"/>
        <v>0.43673437500000001</v>
      </c>
      <c r="J3" s="20">
        <f t="shared" si="3"/>
        <v>0.43688281250000005</v>
      </c>
      <c r="K3" s="20">
        <f t="shared" si="3"/>
        <v>0.43680859375000003</v>
      </c>
      <c r="L3" s="20">
        <v>0.46883333333333299</v>
      </c>
      <c r="M3" s="20">
        <v>0.49283333333333301</v>
      </c>
      <c r="N3" s="20">
        <v>0.51683333333333303</v>
      </c>
      <c r="O3" s="20">
        <f t="shared" si="1"/>
        <v>0.50483333333333302</v>
      </c>
      <c r="P3" s="20">
        <f t="shared" si="2"/>
        <v>0.51083333333333303</v>
      </c>
    </row>
    <row r="6" spans="1:16" x14ac:dyDescent="0.3">
      <c r="B6" s="8"/>
      <c r="C6" s="8"/>
    </row>
    <row r="7" spans="1:16" x14ac:dyDescent="0.3">
      <c r="B7" s="8"/>
      <c r="C7" s="8"/>
    </row>
    <row r="8" spans="1:16" x14ac:dyDescent="0.3">
      <c r="B8" s="7"/>
      <c r="C8" s="7"/>
    </row>
    <row r="9" spans="1:16" x14ac:dyDescent="0.3">
      <c r="C9" s="6"/>
    </row>
    <row r="23" spans="2:2" x14ac:dyDescent="0.3">
      <c r="B23" s="6"/>
    </row>
    <row r="24" spans="2:2" x14ac:dyDescent="0.3">
      <c r="B24" s="9"/>
    </row>
    <row r="25" spans="2:2" x14ac:dyDescent="0.3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P3"/>
  <sheetViews>
    <sheetView workbookViewId="0">
      <selection activeCell="B1" sqref="B1:P3"/>
    </sheetView>
  </sheetViews>
  <sheetFormatPr defaultRowHeight="14.4" x14ac:dyDescent="0.3"/>
  <cols>
    <col min="1" max="1" width="34.109375" bestFit="1" customWidth="1"/>
  </cols>
  <sheetData>
    <row r="1" spans="1:16" x14ac:dyDescent="0.3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  <c r="N1" s="17">
        <v>13</v>
      </c>
      <c r="O1" s="17">
        <v>14</v>
      </c>
      <c r="P1" s="17">
        <v>15</v>
      </c>
    </row>
    <row r="2" spans="1:16" x14ac:dyDescent="0.3">
      <c r="A2" s="17" t="s">
        <v>45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  <c r="L2" s="21">
        <v>0.90652812500000002</v>
      </c>
      <c r="M2" s="21">
        <v>0.91080390624999996</v>
      </c>
      <c r="N2" s="21">
        <v>0.91507968750000002</v>
      </c>
      <c r="O2" s="21">
        <v>0.91935546874999996</v>
      </c>
      <c r="P2" s="21">
        <v>0.92363125000000001</v>
      </c>
    </row>
    <row r="3" spans="1:16" x14ac:dyDescent="0.3">
      <c r="A3" s="17" t="s">
        <v>46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  <c r="L3" s="21">
        <v>0.98012291666666596</v>
      </c>
      <c r="M3" s="21">
        <v>0.997547964015151</v>
      </c>
      <c r="N3" s="21">
        <v>1.0149730113636399</v>
      </c>
      <c r="O3" s="21">
        <v>1.03239805871212</v>
      </c>
      <c r="P3" s="21">
        <v>1.04982310606061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P5"/>
  <sheetViews>
    <sheetView workbookViewId="0">
      <selection activeCell="L4" sqref="L4"/>
    </sheetView>
  </sheetViews>
  <sheetFormatPr defaultRowHeight="14.4" x14ac:dyDescent="0.3"/>
  <cols>
    <col min="1" max="1" width="39.5546875" bestFit="1" customWidth="1"/>
    <col min="4" max="5" width="12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45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  <c r="L2" s="12">
        <v>2.358975</v>
      </c>
      <c r="M2" s="12">
        <v>2.3815414772727301</v>
      </c>
      <c r="N2" s="12">
        <v>2.40410795454545</v>
      </c>
      <c r="O2" s="12">
        <v>2.4266744318181801</v>
      </c>
      <c r="P2" s="12">
        <v>2.4492409090909102</v>
      </c>
    </row>
    <row r="3" spans="1:16" x14ac:dyDescent="0.3">
      <c r="A3" t="s">
        <v>47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  <c r="L3" s="12">
        <v>4.47</v>
      </c>
      <c r="M3" s="12">
        <v>4.47</v>
      </c>
      <c r="N3" s="12">
        <v>4.47</v>
      </c>
      <c r="O3" s="12">
        <v>4.47</v>
      </c>
      <c r="P3" s="12">
        <v>4.47</v>
      </c>
    </row>
    <row r="5" spans="1:16" x14ac:dyDescent="0.3">
      <c r="B5" s="12"/>
      <c r="C5" s="12"/>
      <c r="D5" s="12"/>
      <c r="E5" s="12"/>
      <c r="F5" s="12"/>
      <c r="G5" s="12"/>
      <c r="H5" s="12"/>
      <c r="I5" s="12"/>
      <c r="J5" s="12"/>
      <c r="K5" s="12"/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P4"/>
  <sheetViews>
    <sheetView workbookViewId="0">
      <selection activeCell="B1" sqref="B1:P4"/>
    </sheetView>
  </sheetViews>
  <sheetFormatPr defaultRowHeight="14.4" x14ac:dyDescent="0.3"/>
  <cols>
    <col min="1" max="1" width="38.88671875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s="26" t="s">
        <v>59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  <c r="L2" s="12">
        <v>2.9</v>
      </c>
      <c r="M2" s="12">
        <v>2.9</v>
      </c>
      <c r="N2" s="12">
        <v>2.9</v>
      </c>
      <c r="O2" s="12">
        <v>2.9</v>
      </c>
      <c r="P2" s="12">
        <v>2.9</v>
      </c>
    </row>
    <row r="3" spans="1:16" x14ac:dyDescent="0.3">
      <c r="A3" t="s">
        <v>47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  <c r="L3" s="12">
        <v>5.2960000000000003</v>
      </c>
      <c r="M3" s="12">
        <v>5.3276363636363602</v>
      </c>
      <c r="N3" s="12">
        <v>5.3592727272727299</v>
      </c>
      <c r="O3" s="12">
        <v>5.3909090909090898</v>
      </c>
      <c r="P3" s="12">
        <v>5.4225454545454497</v>
      </c>
    </row>
    <row r="4" spans="1:16" x14ac:dyDescent="0.3">
      <c r="A4" t="s">
        <v>48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  <c r="L4" s="12">
        <v>4.5</v>
      </c>
      <c r="M4" s="12">
        <v>4.5</v>
      </c>
      <c r="N4" s="12">
        <v>4.5</v>
      </c>
      <c r="O4" s="12">
        <v>4.5</v>
      </c>
      <c r="P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P28"/>
  <sheetViews>
    <sheetView workbookViewId="0">
      <selection activeCell="B1" sqref="B1:P9"/>
    </sheetView>
  </sheetViews>
  <sheetFormatPr defaultRowHeight="14.4" x14ac:dyDescent="0.3"/>
  <cols>
    <col min="1" max="1" width="38" bestFit="1" customWidth="1"/>
  </cols>
  <sheetData>
    <row r="1" spans="1:16" x14ac:dyDescent="0.3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</row>
    <row r="2" spans="1:16" x14ac:dyDescent="0.3">
      <c r="A2" t="s">
        <v>49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  <c r="L2" s="11">
        <v>0.15925</v>
      </c>
      <c r="M2" s="11">
        <v>0.15925</v>
      </c>
      <c r="N2" s="11">
        <v>0.15925</v>
      </c>
      <c r="O2" s="11">
        <v>0.15925</v>
      </c>
      <c r="P2" s="11">
        <v>0.15925</v>
      </c>
    </row>
    <row r="3" spans="1:16" x14ac:dyDescent="0.3">
      <c r="A3" t="s">
        <v>44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  <c r="L3" s="11">
        <v>0.13125000000000001</v>
      </c>
      <c r="M3" s="11">
        <v>0.13125000000000001</v>
      </c>
      <c r="N3" s="11">
        <v>0.13125000000000001</v>
      </c>
      <c r="O3" s="11">
        <v>0.13125000000000001</v>
      </c>
      <c r="P3" s="11">
        <v>0.13125000000000001</v>
      </c>
    </row>
    <row r="4" spans="1:16" x14ac:dyDescent="0.3">
      <c r="A4" t="s">
        <v>47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  <c r="L4" s="11">
        <v>0.1575</v>
      </c>
      <c r="M4" s="11">
        <v>0.1575</v>
      </c>
      <c r="N4" s="11">
        <v>0.1575</v>
      </c>
      <c r="O4" s="11">
        <v>0.1575</v>
      </c>
      <c r="P4" s="11">
        <v>0.1575</v>
      </c>
    </row>
    <row r="5" spans="1:16" x14ac:dyDescent="0.3">
      <c r="A5" s="26" t="s">
        <v>59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  <c r="L5" s="11">
        <v>0.12622</v>
      </c>
      <c r="M5" s="11">
        <v>0.12791636363636399</v>
      </c>
      <c r="N5" s="11">
        <v>0.12961272727272699</v>
      </c>
      <c r="O5" s="11">
        <v>0.13130909090909099</v>
      </c>
      <c r="P5" s="11">
        <v>0.13300545454545501</v>
      </c>
    </row>
    <row r="6" spans="1:16" x14ac:dyDescent="0.3">
      <c r="A6" t="s">
        <v>50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  <c r="L6" s="11">
        <v>0.11</v>
      </c>
      <c r="M6" s="11">
        <v>0.11</v>
      </c>
      <c r="N6" s="11">
        <v>0.11</v>
      </c>
      <c r="O6" s="11">
        <v>0.11</v>
      </c>
      <c r="P6" s="11">
        <v>0.11</v>
      </c>
    </row>
    <row r="7" spans="1:16" x14ac:dyDescent="0.3">
      <c r="A7" t="s">
        <v>60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  <c r="L7" s="11">
        <v>0.16500000000000001</v>
      </c>
      <c r="M7" s="11">
        <v>0.16500000000000001</v>
      </c>
      <c r="N7" s="11">
        <v>0.16500000000000001</v>
      </c>
      <c r="O7" s="11">
        <v>0.16500000000000001</v>
      </c>
      <c r="P7" s="11">
        <v>0.16500000000000001</v>
      </c>
    </row>
    <row r="8" spans="1:16" x14ac:dyDescent="0.3">
      <c r="A8" t="s">
        <v>45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  <c r="L8" s="11">
        <v>0.13</v>
      </c>
      <c r="M8" s="11">
        <v>0.13</v>
      </c>
      <c r="N8" s="11">
        <v>0.13</v>
      </c>
      <c r="O8" s="11">
        <v>0.13</v>
      </c>
      <c r="P8" s="11">
        <v>0.13</v>
      </c>
    </row>
    <row r="9" spans="1:16" x14ac:dyDescent="0.3">
      <c r="A9" t="s">
        <v>51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  <c r="L9" s="11">
        <v>0.1225</v>
      </c>
      <c r="M9" s="11">
        <v>0.1225</v>
      </c>
      <c r="N9" s="11">
        <v>0.1225</v>
      </c>
      <c r="O9" s="11">
        <v>0.1225</v>
      </c>
      <c r="P9" s="11">
        <v>0.1225</v>
      </c>
    </row>
    <row r="28" spans="2:3" x14ac:dyDescent="0.3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P18"/>
  <sheetViews>
    <sheetView workbookViewId="0">
      <selection activeCell="B1" sqref="B1:P5"/>
    </sheetView>
  </sheetViews>
  <sheetFormatPr defaultRowHeight="14.4" x14ac:dyDescent="0.3"/>
  <cols>
    <col min="1" max="1" width="16.88671875" bestFit="1" customWidth="1"/>
    <col min="6" max="6" width="12" bestFit="1" customWidth="1"/>
  </cols>
  <sheetData>
    <row r="1" spans="1:16" x14ac:dyDescent="0.3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</row>
    <row r="2" spans="1:16" x14ac:dyDescent="0.3">
      <c r="A2" t="s">
        <v>52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  <c r="L2" s="12">
        <v>1.57483333333333</v>
      </c>
      <c r="M2" s="12">
        <v>1.47587878787879</v>
      </c>
      <c r="N2" s="12">
        <v>1.3769242424242401</v>
      </c>
      <c r="O2" s="12">
        <v>1.2779696969697001</v>
      </c>
      <c r="P2" s="12">
        <v>1.1790151515151499</v>
      </c>
    </row>
    <row r="3" spans="1:16" x14ac:dyDescent="0.3">
      <c r="A3" t="s">
        <v>53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  <c r="L3" s="12">
        <v>1.7233333333333301</v>
      </c>
      <c r="M3" s="14">
        <v>1.68848484848485</v>
      </c>
      <c r="N3" s="12">
        <v>1.65363636363636</v>
      </c>
      <c r="O3" s="12">
        <v>1.61878787878788</v>
      </c>
      <c r="P3" s="12">
        <v>1.58393939393939</v>
      </c>
    </row>
    <row r="4" spans="1:16" x14ac:dyDescent="0.3">
      <c r="A4" t="s">
        <v>54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  <c r="L4" s="12">
        <v>1.11666666666667</v>
      </c>
      <c r="M4" s="12">
        <v>1.07878787878788</v>
      </c>
      <c r="N4" s="12">
        <v>1.0409090909090899</v>
      </c>
      <c r="O4" s="12">
        <v>1.0030303030303001</v>
      </c>
      <c r="P4" s="12">
        <v>0.96515151515151598</v>
      </c>
    </row>
    <row r="5" spans="1:16" x14ac:dyDescent="0.3">
      <c r="A5" t="s">
        <v>60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  <c r="L5" s="12">
        <v>2.9883000000000002</v>
      </c>
      <c r="M5" s="12">
        <v>3.0871909090909102</v>
      </c>
      <c r="N5" s="12">
        <v>3.1860818181818198</v>
      </c>
      <c r="O5" s="12">
        <v>3.2849727272727298</v>
      </c>
      <c r="P5" s="12">
        <v>3.3838636363636398</v>
      </c>
    </row>
    <row r="18" spans="1:1" x14ac:dyDescent="0.3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P35"/>
  <sheetViews>
    <sheetView workbookViewId="0">
      <selection activeCell="B1" sqref="B1:P3"/>
    </sheetView>
  </sheetViews>
  <sheetFormatPr defaultRowHeight="14.4" x14ac:dyDescent="0.3"/>
  <cols>
    <col min="1" max="1" width="25.6640625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54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  <c r="L2">
        <v>0.42499999999999999</v>
      </c>
      <c r="M2">
        <v>0.42499999999999999</v>
      </c>
      <c r="N2">
        <v>0.42499999999999999</v>
      </c>
      <c r="O2">
        <v>0.42499999999999999</v>
      </c>
      <c r="P2">
        <v>0.42499999999999999</v>
      </c>
    </row>
    <row r="3" spans="1:16" x14ac:dyDescent="0.3">
      <c r="A3" t="s">
        <v>45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  <c r="L3">
        <v>0.4325</v>
      </c>
      <c r="M3">
        <v>0.4325</v>
      </c>
      <c r="N3">
        <v>0.4325</v>
      </c>
      <c r="O3">
        <v>0.4325</v>
      </c>
      <c r="P3">
        <v>0.4325</v>
      </c>
    </row>
    <row r="4" spans="1:16" x14ac:dyDescent="0.3">
      <c r="B4" s="12"/>
      <c r="C4" s="12"/>
    </row>
    <row r="5" spans="1:16" x14ac:dyDescent="0.3">
      <c r="B5" s="12"/>
      <c r="C5" s="12"/>
    </row>
    <row r="6" spans="1:16" x14ac:dyDescent="0.3">
      <c r="B6" s="12"/>
      <c r="C6" s="12"/>
    </row>
    <row r="7" spans="1:16" x14ac:dyDescent="0.3">
      <c r="B7" s="12"/>
      <c r="C7" s="12"/>
    </row>
    <row r="10" spans="1:16" x14ac:dyDescent="0.3">
      <c r="B10" s="12"/>
      <c r="C10" s="12"/>
    </row>
    <row r="30" spans="2:3" x14ac:dyDescent="0.3">
      <c r="B30" s="12"/>
      <c r="C30" s="12"/>
    </row>
    <row r="31" spans="2:3" x14ac:dyDescent="0.3">
      <c r="B31" s="12"/>
      <c r="C31" s="12"/>
    </row>
    <row r="32" spans="2:3" x14ac:dyDescent="0.3">
      <c r="B32" s="12"/>
      <c r="C32" s="12"/>
    </row>
    <row r="33" spans="2:3" x14ac:dyDescent="0.3">
      <c r="B33" s="12"/>
      <c r="C33" s="12"/>
    </row>
    <row r="34" spans="2:3" x14ac:dyDescent="0.3">
      <c r="B34" s="12"/>
      <c r="C34" s="12"/>
    </row>
    <row r="35" spans="2:3" x14ac:dyDescent="0.3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P2"/>
  <sheetViews>
    <sheetView workbookViewId="0">
      <selection activeCell="B1" sqref="B1:P2"/>
    </sheetView>
  </sheetViews>
  <sheetFormatPr defaultRowHeight="14.4" x14ac:dyDescent="0.3"/>
  <cols>
    <col min="1" max="1" width="13.33203125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60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  <c r="L2" s="18">
        <v>4.59375</v>
      </c>
      <c r="M2" s="18">
        <v>4.5833238636363598</v>
      </c>
      <c r="N2" s="12">
        <v>4.5728977272727303</v>
      </c>
      <c r="O2" s="12">
        <v>4.56247159090909</v>
      </c>
      <c r="P2" s="12">
        <v>4.5520454545454596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P34"/>
  <sheetViews>
    <sheetView workbookViewId="0">
      <selection activeCell="M13" sqref="M13"/>
    </sheetView>
  </sheetViews>
  <sheetFormatPr defaultRowHeight="14.4" x14ac:dyDescent="0.3"/>
  <cols>
    <col min="1" max="1" width="18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45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  <c r="L2">
        <v>1.0625</v>
      </c>
      <c r="M2">
        <v>1.0625</v>
      </c>
      <c r="N2" s="12">
        <v>1.0625</v>
      </c>
      <c r="O2" s="12">
        <v>1.0625</v>
      </c>
      <c r="P2" s="12">
        <v>1.0625</v>
      </c>
    </row>
    <row r="3" spans="1:16" x14ac:dyDescent="0.3">
      <c r="A3" t="s">
        <v>46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  <c r="L3">
        <v>1.083</v>
      </c>
      <c r="M3">
        <v>1.09041818181818</v>
      </c>
      <c r="N3">
        <v>1.0978363636363599</v>
      </c>
      <c r="O3">
        <v>1.1052545454545499</v>
      </c>
      <c r="P3" s="12">
        <v>1.1126727272727299</v>
      </c>
    </row>
    <row r="4" spans="1:16" x14ac:dyDescent="0.3">
      <c r="A4" t="s">
        <v>51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  <c r="L4">
        <v>1.05</v>
      </c>
      <c r="M4">
        <v>1.05</v>
      </c>
      <c r="N4">
        <v>1.05</v>
      </c>
      <c r="O4">
        <v>1.05</v>
      </c>
      <c r="P4" s="12">
        <v>1.05</v>
      </c>
    </row>
    <row r="5" spans="1:16" x14ac:dyDescent="0.3">
      <c r="A5" t="s">
        <v>54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  <c r="L5">
        <v>0.83179166666666704</v>
      </c>
      <c r="M5">
        <v>0.83698958333333395</v>
      </c>
      <c r="N5">
        <v>0.84218749999999998</v>
      </c>
      <c r="O5">
        <v>0.847385416666667</v>
      </c>
      <c r="P5" s="12">
        <v>0.85258333333333303</v>
      </c>
    </row>
    <row r="6" spans="1:16" x14ac:dyDescent="0.3">
      <c r="A6" s="25" t="s">
        <v>44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8" spans="1:16" x14ac:dyDescent="0.3">
      <c r="H8" s="19"/>
    </row>
    <row r="33" spans="1:5" x14ac:dyDescent="0.3">
      <c r="A33" s="15" t="s">
        <v>33</v>
      </c>
      <c r="B33" t="s">
        <v>32</v>
      </c>
      <c r="C33" t="s">
        <v>32</v>
      </c>
      <c r="D33">
        <v>0.85</v>
      </c>
      <c r="E33">
        <v>0.85</v>
      </c>
    </row>
    <row r="34" spans="1:5" x14ac:dyDescent="0.3">
      <c r="A34" s="15" t="s">
        <v>33</v>
      </c>
      <c r="B34" t="s">
        <v>32</v>
      </c>
      <c r="C34" t="s">
        <v>32</v>
      </c>
      <c r="D34">
        <v>1.29</v>
      </c>
      <c r="E34">
        <v>1.29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P3"/>
  <sheetViews>
    <sheetView workbookViewId="0">
      <selection activeCell="K1" sqref="B1:P3"/>
    </sheetView>
  </sheetViews>
  <sheetFormatPr defaultRowHeight="14.4" x14ac:dyDescent="0.3"/>
  <cols>
    <col min="1" max="1" width="36.6640625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46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  <c r="L2">
        <v>0.189</v>
      </c>
      <c r="M2">
        <v>0.189</v>
      </c>
      <c r="N2">
        <v>0.189</v>
      </c>
      <c r="O2">
        <v>0.189</v>
      </c>
      <c r="P2">
        <v>0.189</v>
      </c>
    </row>
    <row r="3" spans="1:16" x14ac:dyDescent="0.3">
      <c r="A3" t="s">
        <v>45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  <c r="L3">
        <v>0.16500000000000001</v>
      </c>
      <c r="M3">
        <v>0.16500000000000001</v>
      </c>
      <c r="N3">
        <v>0.16500000000000001</v>
      </c>
      <c r="O3">
        <v>0.16500000000000001</v>
      </c>
      <c r="P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P5"/>
  <sheetViews>
    <sheetView workbookViewId="0">
      <selection activeCell="B1" sqref="B1:P5"/>
    </sheetView>
  </sheetViews>
  <sheetFormatPr defaultRowHeight="14.4" x14ac:dyDescent="0.3"/>
  <cols>
    <col min="1" max="1" width="14" bestFit="1" customWidth="1"/>
    <col min="2" max="2" width="13.44140625" bestFit="1" customWidth="1"/>
    <col min="3" max="8" width="12.109375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44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  <c r="L2" s="12">
        <v>0.165833333333333</v>
      </c>
      <c r="M2" s="12">
        <v>0.172341666666667</v>
      </c>
      <c r="N2" s="12">
        <v>0.17885000000000001</v>
      </c>
      <c r="O2" s="12">
        <v>0.18535833333333299</v>
      </c>
      <c r="P2" s="12">
        <v>0.19186666666666699</v>
      </c>
    </row>
    <row r="3" spans="1:16" x14ac:dyDescent="0.3">
      <c r="A3" t="s">
        <v>55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  <c r="L3" s="12">
        <v>0.13386166666666699</v>
      </c>
      <c r="M3" s="12">
        <v>0.134490833333333</v>
      </c>
      <c r="N3" s="12">
        <v>0.13511999999999999</v>
      </c>
      <c r="O3" s="12">
        <v>0.135749166666667</v>
      </c>
      <c r="P3" s="12">
        <v>0.13637833333333299</v>
      </c>
    </row>
    <row r="4" spans="1:16" x14ac:dyDescent="0.3">
      <c r="A4" t="s">
        <v>45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  <c r="L4" s="12">
        <v>0.106328125</v>
      </c>
      <c r="M4" s="12">
        <v>0.106458451704545</v>
      </c>
      <c r="N4" s="12">
        <v>0.10658877840909101</v>
      </c>
      <c r="O4" s="12">
        <v>0.106719105113636</v>
      </c>
      <c r="P4" s="12">
        <v>0.106849431818182</v>
      </c>
    </row>
    <row r="5" spans="1:16" x14ac:dyDescent="0.3">
      <c r="A5" t="s">
        <v>46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  <c r="L5" s="18">
        <v>0.147933333333333</v>
      </c>
      <c r="M5" s="18">
        <v>0.15294393939393899</v>
      </c>
      <c r="N5" s="18">
        <v>0.15795454545454601</v>
      </c>
      <c r="O5" s="12">
        <v>0.16296515151515201</v>
      </c>
      <c r="P5" s="12">
        <v>0.167975757575758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P3"/>
  <sheetViews>
    <sheetView workbookViewId="0">
      <selection activeCell="B1" sqref="B1:P3"/>
    </sheetView>
  </sheetViews>
  <sheetFormatPr defaultRowHeight="14.4" x14ac:dyDescent="0.3"/>
  <cols>
    <col min="1" max="1" width="24.109375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44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  <c r="L2">
        <v>0.16500000000000001</v>
      </c>
      <c r="M2">
        <v>0.16500000000000001</v>
      </c>
      <c r="N2">
        <v>0.16500000000000001</v>
      </c>
      <c r="O2">
        <v>0.16500000000000001</v>
      </c>
      <c r="P2">
        <v>0.16500000000000001</v>
      </c>
    </row>
    <row r="3" spans="1:16" x14ac:dyDescent="0.3">
      <c r="A3" t="s">
        <v>55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  <c r="L3">
        <v>0.17499999999999999</v>
      </c>
      <c r="M3">
        <v>0.17499999999999999</v>
      </c>
      <c r="N3">
        <v>0.17499999999999999</v>
      </c>
      <c r="O3">
        <v>0.17499999999999999</v>
      </c>
      <c r="P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P5"/>
  <sheetViews>
    <sheetView workbookViewId="0">
      <selection activeCell="B1" sqref="B1:P5"/>
    </sheetView>
  </sheetViews>
  <sheetFormatPr defaultRowHeight="14.4" x14ac:dyDescent="0.3"/>
  <cols>
    <col min="1" max="1" width="14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44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  <c r="L2" s="12">
        <v>9.6914062499999995E-2</v>
      </c>
      <c r="M2" s="12">
        <v>9.6979225852272699E-2</v>
      </c>
      <c r="N2" s="12">
        <v>9.70443892045455E-2</v>
      </c>
      <c r="O2" s="12">
        <v>9.7109552556818204E-2</v>
      </c>
      <c r="P2" s="12">
        <v>9.7174715909090895E-2</v>
      </c>
    </row>
    <row r="3" spans="1:16" x14ac:dyDescent="0.3">
      <c r="A3" t="s">
        <v>45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  <c r="L3" s="12">
        <v>0.11799999999999999</v>
      </c>
      <c r="M3" s="12">
        <v>0.11799999999999999</v>
      </c>
      <c r="N3" s="12">
        <v>0.11799999999999999</v>
      </c>
      <c r="O3" s="12">
        <v>0.11799999999999999</v>
      </c>
      <c r="P3" s="12">
        <v>0.11799999999999999</v>
      </c>
    </row>
    <row r="4" spans="1:16" x14ac:dyDescent="0.3">
      <c r="A4" t="s">
        <v>55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  <c r="L4" s="12">
        <v>6.6000000000000003E-2</v>
      </c>
      <c r="M4" s="12">
        <v>6.6000000000000003E-2</v>
      </c>
      <c r="N4" s="12">
        <v>6.6000000000000003E-2</v>
      </c>
      <c r="O4" s="12">
        <v>6.6000000000000003E-2</v>
      </c>
      <c r="P4" s="12">
        <v>6.6000000000000003E-2</v>
      </c>
    </row>
    <row r="5" spans="1:16" x14ac:dyDescent="0.3">
      <c r="A5" t="s">
        <v>46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  <c r="L5" s="18">
        <v>9.8286666666666606E-2</v>
      </c>
      <c r="M5">
        <v>0.10563969696969699</v>
      </c>
      <c r="N5">
        <v>0.11299272727272699</v>
      </c>
      <c r="O5">
        <v>0.12034575757575799</v>
      </c>
      <c r="P5">
        <v>0.12769878787878799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P2"/>
  <sheetViews>
    <sheetView workbookViewId="0">
      <selection activeCell="B1" sqref="B1:P2"/>
    </sheetView>
  </sheetViews>
  <sheetFormatPr defaultRowHeight="14.4" x14ac:dyDescent="0.3"/>
  <cols>
    <col min="1" max="1" width="25.109375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s="25" t="s">
        <v>45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  <c r="L2" s="12">
        <v>0.11799999999999999</v>
      </c>
      <c r="M2" s="12">
        <v>0.11799999999999999</v>
      </c>
      <c r="N2" s="12">
        <v>0.11799999999999999</v>
      </c>
      <c r="O2" s="12">
        <v>0.11799999999999999</v>
      </c>
      <c r="P2" s="12">
        <v>0.11799999999999999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P2"/>
  <sheetViews>
    <sheetView workbookViewId="0">
      <selection activeCell="B1" sqref="B1:P2"/>
    </sheetView>
  </sheetViews>
  <sheetFormatPr defaultRowHeight="14.4" x14ac:dyDescent="0.3"/>
  <cols>
    <col min="1" max="1" width="14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45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  <c r="L2">
        <v>0.19</v>
      </c>
      <c r="M2">
        <v>0.19</v>
      </c>
      <c r="N2">
        <v>0.19</v>
      </c>
      <c r="O2">
        <v>0.19</v>
      </c>
      <c r="P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P4"/>
  <sheetViews>
    <sheetView workbookViewId="0">
      <selection activeCell="B1" sqref="B1:P4"/>
    </sheetView>
  </sheetViews>
  <sheetFormatPr defaultRowHeight="14.4" x14ac:dyDescent="0.3"/>
  <cols>
    <col min="1" max="1" width="40.6640625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49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  <c r="L2" s="11">
        <v>0.93705357142857104</v>
      </c>
      <c r="M2" s="11">
        <v>0.93660714285714297</v>
      </c>
      <c r="N2" s="11">
        <v>0.93616071428571401</v>
      </c>
      <c r="O2" s="11">
        <v>0.93571428571428505</v>
      </c>
      <c r="P2" s="11">
        <v>0.93526785714285698</v>
      </c>
    </row>
    <row r="3" spans="1:16" x14ac:dyDescent="0.3">
      <c r="A3" s="22" t="s">
        <v>47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  <c r="L3" s="23">
        <v>2.2182922857142899</v>
      </c>
      <c r="M3" s="23">
        <v>2.2333480714285701</v>
      </c>
      <c r="N3" s="23">
        <v>2.24840385714286</v>
      </c>
      <c r="O3" s="23">
        <v>2.2634596428571401</v>
      </c>
      <c r="P3" s="23">
        <v>2.27851542857143</v>
      </c>
    </row>
    <row r="4" spans="1:16" x14ac:dyDescent="0.3">
      <c r="A4" t="s">
        <v>45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  <c r="L4" s="11">
        <v>0.99273809523809498</v>
      </c>
      <c r="M4" s="11">
        <v>1.0035317460317501</v>
      </c>
      <c r="N4" s="11">
        <v>1.0143253968254</v>
      </c>
      <c r="O4" s="11">
        <v>1.0251190476190499</v>
      </c>
      <c r="P4" s="11">
        <v>1.0359126984127001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P4"/>
  <sheetViews>
    <sheetView tabSelected="1" workbookViewId="0">
      <selection activeCell="B1" sqref="B1:P4"/>
    </sheetView>
  </sheetViews>
  <sheetFormatPr defaultRowHeight="14.4" x14ac:dyDescent="0.3"/>
  <cols>
    <col min="1" max="1" width="35.5546875" bestFit="1" customWidth="1"/>
  </cols>
  <sheetData>
    <row r="1" spans="1:16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56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  <c r="L2" s="11">
        <v>3.0348437499999998</v>
      </c>
      <c r="M2" s="11">
        <v>3.0305717329545501</v>
      </c>
      <c r="N2" s="11">
        <v>3.0262997159090901</v>
      </c>
      <c r="O2" s="11">
        <v>3.0220276988636399</v>
      </c>
      <c r="P2" s="11">
        <v>3.0177556818181799</v>
      </c>
    </row>
    <row r="3" spans="1:16" ht="15" customHeight="1" x14ac:dyDescent="0.3">
      <c r="A3" s="22" t="s">
        <v>47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  <c r="L3" s="11">
        <v>2.85</v>
      </c>
      <c r="M3" s="11">
        <v>2.7749999999999999</v>
      </c>
      <c r="N3" s="11">
        <v>2.7</v>
      </c>
      <c r="O3" s="11">
        <f>AVERAGE(M3:N3)</f>
        <v>2.7374999999999998</v>
      </c>
      <c r="P3" s="11">
        <f t="shared" ref="P3:P4" si="1">AVERAGE(N3:O3)</f>
        <v>2.71875</v>
      </c>
    </row>
    <row r="4" spans="1:16" x14ac:dyDescent="0.3">
      <c r="A4" t="s">
        <v>45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  <c r="L4" s="11">
        <v>2.1166666666666698</v>
      </c>
      <c r="M4" s="11">
        <v>1.99166666666667</v>
      </c>
      <c r="N4" s="11">
        <v>1.86666666666667</v>
      </c>
      <c r="O4" s="11">
        <f>AVERAGE(M4:N4)</f>
        <v>1.92916666666667</v>
      </c>
      <c r="P4" s="11">
        <f t="shared" si="1"/>
        <v>1.89791666666667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2025-12-01T21:56:20Z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