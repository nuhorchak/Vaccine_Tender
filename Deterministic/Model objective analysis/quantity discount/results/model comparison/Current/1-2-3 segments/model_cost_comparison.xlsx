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objective analysis/quantity discount/results/model comparison/1-2-3 segments/"/>
    </mc:Choice>
  </mc:AlternateContent>
  <xr:revisionPtr revIDLastSave="16" documentId="115_{D93FB1BD-7625-4176-8EA2-01907525AACF}" xr6:coauthVersionLast="47" xr6:coauthVersionMax="47" xr10:uidLastSave="{53F4D7EB-B101-4ABA-843F-A1D32F4E378C}"/>
  <bookViews>
    <workbookView xWindow="-108" yWindow="-108" windowWidth="23256" windowHeight="12456" activeTab="4" xr2:uid="{52D9C27D-0EF6-DD41-9728-0267E68F7539}"/>
  </bookViews>
  <sheets>
    <sheet name="Sheet1" sheetId="1" r:id="rId1"/>
    <sheet name="UG-1" sheetId="2" r:id="rId2"/>
    <sheet name="UG-2" sheetId="3" r:id="rId3"/>
    <sheet name="UG-3" sheetId="4" r:id="rId4"/>
    <sheet name="Summary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C8" i="5"/>
  <c r="D8" i="5"/>
  <c r="E8" i="5"/>
  <c r="F8" i="5"/>
  <c r="B8" i="5"/>
</calcChain>
</file>

<file path=xl/sharedStrings.xml><?xml version="1.0" encoding="utf-8"?>
<sst xmlns="http://schemas.openxmlformats.org/spreadsheetml/2006/main" count="127" uniqueCount="45">
  <si>
    <t>Trial</t>
  </si>
  <si>
    <t>Coordinating Entity Costs</t>
  </si>
  <si>
    <t>Production Costs</t>
  </si>
  <si>
    <t>Holding Costs</t>
  </si>
  <si>
    <t>Missed Doses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</si>
  <si>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</si>
  <si>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</si>
  <si>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</si>
  <si>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</si>
  <si>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</si>
  <si>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</si>
  <si>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</si>
  <si>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</si>
  <si>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</si>
  <si>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</si>
  <si>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</si>
  <si>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</si>
  <si>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</si>
  <si>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</si>
  <si>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</si>
  <si>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</si>
  <si>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</si>
  <si>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</si>
  <si>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</si>
  <si>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</si>
  <si>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</si>
  <si>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2</t>
  </si>
  <si>
    <t>30</t>
  </si>
  <si>
    <t>3</t>
  </si>
  <si>
    <t>4</t>
  </si>
  <si>
    <t>5</t>
  </si>
  <si>
    <t>6</t>
  </si>
  <si>
    <t>7</t>
  </si>
  <si>
    <t>8</t>
  </si>
  <si>
    <t>9</t>
  </si>
  <si>
    <t>Mean</t>
  </si>
  <si>
    <t>Std Dev</t>
  </si>
  <si>
    <t>Cost Component</t>
  </si>
  <si>
    <t>UG-1 Mean</t>
  </si>
  <si>
    <t>UG-1 Std Dev</t>
  </si>
  <si>
    <t>UG-2 Mean</t>
  </si>
  <si>
    <t>UG-2 Std Dev</t>
  </si>
  <si>
    <t>UG-3 Mean</t>
  </si>
  <si>
    <t>UG-3 Std Dev</t>
  </si>
  <si>
    <t>% Deviation from 1 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</si>
</sst>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408F-151E-4C2A-9302-445CD0AAD684}">
  <dimension ref="A1"/>
  <sheetViews>
    <sheetView workbookViewId="0"/>
  </sheetViews>
  <sheetFormatPr defaultColWidth="11.19921875" defaultRowHeight="15.6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EECE-B5AF-4FEC-BE42-ED4454FF6293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10816432.724819219</v>
      </c>
      <c r="C2">
        <v>10274998.965793986</v>
      </c>
      <c r="D2">
        <v>413385.90634081623</v>
      </c>
      <c r="E2">
        <v>2302530.30186</v>
      </c>
    </row>
    <row r="3" spans="1:5" x14ac:dyDescent="0.3">
      <c r="A3" t="s">
        <v>6</v>
      </c>
      <c r="B3">
        <v>9630152.6360551547</v>
      </c>
      <c r="C3">
        <v>11484469.569394138</v>
      </c>
      <c r="D3">
        <v>449096.57121195068</v>
      </c>
      <c r="E3">
        <v>2146190.3259299998</v>
      </c>
    </row>
    <row r="4" spans="1:5" x14ac:dyDescent="0.3">
      <c r="A4" t="s">
        <v>7</v>
      </c>
      <c r="B4">
        <v>9704265.5561442114</v>
      </c>
      <c r="C4">
        <v>10317237.21042883</v>
      </c>
      <c r="D4">
        <v>436320.23210520437</v>
      </c>
      <c r="E4">
        <v>2860750.9118599999</v>
      </c>
    </row>
    <row r="5" spans="1:5" x14ac:dyDescent="0.3">
      <c r="A5" t="s">
        <v>8</v>
      </c>
      <c r="B5">
        <v>10142399.870799752</v>
      </c>
      <c r="C5">
        <v>10938738.406891137</v>
      </c>
      <c r="D5">
        <v>425833.70590980537</v>
      </c>
      <c r="E5">
        <v>1671748.3759300001</v>
      </c>
    </row>
    <row r="6" spans="1:5" x14ac:dyDescent="0.3">
      <c r="A6" t="s">
        <v>9</v>
      </c>
      <c r="B6">
        <v>9060430.73158307</v>
      </c>
      <c r="C6">
        <v>10709364.823537828</v>
      </c>
      <c r="D6">
        <v>407719.29022458417</v>
      </c>
      <c r="E6">
        <v>2805443.1518600001</v>
      </c>
    </row>
    <row r="7" spans="1:5" x14ac:dyDescent="0.3">
      <c r="A7" t="s">
        <v>10</v>
      </c>
      <c r="B7">
        <v>13112486.838032875</v>
      </c>
      <c r="C7">
        <v>11157907.410631804</v>
      </c>
      <c r="D7">
        <v>459415.59532468556</v>
      </c>
      <c r="E7">
        <v>1876345.27186</v>
      </c>
    </row>
    <row r="8" spans="1:5" x14ac:dyDescent="0.3">
      <c r="A8" t="s">
        <v>11</v>
      </c>
      <c r="B8">
        <v>8822978.9170725346</v>
      </c>
      <c r="C8">
        <v>10691755.838643556</v>
      </c>
      <c r="D8">
        <v>462510.57461848902</v>
      </c>
      <c r="E8">
        <v>1893766.5959299998</v>
      </c>
    </row>
    <row r="9" spans="1:5" x14ac:dyDescent="0.3">
      <c r="A9" t="s">
        <v>12</v>
      </c>
      <c r="B9">
        <v>8381126.2935219388</v>
      </c>
      <c r="C9">
        <v>10387307.466408944</v>
      </c>
      <c r="D9">
        <v>448401.10853302444</v>
      </c>
      <c r="E9">
        <v>2564853.6559299999</v>
      </c>
    </row>
    <row r="10" spans="1:5" x14ac:dyDescent="0.3">
      <c r="A10" t="s">
        <v>13</v>
      </c>
      <c r="B10">
        <v>11509982.680865981</v>
      </c>
      <c r="C10">
        <v>11194113.153385356</v>
      </c>
      <c r="D10">
        <v>447119.99242936546</v>
      </c>
      <c r="E10">
        <v>2377612.6518599992</v>
      </c>
    </row>
    <row r="11" spans="1:5" x14ac:dyDescent="0.3">
      <c r="A11" t="s">
        <v>14</v>
      </c>
      <c r="B11">
        <v>10863189.068412283</v>
      </c>
      <c r="C11">
        <v>10320480.213911947</v>
      </c>
      <c r="D11">
        <v>399852.64848592022</v>
      </c>
      <c r="E11">
        <v>2033222.7221900001</v>
      </c>
    </row>
    <row r="12" spans="1:5" x14ac:dyDescent="0.3">
      <c r="A12" t="s">
        <v>15</v>
      </c>
      <c r="B12">
        <v>9556419.51551806</v>
      </c>
      <c r="C12">
        <v>9721097.9982514977</v>
      </c>
      <c r="D12">
        <v>452102.09787060972</v>
      </c>
      <c r="E12">
        <v>2386852.1418599999</v>
      </c>
    </row>
    <row r="13" spans="1:5" x14ac:dyDescent="0.3">
      <c r="A13" t="s">
        <v>16</v>
      </c>
      <c r="B13">
        <v>10374054.418384494</v>
      </c>
      <c r="C13">
        <v>10161587.53880083</v>
      </c>
      <c r="D13">
        <v>455558.97099687695</v>
      </c>
      <c r="E13">
        <v>1440318.5959299998</v>
      </c>
    </row>
    <row r="14" spans="1:5" x14ac:dyDescent="0.3">
      <c r="A14" t="s">
        <v>17</v>
      </c>
      <c r="B14">
        <v>10460613.917268092</v>
      </c>
      <c r="C14">
        <v>10793446.636344058</v>
      </c>
      <c r="D14">
        <v>438370.27835054114</v>
      </c>
      <c r="E14">
        <v>2211950.9859299995</v>
      </c>
    </row>
    <row r="15" spans="1:5" x14ac:dyDescent="0.3">
      <c r="A15" t="s">
        <v>18</v>
      </c>
      <c r="B15">
        <v>10882173.548032559</v>
      </c>
      <c r="C15">
        <v>10920552.813136391</v>
      </c>
      <c r="D15">
        <v>485807.03105373215</v>
      </c>
      <c r="E15">
        <v>1909131.8718600001</v>
      </c>
    </row>
    <row r="16" spans="1:5" x14ac:dyDescent="0.3">
      <c r="A16" t="s">
        <v>19</v>
      </c>
      <c r="B16">
        <v>9489793.9127338771</v>
      </c>
      <c r="C16">
        <v>11680588.474040287</v>
      </c>
      <c r="D16">
        <v>424476.49420495797</v>
      </c>
      <c r="E16">
        <v>1465219.8359300003</v>
      </c>
    </row>
    <row r="17" spans="1:5" x14ac:dyDescent="0.3">
      <c r="A17" t="s">
        <v>20</v>
      </c>
      <c r="B17">
        <v>11494882.512008946</v>
      </c>
      <c r="C17">
        <v>11036043.723237803</v>
      </c>
      <c r="D17">
        <v>433301.81079777569</v>
      </c>
      <c r="E17">
        <v>2140920.2659299998</v>
      </c>
    </row>
    <row r="18" spans="1:5" x14ac:dyDescent="0.3">
      <c r="A18" t="s">
        <v>21</v>
      </c>
      <c r="B18">
        <v>10076102.508236494</v>
      </c>
      <c r="C18">
        <v>10546282.930368863</v>
      </c>
      <c r="D18">
        <v>477073.23095430952</v>
      </c>
      <c r="E18">
        <v>2005195.57593</v>
      </c>
    </row>
    <row r="19" spans="1:5" x14ac:dyDescent="0.3">
      <c r="A19" t="s">
        <v>22</v>
      </c>
      <c r="B19">
        <v>10602545.052670099</v>
      </c>
      <c r="C19">
        <v>10155388.105681498</v>
      </c>
      <c r="D19">
        <v>479095.2190915097</v>
      </c>
      <c r="E19">
        <v>1314355.8199999998</v>
      </c>
    </row>
    <row r="20" spans="1:5" x14ac:dyDescent="0.3">
      <c r="A20" t="s">
        <v>23</v>
      </c>
      <c r="B20">
        <v>11062697.185580399</v>
      </c>
      <c r="C20">
        <v>9673427.2478217278</v>
      </c>
      <c r="D20">
        <v>417007.4292472158</v>
      </c>
      <c r="E20">
        <v>1358067.4459299997</v>
      </c>
    </row>
    <row r="21" spans="1:5" x14ac:dyDescent="0.3">
      <c r="A21" t="s">
        <v>24</v>
      </c>
      <c r="B21">
        <v>9590721.3148705345</v>
      </c>
      <c r="C21">
        <v>11290968.882006377</v>
      </c>
      <c r="D21">
        <v>405137.39289178903</v>
      </c>
      <c r="E21">
        <v>1765015.8059299998</v>
      </c>
    </row>
    <row r="22" spans="1:5" x14ac:dyDescent="0.3">
      <c r="A22" t="s">
        <v>25</v>
      </c>
      <c r="B22">
        <v>10438373.357748598</v>
      </c>
      <c r="C22">
        <v>10601382.91277248</v>
      </c>
      <c r="D22">
        <v>473991.64946152817</v>
      </c>
      <c r="E22">
        <v>2717663.4918600004</v>
      </c>
    </row>
    <row r="23" spans="1:5" x14ac:dyDescent="0.3">
      <c r="A23" t="s">
        <v>26</v>
      </c>
      <c r="B23">
        <v>9949690.8266551122</v>
      </c>
      <c r="C23">
        <v>9935903.0535600055</v>
      </c>
      <c r="D23">
        <v>458532.92396906589</v>
      </c>
      <c r="E23">
        <v>2158375.9818600002</v>
      </c>
    </row>
    <row r="24" spans="1:5" x14ac:dyDescent="0.3">
      <c r="A24" t="s">
        <v>27</v>
      </c>
      <c r="B24">
        <v>9797796.6169006471</v>
      </c>
      <c r="C24">
        <v>9686353.4522604588</v>
      </c>
      <c r="D24">
        <v>433855.86436396063</v>
      </c>
      <c r="E24">
        <v>1566282.8559299998</v>
      </c>
    </row>
    <row r="25" spans="1:5" x14ac:dyDescent="0.3">
      <c r="A25" t="s">
        <v>28</v>
      </c>
      <c r="B25">
        <v>11262771.366424741</v>
      </c>
      <c r="C25">
        <v>10190524.240698807</v>
      </c>
      <c r="D25">
        <v>392143.1248538635</v>
      </c>
      <c r="E25">
        <v>2234475.2218599999</v>
      </c>
    </row>
    <row r="26" spans="1:5" x14ac:dyDescent="0.3">
      <c r="A26" t="s">
        <v>29</v>
      </c>
      <c r="B26">
        <v>9621391.9544140399</v>
      </c>
      <c r="C26">
        <v>9905070.2633083537</v>
      </c>
      <c r="D26">
        <v>444980.22565250745</v>
      </c>
      <c r="E26">
        <v>1803646.0059299995</v>
      </c>
    </row>
    <row r="27" spans="1:5" x14ac:dyDescent="0.3">
      <c r="A27" t="s">
        <v>30</v>
      </c>
      <c r="B27">
        <v>9855332.0603533592</v>
      </c>
      <c r="C27">
        <v>9819824.4407532904</v>
      </c>
      <c r="D27">
        <v>449012.09243094979</v>
      </c>
      <c r="E27">
        <v>2380161.1859300006</v>
      </c>
    </row>
    <row r="28" spans="1:5" x14ac:dyDescent="0.3">
      <c r="A28" t="s">
        <v>31</v>
      </c>
      <c r="B28">
        <v>10077344.940120172</v>
      </c>
      <c r="C28">
        <v>10826029.665312218</v>
      </c>
      <c r="D28">
        <v>443427.50911986508</v>
      </c>
      <c r="E28">
        <v>1951990.0359299998</v>
      </c>
    </row>
    <row r="29" spans="1:5" x14ac:dyDescent="0.3">
      <c r="A29" t="s">
        <v>32</v>
      </c>
      <c r="B29">
        <v>10272959.859170962</v>
      </c>
      <c r="C29">
        <v>11518567.821798</v>
      </c>
      <c r="D29">
        <v>396800.6090943116</v>
      </c>
      <c r="E29">
        <v>2644597.3959300006</v>
      </c>
    </row>
    <row r="30" spans="1:5" x14ac:dyDescent="0.3">
      <c r="A30" t="s">
        <v>33</v>
      </c>
      <c r="B30">
        <v>9815672.9745825417</v>
      </c>
      <c r="C30">
        <v>11198857.280058248</v>
      </c>
      <c r="D30">
        <v>443116.529267832</v>
      </c>
      <c r="E30">
        <v>1544167.22593</v>
      </c>
    </row>
    <row r="31" spans="1:5" x14ac:dyDescent="0.3">
      <c r="A31" t="s">
        <v>34</v>
      </c>
      <c r="B31">
        <v>9783466.8330499679</v>
      </c>
      <c r="C31">
        <v>10271416.808904398</v>
      </c>
      <c r="D31">
        <v>482571.23832542432</v>
      </c>
      <c r="E31">
        <v>1841879.2459300002</v>
      </c>
    </row>
    <row r="32" spans="1:5" x14ac:dyDescent="0.3">
      <c r="A32" t="s">
        <v>35</v>
      </c>
      <c r="B32">
        <v>10216941.666401025</v>
      </c>
      <c r="C32">
        <v>10580322.911604773</v>
      </c>
      <c r="D32">
        <v>441200.57823941577</v>
      </c>
      <c r="E32">
        <v>2045757.6985843328</v>
      </c>
    </row>
    <row r="33" spans="1:5" x14ac:dyDescent="0.3">
      <c r="A33" t="s">
        <v>36</v>
      </c>
      <c r="B33">
        <v>923717.47646735772</v>
      </c>
      <c r="C33">
        <v>580566.68666645337</v>
      </c>
      <c r="D33">
        <v>26047.713287028451</v>
      </c>
      <c r="E33">
        <v>432037.55853789748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18D79-D97A-4908-8F15-01C6341B6E1C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23571246.451329079</v>
      </c>
      <c r="C2">
        <v>12065505.744136795</v>
      </c>
      <c r="D2">
        <v>414957.32994096505</v>
      </c>
      <c r="E2">
        <v>3740406.4618600002</v>
      </c>
    </row>
    <row r="3" spans="1:5" x14ac:dyDescent="0.3">
      <c r="A3" t="s">
        <v>6</v>
      </c>
      <c r="B3">
        <v>24422430.80400667</v>
      </c>
      <c r="C3">
        <v>11951181.349934634</v>
      </c>
      <c r="D3">
        <v>453501.02592841204</v>
      </c>
      <c r="E3">
        <v>2925329.7518600002</v>
      </c>
    </row>
    <row r="4" spans="1:5" x14ac:dyDescent="0.3">
      <c r="A4" t="s">
        <v>7</v>
      </c>
      <c r="B4">
        <v>24109363.242270183</v>
      </c>
      <c r="C4">
        <v>11543559.844629791</v>
      </c>
      <c r="D4">
        <v>433489.59865845292</v>
      </c>
      <c r="E4">
        <v>3911364.82186</v>
      </c>
    </row>
    <row r="5" spans="1:5" x14ac:dyDescent="0.3">
      <c r="A5" t="s">
        <v>8</v>
      </c>
      <c r="B5">
        <v>24903275.123323128</v>
      </c>
      <c r="C5">
        <v>12054181.349934634</v>
      </c>
      <c r="D5">
        <v>434592.19147144997</v>
      </c>
      <c r="E5">
        <v>2560717.4818599997</v>
      </c>
    </row>
    <row r="6" spans="1:5" x14ac:dyDescent="0.3">
      <c r="A6" t="s">
        <v>9</v>
      </c>
      <c r="B6">
        <v>22245732.253227875</v>
      </c>
      <c r="C6">
        <v>11348597.620012701</v>
      </c>
      <c r="D6">
        <v>409752.82462150435</v>
      </c>
      <c r="E6">
        <v>3937777.1518600001</v>
      </c>
    </row>
    <row r="7" spans="1:5" x14ac:dyDescent="0.3">
      <c r="A7" t="s">
        <v>10</v>
      </c>
      <c r="B7">
        <v>25600450.220723771</v>
      </c>
      <c r="C7">
        <v>12188904.051964333</v>
      </c>
      <c r="D7">
        <v>434934.45291819808</v>
      </c>
      <c r="E7">
        <v>3636892.6862699995</v>
      </c>
    </row>
    <row r="8" spans="1:5" x14ac:dyDescent="0.3">
      <c r="A8" t="s">
        <v>11</v>
      </c>
      <c r="B8">
        <v>23856754.764354236</v>
      </c>
      <c r="C8">
        <v>11181348.228449605</v>
      </c>
      <c r="D8">
        <v>464366.09446381772</v>
      </c>
      <c r="E8">
        <v>2874320.5418599998</v>
      </c>
    </row>
    <row r="9" spans="1:5" x14ac:dyDescent="0.3">
      <c r="A9" t="s">
        <v>12</v>
      </c>
      <c r="B9">
        <v>22761898.642251115</v>
      </c>
      <c r="C9">
        <v>11140378.665320827</v>
      </c>
      <c r="D9">
        <v>449741.75881918438</v>
      </c>
      <c r="E9">
        <v>3394808.8018599995</v>
      </c>
    </row>
    <row r="10" spans="1:5" x14ac:dyDescent="0.3">
      <c r="A10" t="s">
        <v>13</v>
      </c>
      <c r="B10">
        <v>26113987.843844831</v>
      </c>
      <c r="C10">
        <v>12274660.969923936</v>
      </c>
      <c r="D10">
        <v>459708.36615043163</v>
      </c>
      <c r="E10">
        <v>3916220.2962699994</v>
      </c>
    </row>
    <row r="11" spans="1:5" x14ac:dyDescent="0.3">
      <c r="A11" t="s">
        <v>14</v>
      </c>
      <c r="B11">
        <v>25592122.616609707</v>
      </c>
      <c r="C11">
        <v>12192276.953455852</v>
      </c>
      <c r="D11">
        <v>404614.99781530612</v>
      </c>
      <c r="E11">
        <v>2974773.3218599996</v>
      </c>
    </row>
    <row r="12" spans="1:5" x14ac:dyDescent="0.3">
      <c r="A12" t="s">
        <v>15</v>
      </c>
      <c r="B12">
        <v>24383550.392277781</v>
      </c>
      <c r="C12">
        <v>11804522.18422617</v>
      </c>
      <c r="D12">
        <v>455834.01564190141</v>
      </c>
      <c r="E12">
        <v>3544469.5418600002</v>
      </c>
    </row>
    <row r="13" spans="1:5" x14ac:dyDescent="0.3">
      <c r="A13" t="s">
        <v>16</v>
      </c>
      <c r="B13">
        <v>24987167.683550473</v>
      </c>
      <c r="C13">
        <v>12073300.231122211</v>
      </c>
      <c r="D13">
        <v>458368.24465289904</v>
      </c>
      <c r="E13">
        <v>2458471.2318600002</v>
      </c>
    </row>
    <row r="14" spans="1:5" x14ac:dyDescent="0.3">
      <c r="A14" t="s">
        <v>17</v>
      </c>
      <c r="B14">
        <v>25953791.32189839</v>
      </c>
      <c r="C14">
        <v>12449664.148592671</v>
      </c>
      <c r="D14">
        <v>443953.52648954926</v>
      </c>
      <c r="E14">
        <v>3272430.0418599998</v>
      </c>
    </row>
    <row r="15" spans="1:5" x14ac:dyDescent="0.3">
      <c r="A15" t="s">
        <v>18</v>
      </c>
      <c r="B15">
        <v>24699963.265828919</v>
      </c>
      <c r="C15">
        <v>12188348.289913833</v>
      </c>
      <c r="D15">
        <v>487031.44635407772</v>
      </c>
      <c r="E15">
        <v>2862053.3618599996</v>
      </c>
    </row>
    <row r="16" spans="1:5" x14ac:dyDescent="0.3">
      <c r="A16" t="s">
        <v>19</v>
      </c>
      <c r="B16">
        <v>25002398.812072083</v>
      </c>
      <c r="C16">
        <v>11797054.225294568</v>
      </c>
      <c r="D16">
        <v>433923.91027894983</v>
      </c>
      <c r="E16">
        <v>2149060.81593</v>
      </c>
    </row>
    <row r="17" spans="1:5" x14ac:dyDescent="0.3">
      <c r="A17" t="s">
        <v>20</v>
      </c>
      <c r="B17">
        <v>26239349.335221216</v>
      </c>
      <c r="C17">
        <v>12326673.105766626</v>
      </c>
      <c r="D17">
        <v>415733.25648230815</v>
      </c>
      <c r="E17">
        <v>3264441.49186</v>
      </c>
    </row>
    <row r="18" spans="1:5" x14ac:dyDescent="0.3">
      <c r="A18" t="s">
        <v>21</v>
      </c>
      <c r="B18">
        <v>24993021.784131836</v>
      </c>
      <c r="C18">
        <v>11938919.029166397</v>
      </c>
      <c r="D18">
        <v>480623.71387453401</v>
      </c>
      <c r="E18">
        <v>2754081.2259299997</v>
      </c>
    </row>
    <row r="19" spans="1:5" x14ac:dyDescent="0.3">
      <c r="A19" t="s">
        <v>22</v>
      </c>
      <c r="B19">
        <v>24027281.739928339</v>
      </c>
      <c r="C19">
        <v>11539641.406147027</v>
      </c>
      <c r="D19">
        <v>480088.02561243897</v>
      </c>
      <c r="E19">
        <v>2309870.1518599996</v>
      </c>
    </row>
    <row r="20" spans="1:5" x14ac:dyDescent="0.3">
      <c r="A20" t="s">
        <v>23</v>
      </c>
      <c r="B20">
        <v>25432829.032291684</v>
      </c>
      <c r="C20">
        <v>12188572.987869047</v>
      </c>
      <c r="D20">
        <v>426446.34386383841</v>
      </c>
      <c r="E20">
        <v>2445761.9618599992</v>
      </c>
    </row>
    <row r="21" spans="1:5" x14ac:dyDescent="0.3">
      <c r="A21" t="s">
        <v>24</v>
      </c>
      <c r="B21">
        <v>24086014.487778675</v>
      </c>
      <c r="C21">
        <v>12170430.667736448</v>
      </c>
      <c r="D21">
        <v>404180.24219110393</v>
      </c>
      <c r="E21">
        <v>2840940.8318599998</v>
      </c>
    </row>
    <row r="22" spans="1:5" x14ac:dyDescent="0.3">
      <c r="A22" t="s">
        <v>25</v>
      </c>
      <c r="B22">
        <v>24866704.52892717</v>
      </c>
      <c r="C22">
        <v>11938906.119330052</v>
      </c>
      <c r="D22">
        <v>472283.69567632669</v>
      </c>
      <c r="E22">
        <v>3878279.4918600004</v>
      </c>
    </row>
    <row r="23" spans="1:5" x14ac:dyDescent="0.3">
      <c r="A23" t="s">
        <v>26</v>
      </c>
      <c r="B23">
        <v>24756335.679587495</v>
      </c>
      <c r="C23">
        <v>11924353.813291809</v>
      </c>
      <c r="D23">
        <v>450213.86135622545</v>
      </c>
      <c r="E23">
        <v>3307453.9818599997</v>
      </c>
    </row>
    <row r="24" spans="1:5" x14ac:dyDescent="0.3">
      <c r="A24" t="s">
        <v>27</v>
      </c>
      <c r="B24">
        <v>24469567.734436762</v>
      </c>
      <c r="C24">
        <v>11793247.649948338</v>
      </c>
      <c r="D24">
        <v>442320.1115995486</v>
      </c>
      <c r="E24">
        <v>2639683.6318600001</v>
      </c>
    </row>
    <row r="25" spans="1:5" x14ac:dyDescent="0.3">
      <c r="A25" t="s">
        <v>28</v>
      </c>
      <c r="B25">
        <v>26531597.493610222</v>
      </c>
      <c r="C25">
        <v>12065612.362150887</v>
      </c>
      <c r="D25">
        <v>372433.66082209832</v>
      </c>
      <c r="E25">
        <v>3409807.2218599995</v>
      </c>
    </row>
    <row r="26" spans="1:5" x14ac:dyDescent="0.3">
      <c r="A26" t="s">
        <v>29</v>
      </c>
      <c r="B26">
        <v>23205546.490253802</v>
      </c>
      <c r="C26">
        <v>11518433.128263036</v>
      </c>
      <c r="D26">
        <v>448534.81856610184</v>
      </c>
      <c r="E26">
        <v>2529596.3959299996</v>
      </c>
    </row>
    <row r="27" spans="1:5" x14ac:dyDescent="0.3">
      <c r="A27" t="s">
        <v>30</v>
      </c>
      <c r="B27">
        <v>25906965.001366246</v>
      </c>
      <c r="C27">
        <v>11491284.209606562</v>
      </c>
      <c r="D27">
        <v>452186.07005379355</v>
      </c>
      <c r="E27">
        <v>3266897.9218599997</v>
      </c>
    </row>
    <row r="28" spans="1:5" x14ac:dyDescent="0.3">
      <c r="A28" t="s">
        <v>31</v>
      </c>
      <c r="B28">
        <v>24915654.730080429</v>
      </c>
      <c r="C28">
        <v>12203892.744455779</v>
      </c>
      <c r="D28">
        <v>443970.76787642593</v>
      </c>
      <c r="E28">
        <v>2916740.4018600001</v>
      </c>
    </row>
    <row r="29" spans="1:5" x14ac:dyDescent="0.3">
      <c r="A29" t="s">
        <v>32</v>
      </c>
      <c r="B29">
        <v>27000351.421943717</v>
      </c>
      <c r="C29">
        <v>12457136.794755444</v>
      </c>
      <c r="D29">
        <v>394452.49096615746</v>
      </c>
      <c r="E29">
        <v>3728804.8462699996</v>
      </c>
    </row>
    <row r="30" spans="1:5" x14ac:dyDescent="0.3">
      <c r="A30" t="s">
        <v>33</v>
      </c>
      <c r="B30">
        <v>22456189.304932393</v>
      </c>
      <c r="C30">
        <v>12295625.603585346</v>
      </c>
      <c r="D30">
        <v>445784.67761306168</v>
      </c>
      <c r="E30">
        <v>2509364.01186</v>
      </c>
    </row>
    <row r="31" spans="1:5" x14ac:dyDescent="0.3">
      <c r="A31" t="s">
        <v>34</v>
      </c>
      <c r="B31">
        <v>21808255.052035224</v>
      </c>
      <c r="C31">
        <v>11931117.875488479</v>
      </c>
      <c r="D31">
        <v>485050.71539696201</v>
      </c>
      <c r="E31">
        <v>3082286.3318599993</v>
      </c>
    </row>
    <row r="32" spans="1:5" x14ac:dyDescent="0.3">
      <c r="A32" t="s">
        <v>35</v>
      </c>
      <c r="B32">
        <v>24629993.241803113</v>
      </c>
      <c r="C32">
        <v>11934577.711815797</v>
      </c>
      <c r="D32">
        <v>441769.07453853416</v>
      </c>
      <c r="E32">
        <v>3101436.8737079999</v>
      </c>
    </row>
    <row r="33" spans="1:5" x14ac:dyDescent="0.3">
      <c r="A33" t="s">
        <v>36</v>
      </c>
      <c r="B33">
        <v>1276080.9230658803</v>
      </c>
      <c r="C33">
        <v>355761.49379818689</v>
      </c>
      <c r="D33">
        <v>27739.106271396646</v>
      </c>
      <c r="E33">
        <v>530239.12721058785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FFE85-5E21-4395-91D3-901F7E0EC63A}">
  <dimension ref="A1:E33"/>
  <sheetViews>
    <sheetView workbookViewId="0"/>
  </sheetViews>
  <sheetFormatPr defaultColWidth="11.19921875" defaultRowHeight="15.6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13454474.399278043</v>
      </c>
      <c r="C2">
        <v>11163622.347688088</v>
      </c>
      <c r="D2">
        <v>419497.56399555487</v>
      </c>
      <c r="E2">
        <v>5469031.3162699835</v>
      </c>
    </row>
    <row r="3" spans="1:5" x14ac:dyDescent="0.3">
      <c r="A3" t="s">
        <v>6</v>
      </c>
      <c r="B3">
        <v>13381592.117899995</v>
      </c>
      <c r="C3">
        <v>11189233.423678352</v>
      </c>
      <c r="D3">
        <v>451255.94345571217</v>
      </c>
      <c r="E3">
        <v>4730217.2325299997</v>
      </c>
    </row>
    <row r="4" spans="1:5" x14ac:dyDescent="0.3">
      <c r="A4" t="s">
        <v>7</v>
      </c>
      <c r="B4">
        <v>13656964.5840027</v>
      </c>
      <c r="C4">
        <v>11308419.717084492</v>
      </c>
      <c r="D4">
        <v>434949.90570769459</v>
      </c>
      <c r="E4">
        <v>5292099.7362699946</v>
      </c>
    </row>
    <row r="5" spans="1:5" x14ac:dyDescent="0.3">
      <c r="A5" t="s">
        <v>8</v>
      </c>
      <c r="B5">
        <v>13603675.402081899</v>
      </c>
      <c r="C5">
        <v>12257414.163392141</v>
      </c>
      <c r="D5">
        <v>429234.611663863</v>
      </c>
      <c r="E5">
        <v>4495385.7262699958</v>
      </c>
    </row>
    <row r="6" spans="1:5" x14ac:dyDescent="0.3">
      <c r="A6" t="s">
        <v>9</v>
      </c>
      <c r="B6">
        <v>12573826.092829358</v>
      </c>
      <c r="C6">
        <v>10660048.302747505</v>
      </c>
      <c r="D6">
        <v>409522.99656405789</v>
      </c>
      <c r="E6">
        <v>5249182.1518599996</v>
      </c>
    </row>
    <row r="7" spans="1:5" x14ac:dyDescent="0.3">
      <c r="A7" t="s">
        <v>10</v>
      </c>
      <c r="B7">
        <v>13732074.783567984</v>
      </c>
      <c r="C7">
        <v>11820019.185164027</v>
      </c>
      <c r="D7">
        <v>429203.36029250146</v>
      </c>
      <c r="E7">
        <v>5570992.4937499985</v>
      </c>
    </row>
    <row r="8" spans="1:5" x14ac:dyDescent="0.3">
      <c r="A8" t="s">
        <v>11</v>
      </c>
      <c r="B8">
        <v>13446361.655967051</v>
      </c>
      <c r="C8">
        <v>11447145.106157117</v>
      </c>
      <c r="D8">
        <v>464146.94133328606</v>
      </c>
      <c r="E8">
        <v>4360601.6681199996</v>
      </c>
    </row>
    <row r="9" spans="1:5" x14ac:dyDescent="0.3">
      <c r="A9" t="s">
        <v>12</v>
      </c>
      <c r="B9">
        <v>12549477.987691678</v>
      </c>
      <c r="C9">
        <v>11174917.698772669</v>
      </c>
      <c r="D9">
        <v>449587.08130574296</v>
      </c>
      <c r="E9">
        <v>5081933.3781199995</v>
      </c>
    </row>
    <row r="10" spans="1:5" x14ac:dyDescent="0.3">
      <c r="A10" t="s">
        <v>13</v>
      </c>
      <c r="B10">
        <v>13092660.799579998</v>
      </c>
      <c r="C10">
        <v>11293999.919487141</v>
      </c>
      <c r="D10">
        <v>458712.11304795585</v>
      </c>
      <c r="E10">
        <v>6082083.1725300001</v>
      </c>
    </row>
    <row r="11" spans="1:5" x14ac:dyDescent="0.3">
      <c r="A11" t="s">
        <v>14</v>
      </c>
      <c r="B11">
        <v>13544013.417624729</v>
      </c>
      <c r="C11">
        <v>11174682.032505097</v>
      </c>
      <c r="D11">
        <v>411651.34873548592</v>
      </c>
      <c r="E11">
        <v>4752649.6637500003</v>
      </c>
    </row>
    <row r="12" spans="1:5" x14ac:dyDescent="0.3">
      <c r="A12" t="s">
        <v>15</v>
      </c>
      <c r="B12">
        <v>13860689.680231724</v>
      </c>
      <c r="C12">
        <v>11125659.673731178</v>
      </c>
      <c r="D12">
        <v>459806.63337291696</v>
      </c>
      <c r="E12">
        <v>5228008.5081199976</v>
      </c>
    </row>
    <row r="13" spans="1:5" x14ac:dyDescent="0.3">
      <c r="A13" t="s">
        <v>16</v>
      </c>
      <c r="B13">
        <v>13207604.486979749</v>
      </c>
      <c r="C13">
        <v>11330282.171187114</v>
      </c>
      <c r="D13">
        <v>457570.1484180211</v>
      </c>
      <c r="E13">
        <v>4135506.3125299998</v>
      </c>
    </row>
    <row r="14" spans="1:5" x14ac:dyDescent="0.3">
      <c r="A14" t="s">
        <v>17</v>
      </c>
      <c r="B14">
        <v>13936819.631595105</v>
      </c>
      <c r="C14">
        <v>11170781.484380851</v>
      </c>
      <c r="D14">
        <v>451814.87895765027</v>
      </c>
      <c r="E14">
        <v>5159222.4225299992</v>
      </c>
    </row>
    <row r="15" spans="1:5" x14ac:dyDescent="0.3">
      <c r="A15" t="s">
        <v>18</v>
      </c>
      <c r="B15">
        <v>13849175.518263284</v>
      </c>
      <c r="C15">
        <v>11435337.958259288</v>
      </c>
      <c r="D15">
        <v>482891.2111821858</v>
      </c>
      <c r="E15">
        <v>5103566.1725299954</v>
      </c>
    </row>
    <row r="16" spans="1:5" x14ac:dyDescent="0.3">
      <c r="A16" t="s">
        <v>19</v>
      </c>
      <c r="B16">
        <v>13113008.935774475</v>
      </c>
      <c r="C16">
        <v>11442743.913887875</v>
      </c>
      <c r="D16">
        <v>433418.75193730526</v>
      </c>
      <c r="E16">
        <v>3889521.3425299651</v>
      </c>
    </row>
    <row r="17" spans="1:5" x14ac:dyDescent="0.3">
      <c r="A17" t="s">
        <v>20</v>
      </c>
      <c r="B17">
        <v>12842895.771176014</v>
      </c>
      <c r="C17">
        <v>11554693.193493396</v>
      </c>
      <c r="D17">
        <v>433627.04634547309</v>
      </c>
      <c r="E17">
        <v>5214760.402529995</v>
      </c>
    </row>
    <row r="18" spans="1:5" x14ac:dyDescent="0.3">
      <c r="A18" t="s">
        <v>21</v>
      </c>
      <c r="B18">
        <v>13577345.716167796</v>
      </c>
      <c r="C18">
        <v>11312769.359056087</v>
      </c>
      <c r="D18">
        <v>484348.88469330262</v>
      </c>
      <c r="E18">
        <v>4675767.0625299988</v>
      </c>
    </row>
    <row r="19" spans="1:5" x14ac:dyDescent="0.3">
      <c r="A19" t="s">
        <v>22</v>
      </c>
      <c r="B19">
        <v>14023941.357569683</v>
      </c>
      <c r="C19">
        <v>11689239.150566485</v>
      </c>
      <c r="D19">
        <v>487003.3613697096</v>
      </c>
      <c r="E19">
        <v>4003991.0125299944</v>
      </c>
    </row>
    <row r="20" spans="1:5" x14ac:dyDescent="0.3">
      <c r="A20" t="s">
        <v>23</v>
      </c>
      <c r="B20">
        <v>13525496.718071561</v>
      </c>
      <c r="C20">
        <v>11156221.684365615</v>
      </c>
      <c r="D20">
        <v>427682.77853055397</v>
      </c>
      <c r="E20">
        <v>4291680.442529995</v>
      </c>
    </row>
    <row r="21" spans="1:5" x14ac:dyDescent="0.3">
      <c r="A21" t="s">
        <v>24</v>
      </c>
      <c r="B21">
        <v>13431357.473957848</v>
      </c>
      <c r="C21">
        <v>11163499.816832429</v>
      </c>
      <c r="D21">
        <v>407361.82002275001</v>
      </c>
      <c r="E21">
        <v>4513776.376269998</v>
      </c>
    </row>
    <row r="22" spans="1:5" x14ac:dyDescent="0.3">
      <c r="A22" t="s">
        <v>25</v>
      </c>
      <c r="B22">
        <v>13622156.627237584</v>
      </c>
      <c r="C22">
        <v>11301142.980809093</v>
      </c>
      <c r="D22">
        <v>475964.21338315075</v>
      </c>
      <c r="E22">
        <v>5522376.8562699966</v>
      </c>
    </row>
    <row r="23" spans="1:5" x14ac:dyDescent="0.3">
      <c r="A23" t="s">
        <v>26</v>
      </c>
      <c r="B23">
        <v>14161045.068258941</v>
      </c>
      <c r="C23">
        <v>11450950.105429191</v>
      </c>
      <c r="D23">
        <v>450584.20418330916</v>
      </c>
      <c r="E23">
        <v>4751602.3125299746</v>
      </c>
    </row>
    <row r="24" spans="1:5" x14ac:dyDescent="0.3">
      <c r="A24" t="s">
        <v>27</v>
      </c>
      <c r="B24">
        <v>13414038.074924683</v>
      </c>
      <c r="C24">
        <v>11297915.361780237</v>
      </c>
      <c r="D24">
        <v>442092.59288669348</v>
      </c>
      <c r="E24">
        <v>4195953.7125299964</v>
      </c>
    </row>
    <row r="25" spans="1:5" x14ac:dyDescent="0.3">
      <c r="A25" t="s">
        <v>28</v>
      </c>
      <c r="B25">
        <v>12818564.527270775</v>
      </c>
      <c r="C25">
        <v>11018156.66450583</v>
      </c>
      <c r="D25">
        <v>375937.32899409364</v>
      </c>
      <c r="E25">
        <v>5574307.0625299914</v>
      </c>
    </row>
    <row r="26" spans="1:5" x14ac:dyDescent="0.3">
      <c r="A26" t="s">
        <v>29</v>
      </c>
      <c r="B26">
        <v>13931303.821450718</v>
      </c>
      <c r="C26">
        <v>11308836.186048355</v>
      </c>
      <c r="D26">
        <v>448513.20385218621</v>
      </c>
      <c r="E26">
        <v>3732224.5662699989</v>
      </c>
    </row>
    <row r="27" spans="1:5" x14ac:dyDescent="0.3">
      <c r="A27" t="s">
        <v>30</v>
      </c>
      <c r="B27">
        <v>12680412.78502194</v>
      </c>
      <c r="C27">
        <v>11241352.406013867</v>
      </c>
      <c r="D27">
        <v>451466.52412011719</v>
      </c>
      <c r="E27">
        <v>5663919.682529998</v>
      </c>
    </row>
    <row r="28" spans="1:5" x14ac:dyDescent="0.3">
      <c r="A28" t="s">
        <v>31</v>
      </c>
      <c r="B28">
        <v>14077540.81094699</v>
      </c>
      <c r="C28">
        <v>11305158.131754113</v>
      </c>
      <c r="D28">
        <v>442925.20292875211</v>
      </c>
      <c r="E28">
        <v>4998177.5325299986</v>
      </c>
    </row>
    <row r="29" spans="1:5" x14ac:dyDescent="0.3">
      <c r="A29" t="s">
        <v>32</v>
      </c>
      <c r="B29">
        <v>13657606.241410902</v>
      </c>
      <c r="C29">
        <v>11909714.833137689</v>
      </c>
      <c r="D29">
        <v>406514.66650440701</v>
      </c>
      <c r="E29">
        <v>5842500.3125299988</v>
      </c>
    </row>
    <row r="30" spans="1:5" x14ac:dyDescent="0.3">
      <c r="A30" t="s">
        <v>33</v>
      </c>
      <c r="B30">
        <v>13597673.459015399</v>
      </c>
      <c r="C30">
        <v>11700623.517260289</v>
      </c>
      <c r="D30">
        <v>453457.6742823731</v>
      </c>
      <c r="E30">
        <v>4341734.1525299903</v>
      </c>
    </row>
    <row r="31" spans="1:5" x14ac:dyDescent="0.3">
      <c r="A31" t="s">
        <v>34</v>
      </c>
      <c r="B31">
        <v>12855796.288756572</v>
      </c>
      <c r="C31">
        <v>11823469.521459753</v>
      </c>
      <c r="D31">
        <v>484584.24180699344</v>
      </c>
      <c r="E31">
        <v>4953555.2125299973</v>
      </c>
    </row>
    <row r="32" spans="1:5" x14ac:dyDescent="0.3">
      <c r="A32" t="s">
        <v>35</v>
      </c>
      <c r="B32">
        <v>13440653.141153509</v>
      </c>
      <c r="C32">
        <v>11374268.333687844</v>
      </c>
      <c r="D32">
        <v>443844.24112912663</v>
      </c>
      <c r="E32">
        <v>4895877.5998959951</v>
      </c>
    </row>
    <row r="33" spans="1:5" x14ac:dyDescent="0.3">
      <c r="A33" t="s">
        <v>36</v>
      </c>
      <c r="B33">
        <v>450737.50803194963</v>
      </c>
      <c r="C33">
        <v>309041.39682802022</v>
      </c>
      <c r="D33">
        <v>26453.002700755107</v>
      </c>
      <c r="E33">
        <v>610185.22257639735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FEC9-427A-4EAB-9E22-A573FCE30D15}">
  <dimension ref="A1:G11"/>
  <sheetViews>
    <sheetView tabSelected="1" workbookViewId="0">
      <selection activeCell="F11" sqref="A7:F11"/>
    </sheetView>
  </sheetViews>
  <sheetFormatPr defaultColWidth="11.19921875" defaultRowHeight="15.6" x14ac:dyDescent="0.3"/>
  <cols>
    <col min="1" max="1" width="22.5" bestFit="1" customWidth="1"/>
    <col min="3" max="3" width="0" hidden="1" customWidth="1"/>
    <col min="5" max="5" width="0" hidden="1" customWidth="1"/>
    <col min="7" max="7" width="0" hidden="1" customWidth="1"/>
  </cols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1</v>
      </c>
      <c r="B2" s="1">
        <v>10216941.666401025</v>
      </c>
      <c r="C2" s="1">
        <v>923717.47646735772</v>
      </c>
      <c r="D2" s="1">
        <v>24629993.241803113</v>
      </c>
      <c r="E2" s="1">
        <v>1276080.9230658803</v>
      </c>
      <c r="F2" s="1">
        <v>13440653.141153509</v>
      </c>
      <c r="G2">
        <v>450737.50803194963</v>
      </c>
    </row>
    <row r="3" spans="1:7" x14ac:dyDescent="0.3">
      <c r="A3" t="s">
        <v>2</v>
      </c>
      <c r="B3" s="1">
        <v>10580322.911604773</v>
      </c>
      <c r="C3" s="1">
        <v>580566.68666645337</v>
      </c>
      <c r="D3" s="1">
        <v>11934577.711815797</v>
      </c>
      <c r="E3" s="1">
        <v>355761.49379818689</v>
      </c>
      <c r="F3" s="1">
        <v>11374268.333687844</v>
      </c>
      <c r="G3">
        <v>309041.39682802022</v>
      </c>
    </row>
    <row r="4" spans="1:7" x14ac:dyDescent="0.3">
      <c r="A4" t="s">
        <v>3</v>
      </c>
      <c r="B4" s="1">
        <v>441200.57823941577</v>
      </c>
      <c r="C4" s="1">
        <v>26047.713287028451</v>
      </c>
      <c r="D4" s="1">
        <v>441769.07453853416</v>
      </c>
      <c r="E4" s="1">
        <v>27739.106271396646</v>
      </c>
      <c r="F4" s="1">
        <v>443844.24112912663</v>
      </c>
      <c r="G4">
        <v>26453.002700755107</v>
      </c>
    </row>
    <row r="5" spans="1:7" x14ac:dyDescent="0.3">
      <c r="A5" t="s">
        <v>4</v>
      </c>
      <c r="B5" s="1">
        <v>2045757.6985843328</v>
      </c>
      <c r="C5" s="1">
        <v>432037.55853789748</v>
      </c>
      <c r="D5" s="1">
        <v>3101436.8737079999</v>
      </c>
      <c r="E5" s="1">
        <v>530239.12721058785</v>
      </c>
      <c r="F5" s="1">
        <v>4895877.5998959951</v>
      </c>
      <c r="G5">
        <v>610185.22257639735</v>
      </c>
    </row>
    <row r="7" spans="1:7" x14ac:dyDescent="0.3">
      <c r="A7" t="s">
        <v>44</v>
      </c>
    </row>
    <row r="8" spans="1:7" x14ac:dyDescent="0.3">
      <c r="A8" t="s">
        <v>1</v>
      </c>
      <c r="B8" s="2">
        <f>(B2 - $B2)/$B2</f>
        <v>0</v>
      </c>
      <c r="C8" s="2">
        <f t="shared" ref="C8:F8" si="0">(C2 - $B2)/$B2</f>
        <v>-0.90958962998633397</v>
      </c>
      <c r="D8" s="2">
        <f t="shared" si="0"/>
        <v>1.410701171251687</v>
      </c>
      <c r="E8" s="2">
        <f t="shared" si="0"/>
        <v>-0.87510147706310759</v>
      </c>
      <c r="F8" s="2">
        <f t="shared" si="0"/>
        <v>0.31552607228382606</v>
      </c>
    </row>
    <row r="9" spans="1:7" x14ac:dyDescent="0.3">
      <c r="A9" t="s">
        <v>2</v>
      </c>
      <c r="B9" s="2">
        <f t="shared" ref="B9:F9" si="1">(B3 - $B3)/$B3</f>
        <v>0</v>
      </c>
      <c r="C9" s="2">
        <f t="shared" si="1"/>
        <v>-0.94512769680879283</v>
      </c>
      <c r="D9" s="2">
        <f t="shared" si="1"/>
        <v>0.12799749228122723</v>
      </c>
      <c r="E9" s="2">
        <f t="shared" si="1"/>
        <v>-0.96637517618597646</v>
      </c>
      <c r="F9" s="2">
        <f t="shared" si="1"/>
        <v>7.5039810099959289E-2</v>
      </c>
    </row>
    <row r="10" spans="1:7" x14ac:dyDescent="0.3">
      <c r="A10" t="s">
        <v>3</v>
      </c>
      <c r="B10" s="2">
        <f t="shared" ref="B10:F10" si="2">(B4 - $B4)/$B4</f>
        <v>0</v>
      </c>
      <c r="C10" s="2">
        <f t="shared" si="2"/>
        <v>-0.94096174263648913</v>
      </c>
      <c r="D10" s="2">
        <f t="shared" si="2"/>
        <v>1.288521201370442E-3</v>
      </c>
      <c r="E10" s="2">
        <f t="shared" si="2"/>
        <v>-0.93712812802266066</v>
      </c>
      <c r="F10" s="2">
        <f t="shared" si="2"/>
        <v>5.9919751244666029E-3</v>
      </c>
    </row>
    <row r="11" spans="1:7" x14ac:dyDescent="0.3">
      <c r="A11" t="s">
        <v>4</v>
      </c>
      <c r="B11" s="2">
        <f t="shared" ref="B11:F11" si="3">(B5 - $B5)/$B5</f>
        <v>0</v>
      </c>
      <c r="C11" s="2">
        <f t="shared" si="3"/>
        <v>-0.78881293770182659</v>
      </c>
      <c r="D11" s="2">
        <f t="shared" si="3"/>
        <v>0.51603333857875666</v>
      </c>
      <c r="E11" s="2">
        <f t="shared" si="3"/>
        <v>-0.74081039627639467</v>
      </c>
      <c r="F11" s="2">
        <f t="shared" si="3"/>
        <v>1.393185470246036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UG-1</vt:lpstr>
      <vt:lpstr>UG-2</vt:lpstr>
      <vt:lpstr>UG-3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2026-03-03T14:24:19Z</dcterms:modified>
</cp:coreProperties>
</file>