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ark-my.sharepoint.com/personal/uhorchak_uark_edu/Documents/Desktop/Vaccine_Tender/Deterministic/Model objective analysis/quantity discount/results/model comparison/UG_model_comparison_cross_models/"/>
    </mc:Choice>
  </mc:AlternateContent>
  <xr:revisionPtr revIDLastSave="21" documentId="115_{7BC26B0B-1F9C-480A-88AD-6A44B9D66871}" xr6:coauthVersionLast="47" xr6:coauthVersionMax="47" xr10:uidLastSave="{AC13C6DB-9A9B-42C1-852D-482AA7CE273C}"/>
  <bookViews>
    <workbookView xWindow="-108" yWindow="-108" windowWidth="23256" windowHeight="12456" firstSheet="1" activeTab="2" xr2:uid="{52D9C27D-0EF6-DD41-9728-0267E68F7539}"/>
  </bookViews>
  <sheets>
    <sheet name="Sheet1" sheetId="1" r:id="rId1"/>
    <sheet name="UG-1" sheetId="2" r:id="rId2"/>
    <sheet name="UG-2" sheetId="3" r:id="rId3"/>
    <sheet name="UG-2 Penta Hexa" sheetId="4" r:id="rId4"/>
    <sheet name="UG-2 No Penta Hexa" sheetId="5" r:id="rId5"/>
    <sheet name="UG-3" sheetId="6" r:id="rId6"/>
    <sheet name="UG-2 Producer" sheetId="7" r:id="rId7"/>
    <sheet name="UG-2 Producer Penta Hexa" sheetId="8" r:id="rId8"/>
    <sheet name="Summary Comparison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9" l="1"/>
  <c r="C10" i="9"/>
  <c r="D10" i="9"/>
  <c r="E10" i="9"/>
  <c r="F10" i="9"/>
  <c r="G10" i="9"/>
  <c r="H10" i="9"/>
  <c r="I10" i="9"/>
  <c r="J10" i="9"/>
  <c r="K10" i="9"/>
  <c r="L10" i="9"/>
  <c r="M10" i="9"/>
  <c r="N10" i="9"/>
  <c r="B11" i="9"/>
  <c r="C11" i="9"/>
  <c r="D11" i="9"/>
  <c r="E11" i="9"/>
  <c r="F11" i="9"/>
  <c r="G11" i="9"/>
  <c r="H11" i="9"/>
  <c r="I11" i="9"/>
  <c r="J11" i="9"/>
  <c r="K11" i="9"/>
  <c r="L11" i="9"/>
  <c r="M11" i="9"/>
  <c r="N11" i="9"/>
  <c r="B12" i="9"/>
  <c r="C12" i="9"/>
  <c r="D12" i="9"/>
  <c r="E12" i="9"/>
  <c r="F12" i="9"/>
  <c r="G12" i="9"/>
  <c r="H12" i="9"/>
  <c r="I12" i="9"/>
  <c r="J12" i="9"/>
  <c r="K12" i="9"/>
  <c r="L12" i="9"/>
  <c r="M12" i="9"/>
  <c r="N12" i="9"/>
  <c r="C9" i="9"/>
  <c r="D9" i="9"/>
  <c r="E9" i="9"/>
  <c r="F9" i="9"/>
  <c r="G9" i="9"/>
  <c r="H9" i="9"/>
  <c r="I9" i="9"/>
  <c r="J9" i="9"/>
  <c r="K9" i="9"/>
  <c r="L9" i="9"/>
  <c r="M9" i="9"/>
  <c r="N9" i="9"/>
  <c r="B9" i="9"/>
</calcChain>
</file>

<file path=xl/sharedStrings.xml><?xml version="1.0" encoding="utf-8"?>
<sst xmlns="http://schemas.openxmlformats.org/spreadsheetml/2006/main" count="296" uniqueCount="53">
  <si>
    <t>Trial</t>
  </si>
  <si>
    <t>Coordinating Entity Costs</t>
  </si>
  <si>
    <t>Production Costs</t>
  </si>
  <si>
    <t>Holding Costs</t>
  </si>
  <si>
    <t>Missed Doses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</si>
  <si>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</si>
  <si>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</si>
  <si>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</si>
  <si>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</si>
  <si>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</si>
  <si>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</si>
  <si>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</si>
  <si>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</si>
  <si>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</si>
  <si>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</si>
  <si>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1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</si>
  <si>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</si>
  <si>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</si>
  <si>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</si>
  <si>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</si>
  <si>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</si>
  <si>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</si>
  <si>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</si>
  <si>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</si>
  <si>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</si>
  <si>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</si>
  <si>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2</t>
  </si>
  <si>
    <t>30</t>
  </si>
  <si>
    <t>3</t>
  </si>
  <si>
    <t>4</t>
  </si>
  <si>
    <t>5</t>
  </si>
  <si>
    <t>6</t>
  </si>
  <si>
    <t>7</t>
  </si>
  <si>
    <t>8</t>
  </si>
  <si>
    <t>9</t>
  </si>
  <si>
    <t>Mean</t>
  </si>
  <si>
    <t>Std Dev</t>
  </si>
  <si>
    <t>Cost Component</t>
  </si>
  <si>
    <t>UG-1 Mean</t>
  </si>
  <si>
    <t>UG-1 Std Dev</t>
  </si>
  <si>
    <t>UG-2 Mean</t>
  </si>
  <si>
    <t>UG-2 Std Dev</t>
  </si>
  <si>
    <t>UG-2 Penta Hexa Mean</t>
  </si>
  <si>
    <t>UG-2 Penta Hexa Std Dev</t>
  </si>
  <si>
    <t>UG-2 No Penta Hexa Mean</t>
  </si>
  <si>
    <t>UG-2 No Penta Hexa Std Dev</t>
  </si>
  <si>
    <t>UG-3 Mean</t>
  </si>
  <si>
    <t>UG-3 Std Dev</t>
  </si>
  <si>
    <t>UG-2 Producer Mean</t>
  </si>
  <si>
    <t>UG-2 Producer Std Dev</t>
  </si>
  <si>
    <t>UG-2 Producer Penta Hexa Mean</t>
  </si>
  <si>
    <t>UG-2 Producer Penta Hexa Std Dev</t>
  </si>
  <si>
    <t>% Devation from UG-2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</si>
</sst>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3D79A-9A5F-438E-A584-BCA965F46C18}">
  <dimension ref="A1"/>
  <sheetViews>
    <sheetView workbookViewId="0"/>
  </sheetViews>
  <sheetFormatPr defaultColWidth="11.19921875" defaultRowHeight="15.6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84387-4BE9-43A7-8546-5507834A57D0}">
  <dimension ref="A1:E33"/>
  <sheetViews>
    <sheetView workbookViewId="0"/>
  </sheetViews>
  <sheetFormatPr defaultColWidth="11.19921875" defaultRowHeight="15.6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16286602.460921098</v>
      </c>
      <c r="C2">
        <v>10275026.017481226</v>
      </c>
      <c r="D2">
        <v>421190.55279562966</v>
      </c>
      <c r="E2">
        <v>2302530.30186</v>
      </c>
    </row>
    <row r="3" spans="1:5" x14ac:dyDescent="0.3">
      <c r="A3" t="s">
        <v>6</v>
      </c>
      <c r="B3">
        <v>14840412.78168237</v>
      </c>
      <c r="C3">
        <v>11484489.966832289</v>
      </c>
      <c r="D3">
        <v>458194.66700865823</v>
      </c>
      <c r="E3">
        <v>2146190.3259299998</v>
      </c>
    </row>
    <row r="4" spans="1:5" x14ac:dyDescent="0.3">
      <c r="A4" t="s">
        <v>7</v>
      </c>
      <c r="B4">
        <v>15353328.547319122</v>
      </c>
      <c r="C4">
        <v>10317264.244192772</v>
      </c>
      <c r="D4">
        <v>442133.08880690753</v>
      </c>
      <c r="E4">
        <v>2860750.9118599999</v>
      </c>
    </row>
    <row r="5" spans="1:5" x14ac:dyDescent="0.3">
      <c r="A5" t="s">
        <v>8</v>
      </c>
      <c r="B5">
        <v>15311109.180208329</v>
      </c>
      <c r="C5">
        <v>10938758.804329289</v>
      </c>
      <c r="D5">
        <v>431633.57101988036</v>
      </c>
      <c r="E5">
        <v>1671748.3759300001</v>
      </c>
    </row>
    <row r="6" spans="1:5" x14ac:dyDescent="0.3">
      <c r="A6" t="s">
        <v>9</v>
      </c>
      <c r="B6">
        <v>14756186.953459837</v>
      </c>
      <c r="C6">
        <v>10709391.85730177</v>
      </c>
      <c r="D6">
        <v>417475.16507761256</v>
      </c>
      <c r="E6">
        <v>2805443.1518600001</v>
      </c>
    </row>
    <row r="7" spans="1:5" x14ac:dyDescent="0.3">
      <c r="A7" t="s">
        <v>10</v>
      </c>
      <c r="B7">
        <v>18807692.436676182</v>
      </c>
      <c r="C7">
        <v>11157934.444395745</v>
      </c>
      <c r="D7">
        <v>467511.7543628253</v>
      </c>
      <c r="E7">
        <v>1876345.27186</v>
      </c>
    </row>
    <row r="8" spans="1:5" x14ac:dyDescent="0.3">
      <c r="A8" t="s">
        <v>11</v>
      </c>
      <c r="B8">
        <v>14385404.470078211</v>
      </c>
      <c r="C8">
        <v>10691776.236081708</v>
      </c>
      <c r="D8">
        <v>466864.3703734267</v>
      </c>
      <c r="E8">
        <v>1893766.5959299998</v>
      </c>
    </row>
    <row r="9" spans="1:5" x14ac:dyDescent="0.3">
      <c r="A9" t="s">
        <v>12</v>
      </c>
      <c r="B9">
        <v>13721653.57208233</v>
      </c>
      <c r="C9">
        <v>10387327.863847096</v>
      </c>
      <c r="D9">
        <v>453454.35881295428</v>
      </c>
      <c r="E9">
        <v>2564853.6559299999</v>
      </c>
    </row>
    <row r="10" spans="1:5" x14ac:dyDescent="0.3">
      <c r="A10" t="s">
        <v>13</v>
      </c>
      <c r="B10">
        <v>17277006.536725931</v>
      </c>
      <c r="C10">
        <v>11194140.205072597</v>
      </c>
      <c r="D10">
        <v>457059.43128947139</v>
      </c>
      <c r="E10">
        <v>2377612.6518599992</v>
      </c>
    </row>
    <row r="11" spans="1:5" x14ac:dyDescent="0.3">
      <c r="A11" t="s">
        <v>14</v>
      </c>
      <c r="B11">
        <v>16659205.738661235</v>
      </c>
      <c r="C11">
        <v>10320507.265599187</v>
      </c>
      <c r="D11">
        <v>407861.10505042836</v>
      </c>
      <c r="E11">
        <v>2033222.7221900001</v>
      </c>
    </row>
    <row r="12" spans="1:5" x14ac:dyDescent="0.3">
      <c r="A12" t="s">
        <v>15</v>
      </c>
      <c r="B12">
        <v>15469839.910757676</v>
      </c>
      <c r="C12">
        <v>9721125.0499387383</v>
      </c>
      <c r="D12">
        <v>460383.06956065481</v>
      </c>
      <c r="E12">
        <v>2386852.1418599999</v>
      </c>
    </row>
    <row r="13" spans="1:5" x14ac:dyDescent="0.3">
      <c r="A13" t="s">
        <v>16</v>
      </c>
      <c r="B13">
        <v>15494056.719793871</v>
      </c>
      <c r="C13">
        <v>10161607.936238982</v>
      </c>
      <c r="D13">
        <v>462730.41502032074</v>
      </c>
      <c r="E13">
        <v>1440318.5959299998</v>
      </c>
    </row>
    <row r="14" spans="1:5" x14ac:dyDescent="0.3">
      <c r="A14" t="s">
        <v>17</v>
      </c>
      <c r="B14">
        <v>16242716.838743839</v>
      </c>
      <c r="C14">
        <v>10793473.688031299</v>
      </c>
      <c r="D14">
        <v>446116.51150928083</v>
      </c>
      <c r="E14">
        <v>2211950.9859299995</v>
      </c>
    </row>
    <row r="15" spans="1:5" x14ac:dyDescent="0.3">
      <c r="A15" t="s">
        <v>18</v>
      </c>
      <c r="B15">
        <v>16761942.649591222</v>
      </c>
      <c r="C15">
        <v>10920579.846900333</v>
      </c>
      <c r="D15">
        <v>491811.31773677951</v>
      </c>
      <c r="E15">
        <v>1909131.8718600001</v>
      </c>
    </row>
    <row r="16" spans="1:5" x14ac:dyDescent="0.3">
      <c r="A16" t="s">
        <v>19</v>
      </c>
      <c r="B16">
        <v>14754167.361964326</v>
      </c>
      <c r="C16">
        <v>11680608.871478438</v>
      </c>
      <c r="D16">
        <v>434192.59612731275</v>
      </c>
      <c r="E16">
        <v>1465219.8359300003</v>
      </c>
    </row>
    <row r="17" spans="1:5" x14ac:dyDescent="0.3">
      <c r="A17" t="s">
        <v>20</v>
      </c>
      <c r="B17">
        <v>17175645.836728521</v>
      </c>
      <c r="C17">
        <v>11036070.757001745</v>
      </c>
      <c r="D17">
        <v>440967.21231066354</v>
      </c>
      <c r="E17">
        <v>2140920.2659299998</v>
      </c>
    </row>
    <row r="18" spans="1:5" x14ac:dyDescent="0.3">
      <c r="A18" t="s">
        <v>21</v>
      </c>
      <c r="B18">
        <v>15367573.915043727</v>
      </c>
      <c r="C18">
        <v>10546310.616975211</v>
      </c>
      <c r="D18">
        <v>483978.02774608217</v>
      </c>
      <c r="E18">
        <v>2005195.57593</v>
      </c>
    </row>
    <row r="19" spans="1:5" x14ac:dyDescent="0.3">
      <c r="A19" t="s">
        <v>22</v>
      </c>
      <c r="B19">
        <v>16345281.980189305</v>
      </c>
      <c r="C19">
        <v>10155415.157368738</v>
      </c>
      <c r="D19">
        <v>488313.92579669843</v>
      </c>
      <c r="E19">
        <v>1314355.8199999998</v>
      </c>
    </row>
    <row r="20" spans="1:5" x14ac:dyDescent="0.3">
      <c r="A20" t="s">
        <v>23</v>
      </c>
      <c r="B20">
        <v>16294918.930269852</v>
      </c>
      <c r="C20">
        <v>9673454.5170597397</v>
      </c>
      <c r="D20">
        <v>424053.8573368935</v>
      </c>
      <c r="E20">
        <v>1358067.4459299997</v>
      </c>
    </row>
    <row r="21" spans="1:5" x14ac:dyDescent="0.3">
      <c r="A21" t="s">
        <v>24</v>
      </c>
      <c r="B21">
        <v>15243670.845558546</v>
      </c>
      <c r="C21">
        <v>11290989.279444529</v>
      </c>
      <c r="D21">
        <v>412494.18771812361</v>
      </c>
      <c r="E21">
        <v>1765015.8059299998</v>
      </c>
    </row>
    <row r="22" spans="1:5" x14ac:dyDescent="0.3">
      <c r="A22" t="s">
        <v>25</v>
      </c>
      <c r="B22">
        <v>16114678.436889622</v>
      </c>
      <c r="C22">
        <v>10601409.946536422</v>
      </c>
      <c r="D22">
        <v>483153.84362864716</v>
      </c>
      <c r="E22">
        <v>2717663.4918600004</v>
      </c>
    </row>
    <row r="23" spans="1:5" x14ac:dyDescent="0.3">
      <c r="A23" t="s">
        <v>26</v>
      </c>
      <c r="B23">
        <v>15764213.243837887</v>
      </c>
      <c r="C23">
        <v>9935930.0873239469</v>
      </c>
      <c r="D23">
        <v>471785.27355340729</v>
      </c>
      <c r="E23">
        <v>2158375.9818600002</v>
      </c>
    </row>
    <row r="24" spans="1:5" x14ac:dyDescent="0.3">
      <c r="A24" t="s">
        <v>27</v>
      </c>
      <c r="B24">
        <v>15649567.454251837</v>
      </c>
      <c r="C24">
        <v>9686380.5039476994</v>
      </c>
      <c r="D24">
        <v>439824.10247300158</v>
      </c>
      <c r="E24">
        <v>1566282.8559299998</v>
      </c>
    </row>
    <row r="25" spans="1:5" x14ac:dyDescent="0.3">
      <c r="A25" t="s">
        <v>28</v>
      </c>
      <c r="B25">
        <v>17073010.478439245</v>
      </c>
      <c r="C25">
        <v>10190551.274462748</v>
      </c>
      <c r="D25">
        <v>405777.54898825579</v>
      </c>
      <c r="E25">
        <v>2234475.2218599999</v>
      </c>
    </row>
    <row r="26" spans="1:5" x14ac:dyDescent="0.3">
      <c r="A26" t="s">
        <v>29</v>
      </c>
      <c r="B26">
        <v>14624270.119028782</v>
      </c>
      <c r="C26">
        <v>9905097.5325463656</v>
      </c>
      <c r="D26">
        <v>451049.78001611197</v>
      </c>
      <c r="E26">
        <v>1803646.0059299995</v>
      </c>
    </row>
    <row r="27" spans="1:5" x14ac:dyDescent="0.3">
      <c r="A27" t="s">
        <v>30</v>
      </c>
      <c r="B27">
        <v>15127416.65530375</v>
      </c>
      <c r="C27">
        <v>9819844.8381914422</v>
      </c>
      <c r="D27">
        <v>454376.59501069441</v>
      </c>
      <c r="E27">
        <v>2380161.1859300006</v>
      </c>
    </row>
    <row r="28" spans="1:5" x14ac:dyDescent="0.3">
      <c r="A28" t="s">
        <v>31</v>
      </c>
      <c r="B28">
        <v>15999426.212291606</v>
      </c>
      <c r="C28">
        <v>10826056.699076159</v>
      </c>
      <c r="D28">
        <v>450814.25554494926</v>
      </c>
      <c r="E28">
        <v>1951990.0359299998</v>
      </c>
    </row>
    <row r="29" spans="1:5" x14ac:dyDescent="0.3">
      <c r="A29" t="s">
        <v>32</v>
      </c>
      <c r="B29">
        <v>16010213.042497497</v>
      </c>
      <c r="C29">
        <v>11518588.219236152</v>
      </c>
      <c r="D29">
        <v>404559.84325755935</v>
      </c>
      <c r="E29">
        <v>2644597.3959300006</v>
      </c>
    </row>
    <row r="30" spans="1:5" x14ac:dyDescent="0.3">
      <c r="A30" t="s">
        <v>33</v>
      </c>
      <c r="B30">
        <v>15033373.800038513</v>
      </c>
      <c r="C30">
        <v>11198877.6774964</v>
      </c>
      <c r="D30">
        <v>450812.01504844491</v>
      </c>
      <c r="E30">
        <v>1544167.22593</v>
      </c>
    </row>
    <row r="31" spans="1:5" x14ac:dyDescent="0.3">
      <c r="A31" t="s">
        <v>34</v>
      </c>
      <c r="B31">
        <v>15696887.228289586</v>
      </c>
      <c r="C31">
        <v>10271443.860591639</v>
      </c>
      <c r="D31">
        <v>486751.75895285467</v>
      </c>
      <c r="E31">
        <v>1841879.2459300002</v>
      </c>
    </row>
    <row r="32" spans="1:5" x14ac:dyDescent="0.3">
      <c r="A32" t="s">
        <v>35</v>
      </c>
      <c r="B32">
        <v>15788049.144577466</v>
      </c>
      <c r="C32">
        <v>10580347.775499346</v>
      </c>
      <c r="D32">
        <v>448910.80673115089</v>
      </c>
      <c r="E32">
        <v>2045757.6985843328</v>
      </c>
    </row>
    <row r="33" spans="1:5" x14ac:dyDescent="0.3">
      <c r="A33" t="s">
        <v>36</v>
      </c>
      <c r="B33">
        <v>1026835.8712414969</v>
      </c>
      <c r="C33">
        <v>580565.33274447557</v>
      </c>
      <c r="D33">
        <v>25518.169994496406</v>
      </c>
      <c r="E33">
        <v>432037.55853789748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ADFAE-61C9-4885-9829-FB6152886EBF}">
  <dimension ref="A1:E33"/>
  <sheetViews>
    <sheetView tabSelected="1" workbookViewId="0">
      <selection activeCell="C1" sqref="C1:C1048576"/>
    </sheetView>
  </sheetViews>
  <sheetFormatPr defaultColWidth="11.19921875" defaultRowHeight="15.6" x14ac:dyDescent="0.3"/>
  <cols>
    <col min="2" max="2" width="22.5" bestFit="1" customWidth="1"/>
    <col min="3" max="3" width="15.199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51970296.629597977</v>
      </c>
      <c r="C2">
        <v>12065640.655166008</v>
      </c>
      <c r="D2">
        <v>417472.73140358715</v>
      </c>
      <c r="E2">
        <v>3740406.4618600002</v>
      </c>
    </row>
    <row r="3" spans="1:5" x14ac:dyDescent="0.3">
      <c r="A3" t="s">
        <v>6</v>
      </c>
      <c r="B3">
        <v>56542543.809321657</v>
      </c>
      <c r="C3">
        <v>11951334.898434509</v>
      </c>
      <c r="D3">
        <v>456141.22688185732</v>
      </c>
      <c r="E3">
        <v>2925329.7518600002</v>
      </c>
    </row>
    <row r="4" spans="1:5" x14ac:dyDescent="0.3">
      <c r="A4" t="s">
        <v>7</v>
      </c>
      <c r="B4">
        <v>56795016.502639815</v>
      </c>
      <c r="C4">
        <v>11543713.207181979</v>
      </c>
      <c r="D4">
        <v>437225.73303159588</v>
      </c>
      <c r="E4">
        <v>3911364.82186</v>
      </c>
    </row>
    <row r="5" spans="1:5" x14ac:dyDescent="0.3">
      <c r="A5" t="s">
        <v>8</v>
      </c>
      <c r="B5">
        <v>56952589.389628842</v>
      </c>
      <c r="C5">
        <v>12054334.898434509</v>
      </c>
      <c r="D5">
        <v>436646.58318398037</v>
      </c>
      <c r="E5">
        <v>2560717.4818599997</v>
      </c>
    </row>
    <row r="6" spans="1:5" x14ac:dyDescent="0.3">
      <c r="A6" t="s">
        <v>9</v>
      </c>
      <c r="B6">
        <v>54053964.277137376</v>
      </c>
      <c r="C6">
        <v>11348748.125968594</v>
      </c>
      <c r="D6">
        <v>412436.71222304663</v>
      </c>
      <c r="E6">
        <v>3937777.1518600001</v>
      </c>
    </row>
    <row r="7" spans="1:5" x14ac:dyDescent="0.3">
      <c r="A7" t="s">
        <v>10</v>
      </c>
      <c r="B7">
        <v>57483366.946422949</v>
      </c>
      <c r="C7">
        <v>12189056.419067653</v>
      </c>
      <c r="D7">
        <v>437770.82037822192</v>
      </c>
      <c r="E7">
        <v>3636892.6862699995</v>
      </c>
    </row>
    <row r="8" spans="1:5" x14ac:dyDescent="0.3">
      <c r="A8" t="s">
        <v>11</v>
      </c>
      <c r="B8">
        <v>56808322.351494759</v>
      </c>
      <c r="C8">
        <v>11181502.772398349</v>
      </c>
      <c r="D8">
        <v>466420.48617634806</v>
      </c>
      <c r="E8">
        <v>2874320.5418599998</v>
      </c>
    </row>
    <row r="9" spans="1:5" x14ac:dyDescent="0.3">
      <c r="A9" t="s">
        <v>12</v>
      </c>
      <c r="B9">
        <v>54541541.024702698</v>
      </c>
      <c r="C9">
        <v>11140528.175827852</v>
      </c>
      <c r="D9">
        <v>451977.26017669891</v>
      </c>
      <c r="E9">
        <v>3394808.8018599995</v>
      </c>
    </row>
    <row r="10" spans="1:5" x14ac:dyDescent="0.3">
      <c r="A10" t="s">
        <v>13</v>
      </c>
      <c r="B10">
        <v>56415609.972537778</v>
      </c>
      <c r="C10">
        <v>12274808.723306503</v>
      </c>
      <c r="D10">
        <v>463436.83464698849</v>
      </c>
      <c r="E10">
        <v>3916220.2962699994</v>
      </c>
    </row>
    <row r="11" spans="1:5" x14ac:dyDescent="0.3">
      <c r="A11" t="s">
        <v>14</v>
      </c>
      <c r="B11">
        <v>58034480.93279998</v>
      </c>
      <c r="C11">
        <v>12192432.621174203</v>
      </c>
      <c r="D11">
        <v>407576.97803124442</v>
      </c>
      <c r="E11">
        <v>2974773.3218599996</v>
      </c>
    </row>
    <row r="12" spans="1:5" x14ac:dyDescent="0.3">
      <c r="A12" t="s">
        <v>15</v>
      </c>
      <c r="B12">
        <v>57336748.668736503</v>
      </c>
      <c r="C12">
        <v>11804676.728174916</v>
      </c>
      <c r="D12">
        <v>458894.24472398969</v>
      </c>
      <c r="E12">
        <v>3544469.5418600002</v>
      </c>
    </row>
    <row r="13" spans="1:5" x14ac:dyDescent="0.3">
      <c r="A13" t="s">
        <v>16</v>
      </c>
      <c r="B13">
        <v>57113796.676484905</v>
      </c>
      <c r="C13">
        <v>12073453.779622085</v>
      </c>
      <c r="D13">
        <v>460422.63636542938</v>
      </c>
      <c r="E13">
        <v>2458471.2318600002</v>
      </c>
    </row>
    <row r="14" spans="1:5" x14ac:dyDescent="0.3">
      <c r="A14" t="s">
        <v>17</v>
      </c>
      <c r="B14">
        <v>58921812.813837126</v>
      </c>
      <c r="C14">
        <v>12449819.957354005</v>
      </c>
      <c r="D14">
        <v>447228.94726024399</v>
      </c>
      <c r="E14">
        <v>3272430.0418599998</v>
      </c>
    </row>
    <row r="15" spans="1:5" x14ac:dyDescent="0.3">
      <c r="A15" t="s">
        <v>18</v>
      </c>
      <c r="B15">
        <v>57036190.058096759</v>
      </c>
      <c r="C15">
        <v>12188501.838413708</v>
      </c>
      <c r="D15">
        <v>489862.64893322013</v>
      </c>
      <c r="E15">
        <v>2862053.3618599996</v>
      </c>
    </row>
    <row r="16" spans="1:5" x14ac:dyDescent="0.3">
      <c r="A16" t="s">
        <v>19</v>
      </c>
      <c r="B16">
        <v>57805062.916631222</v>
      </c>
      <c r="C16">
        <v>11797209.893012917</v>
      </c>
      <c r="D16">
        <v>437898.16254573636</v>
      </c>
      <c r="E16">
        <v>2149060.81593</v>
      </c>
    </row>
    <row r="17" spans="1:5" x14ac:dyDescent="0.3">
      <c r="A17" t="s">
        <v>20</v>
      </c>
      <c r="B17">
        <v>58780381.433545105</v>
      </c>
      <c r="C17">
        <v>12326828.773484975</v>
      </c>
      <c r="D17">
        <v>420303.49477374938</v>
      </c>
      <c r="E17">
        <v>3264441.49186</v>
      </c>
    </row>
    <row r="18" spans="1:5" x14ac:dyDescent="0.3">
      <c r="A18" t="s">
        <v>21</v>
      </c>
      <c r="B18">
        <v>57957979.035117634</v>
      </c>
      <c r="C18">
        <v>11939074.696884748</v>
      </c>
      <c r="D18">
        <v>482946.59164593311</v>
      </c>
      <c r="E18">
        <v>2754081.2259299997</v>
      </c>
    </row>
    <row r="19" spans="1:5" x14ac:dyDescent="0.3">
      <c r="A19" t="s">
        <v>22</v>
      </c>
      <c r="B19">
        <v>56149274.763703473</v>
      </c>
      <c r="C19">
        <v>11539794.954646902</v>
      </c>
      <c r="D19">
        <v>483578.28125644237</v>
      </c>
      <c r="E19">
        <v>2309870.1518599996</v>
      </c>
    </row>
    <row r="20" spans="1:5" x14ac:dyDescent="0.3">
      <c r="A20" t="s">
        <v>23</v>
      </c>
      <c r="B20">
        <v>57496065.261078961</v>
      </c>
      <c r="C20">
        <v>12188726.536368921</v>
      </c>
      <c r="D20">
        <v>428500.73557636881</v>
      </c>
      <c r="E20">
        <v>2445761.9618599992</v>
      </c>
    </row>
    <row r="21" spans="1:5" x14ac:dyDescent="0.3">
      <c r="A21" t="s">
        <v>24</v>
      </c>
      <c r="B21">
        <v>55950717.615496419</v>
      </c>
      <c r="C21">
        <v>12170583.034839768</v>
      </c>
      <c r="D21">
        <v>406234.63390363433</v>
      </c>
      <c r="E21">
        <v>2840940.8318599998</v>
      </c>
    </row>
    <row r="22" spans="1:5" x14ac:dyDescent="0.3">
      <c r="A22" t="s">
        <v>25</v>
      </c>
      <c r="B22">
        <v>57138809.822381854</v>
      </c>
      <c r="C22">
        <v>11939059.481882241</v>
      </c>
      <c r="D22">
        <v>475336.25888182886</v>
      </c>
      <c r="E22">
        <v>3878279.4918600004</v>
      </c>
    </row>
    <row r="23" spans="1:5" x14ac:dyDescent="0.3">
      <c r="A23" t="s">
        <v>26</v>
      </c>
      <c r="B23">
        <v>56692162.475332119</v>
      </c>
      <c r="C23">
        <v>11924504.3192477</v>
      </c>
      <c r="D23">
        <v>454429.12515337311</v>
      </c>
      <c r="E23">
        <v>3307453.9818599997</v>
      </c>
    </row>
    <row r="24" spans="1:5" x14ac:dyDescent="0.3">
      <c r="A24" t="s">
        <v>27</v>
      </c>
      <c r="B24">
        <v>57470119.824300379</v>
      </c>
      <c r="C24">
        <v>11793403.317666687</v>
      </c>
      <c r="D24">
        <v>444813.54348635627</v>
      </c>
      <c r="E24">
        <v>2639683.6318600001</v>
      </c>
    </row>
    <row r="25" spans="1:5" x14ac:dyDescent="0.3">
      <c r="A25" t="s">
        <v>28</v>
      </c>
      <c r="B25">
        <v>59084457.132081106</v>
      </c>
      <c r="C25">
        <v>12065768.170912223</v>
      </c>
      <c r="D25">
        <v>376370.02343113924</v>
      </c>
      <c r="E25">
        <v>3409807.2218599995</v>
      </c>
    </row>
    <row r="26" spans="1:5" x14ac:dyDescent="0.3">
      <c r="A26" t="s">
        <v>29</v>
      </c>
      <c r="B26">
        <v>55023847.120627165</v>
      </c>
      <c r="C26">
        <v>11518585.495366355</v>
      </c>
      <c r="D26">
        <v>451648.82768846909</v>
      </c>
      <c r="E26">
        <v>2529596.3959299996</v>
      </c>
    </row>
    <row r="27" spans="1:5" x14ac:dyDescent="0.3">
      <c r="A27" t="s">
        <v>30</v>
      </c>
      <c r="B27">
        <v>58735923.366668478</v>
      </c>
      <c r="C27">
        <v>11491438.753555305</v>
      </c>
      <c r="D27">
        <v>454695.49337044288</v>
      </c>
      <c r="E27">
        <v>3266897.9218599997</v>
      </c>
    </row>
    <row r="28" spans="1:5" x14ac:dyDescent="0.3">
      <c r="A28" t="s">
        <v>31</v>
      </c>
      <c r="B28">
        <v>58150468.368260726</v>
      </c>
      <c r="C28">
        <v>12204047.288404522</v>
      </c>
      <c r="D28">
        <v>446071.86685284588</v>
      </c>
      <c r="E28">
        <v>2916740.4018600001</v>
      </c>
    </row>
    <row r="29" spans="1:5" x14ac:dyDescent="0.3">
      <c r="A29" t="s">
        <v>32</v>
      </c>
      <c r="B29">
        <v>59978571.908236347</v>
      </c>
      <c r="C29">
        <v>12457291.338704189</v>
      </c>
      <c r="D29">
        <v>398319.08809070685</v>
      </c>
      <c r="E29">
        <v>3728804.8462699996</v>
      </c>
    </row>
    <row r="30" spans="1:5" x14ac:dyDescent="0.3">
      <c r="A30" t="s">
        <v>33</v>
      </c>
      <c r="B30">
        <v>50985510.386204079</v>
      </c>
      <c r="C30">
        <v>12295760.514614558</v>
      </c>
      <c r="D30">
        <v>447839.06932559208</v>
      </c>
      <c r="E30">
        <v>2509364.01186</v>
      </c>
    </row>
    <row r="31" spans="1:5" x14ac:dyDescent="0.3">
      <c r="A31" t="s">
        <v>34</v>
      </c>
      <c r="B31">
        <v>51048285.440761097</v>
      </c>
      <c r="C31">
        <v>11931254.003356144</v>
      </c>
      <c r="D31">
        <v>487105.10710949241</v>
      </c>
      <c r="E31">
        <v>3082286.3318599993</v>
      </c>
    </row>
    <row r="32" spans="1:5" x14ac:dyDescent="0.3">
      <c r="A32" t="s">
        <v>35</v>
      </c>
      <c r="B32">
        <v>56615130.564128831</v>
      </c>
      <c r="C32">
        <v>11934729.445782432</v>
      </c>
      <c r="D32">
        <v>444653.47155028553</v>
      </c>
      <c r="E32">
        <v>3101436.8737079999</v>
      </c>
    </row>
    <row r="33" spans="1:5" x14ac:dyDescent="0.3">
      <c r="A33" t="s">
        <v>36</v>
      </c>
      <c r="B33">
        <v>2209161.3526429762</v>
      </c>
      <c r="C33">
        <v>355761.07212758635</v>
      </c>
      <c r="D33">
        <v>27542.948751366261</v>
      </c>
      <c r="E33">
        <v>530239.12721058785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C19A9-1C89-4186-BDD8-459ACBD5297C}">
  <dimension ref="A1:E33"/>
  <sheetViews>
    <sheetView workbookViewId="0"/>
  </sheetViews>
  <sheetFormatPr defaultColWidth="11.19921875" defaultRowHeight="15.6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55451495.673618235</v>
      </c>
      <c r="C2">
        <v>11975140.199741052</v>
      </c>
      <c r="D2">
        <v>413169.78974678688</v>
      </c>
      <c r="E2">
        <v>4332122.0262700003</v>
      </c>
    </row>
    <row r="3" spans="1:5" x14ac:dyDescent="0.3">
      <c r="A3" t="s">
        <v>6</v>
      </c>
      <c r="B3">
        <v>56784215.740896225</v>
      </c>
      <c r="C3">
        <v>11835001.099910665</v>
      </c>
      <c r="D3">
        <v>447691.26663039712</v>
      </c>
      <c r="E3">
        <v>3491452.6262699962</v>
      </c>
    </row>
    <row r="4" spans="1:5" x14ac:dyDescent="0.3">
      <c r="A4" t="s">
        <v>7</v>
      </c>
      <c r="B4">
        <v>55309159.2663505</v>
      </c>
      <c r="C4">
        <v>11586761.242304746</v>
      </c>
      <c r="D4">
        <v>430988.39211567322</v>
      </c>
      <c r="E4">
        <v>4203305.4518599994</v>
      </c>
    </row>
    <row r="5" spans="1:5" x14ac:dyDescent="0.3">
      <c r="A5" t="s">
        <v>8</v>
      </c>
      <c r="B5">
        <v>55591828.022507899</v>
      </c>
      <c r="C5">
        <v>12461197.153870853</v>
      </c>
      <c r="D5">
        <v>427806.68329820537</v>
      </c>
      <c r="E5">
        <v>3263671.8162699994</v>
      </c>
    </row>
    <row r="6" spans="1:5" x14ac:dyDescent="0.3">
      <c r="A6" t="s">
        <v>9</v>
      </c>
      <c r="B6">
        <v>53763129.349542305</v>
      </c>
      <c r="C6">
        <v>11323216.774697866</v>
      </c>
      <c r="D6">
        <v>409271.88912038994</v>
      </c>
      <c r="E6">
        <v>4153132.7418600004</v>
      </c>
    </row>
    <row r="7" spans="1:5" x14ac:dyDescent="0.3">
      <c r="A7" t="s">
        <v>10</v>
      </c>
      <c r="B7">
        <v>56765923.598221943</v>
      </c>
      <c r="C7">
        <v>12326828.571934467</v>
      </c>
      <c r="D7">
        <v>429463.4007052246</v>
      </c>
      <c r="E7">
        <v>4340600.9603399998</v>
      </c>
    </row>
    <row r="8" spans="1:5" x14ac:dyDescent="0.3">
      <c r="A8" t="s">
        <v>11</v>
      </c>
      <c r="B8">
        <v>54232246.380147874</v>
      </c>
      <c r="C8">
        <v>11360829.515323259</v>
      </c>
      <c r="D8">
        <v>454232.74505926616</v>
      </c>
      <c r="E8">
        <v>3195288.4618600002</v>
      </c>
    </row>
    <row r="9" spans="1:5" x14ac:dyDescent="0.3">
      <c r="A9" t="s">
        <v>12</v>
      </c>
      <c r="B9">
        <v>54263965.715314284</v>
      </c>
      <c r="C9">
        <v>11364356.012651848</v>
      </c>
      <c r="D9">
        <v>446184.39978044701</v>
      </c>
      <c r="E9">
        <v>3531026.4262699997</v>
      </c>
    </row>
    <row r="10" spans="1:5" x14ac:dyDescent="0.3">
      <c r="A10" t="s">
        <v>13</v>
      </c>
      <c r="B10">
        <v>57265033.242261581</v>
      </c>
      <c r="C10">
        <v>12326833.412832087</v>
      </c>
      <c r="D10">
        <v>453098.93540193827</v>
      </c>
      <c r="E10">
        <v>4568538.7762700003</v>
      </c>
    </row>
    <row r="11" spans="1:5" x14ac:dyDescent="0.3">
      <c r="A11" t="s">
        <v>14</v>
      </c>
      <c r="B11">
        <v>55997170.613819413</v>
      </c>
      <c r="C11">
        <v>12326817.94852205</v>
      </c>
      <c r="D11">
        <v>405462.23985394341</v>
      </c>
      <c r="E11">
        <v>3576944.7862699991</v>
      </c>
    </row>
    <row r="12" spans="1:5" x14ac:dyDescent="0.3">
      <c r="A12" t="s">
        <v>15</v>
      </c>
      <c r="B12">
        <v>55718849.750724971</v>
      </c>
      <c r="C12">
        <v>12253786.966443833</v>
      </c>
      <c r="D12">
        <v>453289.3471045788</v>
      </c>
      <c r="E12">
        <v>3847819.0918600201</v>
      </c>
    </row>
    <row r="13" spans="1:5" x14ac:dyDescent="0.3">
      <c r="A13" t="s">
        <v>16</v>
      </c>
      <c r="B13">
        <v>56786869.36996235</v>
      </c>
      <c r="C13">
        <v>12084879.739934558</v>
      </c>
      <c r="D13">
        <v>451828.67754224018</v>
      </c>
      <c r="E13">
        <v>3051873.2362699984</v>
      </c>
    </row>
    <row r="14" spans="1:5" x14ac:dyDescent="0.3">
      <c r="A14" t="s">
        <v>17</v>
      </c>
      <c r="B14">
        <v>57372847.931627363</v>
      </c>
      <c r="C14">
        <v>12445906.479823088</v>
      </c>
      <c r="D14">
        <v>440511.43737321498</v>
      </c>
      <c r="E14">
        <v>3723674.3962699999</v>
      </c>
    </row>
    <row r="15" spans="1:5" x14ac:dyDescent="0.3">
      <c r="A15" t="s">
        <v>18</v>
      </c>
      <c r="B15">
        <v>55815139.161069244</v>
      </c>
      <c r="C15">
        <v>11634828.129760886</v>
      </c>
      <c r="D15">
        <v>480533.58657327516</v>
      </c>
      <c r="E15">
        <v>3574236.5062699998</v>
      </c>
    </row>
    <row r="16" spans="1:5" x14ac:dyDescent="0.3">
      <c r="A16" t="s">
        <v>19</v>
      </c>
      <c r="B16">
        <v>57465051.978324048</v>
      </c>
      <c r="C16">
        <v>12449820.799374575</v>
      </c>
      <c r="D16">
        <v>428365.0517661043</v>
      </c>
      <c r="E16">
        <v>2451550.2903399998</v>
      </c>
    </row>
    <row r="17" spans="1:5" x14ac:dyDescent="0.3">
      <c r="A17" t="s">
        <v>20</v>
      </c>
      <c r="B17">
        <v>57357394.512027852</v>
      </c>
      <c r="C17">
        <v>12461439.509934362</v>
      </c>
      <c r="D17">
        <v>421277.45135268441</v>
      </c>
      <c r="E17">
        <v>3854083.8862699997</v>
      </c>
    </row>
    <row r="18" spans="1:5" x14ac:dyDescent="0.3">
      <c r="A18" t="s">
        <v>21</v>
      </c>
      <c r="B18">
        <v>55980259.667534053</v>
      </c>
      <c r="C18">
        <v>11851128.603255751</v>
      </c>
      <c r="D18">
        <v>477187.33134428924</v>
      </c>
      <c r="E18">
        <v>3262792.3362699989</v>
      </c>
    </row>
    <row r="19" spans="1:5" x14ac:dyDescent="0.3">
      <c r="A19" t="s">
        <v>22</v>
      </c>
      <c r="B19">
        <v>56028676.960514575</v>
      </c>
      <c r="C19">
        <v>12619642.678303374</v>
      </c>
      <c r="D19">
        <v>478600.97861804237</v>
      </c>
      <c r="E19">
        <v>2643685.1862700004</v>
      </c>
    </row>
    <row r="20" spans="1:5" x14ac:dyDescent="0.3">
      <c r="A20" t="s">
        <v>23</v>
      </c>
      <c r="B20">
        <v>57090507.750940956</v>
      </c>
      <c r="C20">
        <v>12181037.523505751</v>
      </c>
      <c r="D20">
        <v>419814.18252640619</v>
      </c>
      <c r="E20">
        <v>3029706.8062700001</v>
      </c>
    </row>
    <row r="21" spans="1:5" x14ac:dyDescent="0.3">
      <c r="A21" t="s">
        <v>24</v>
      </c>
      <c r="B21">
        <v>55736375.971726969</v>
      </c>
      <c r="C21">
        <v>12439380.305329686</v>
      </c>
      <c r="D21">
        <v>402320.81068269821</v>
      </c>
      <c r="E21">
        <v>3430381.5762700001</v>
      </c>
    </row>
    <row r="22" spans="1:5" x14ac:dyDescent="0.3">
      <c r="A22" t="s">
        <v>25</v>
      </c>
      <c r="B22">
        <v>56849504.129938185</v>
      </c>
      <c r="C22">
        <v>11967763.796711838</v>
      </c>
      <c r="D22">
        <v>469058.49795927055</v>
      </c>
      <c r="E22">
        <v>4272016.7362699993</v>
      </c>
    </row>
    <row r="23" spans="1:5" x14ac:dyDescent="0.3">
      <c r="A23" t="s">
        <v>26</v>
      </c>
      <c r="B23">
        <v>55957930.681931034</v>
      </c>
      <c r="C23">
        <v>12818929.75037792</v>
      </c>
      <c r="D23">
        <v>451199.79668498598</v>
      </c>
      <c r="E23">
        <v>3495807.8118599998</v>
      </c>
    </row>
    <row r="24" spans="1:5" x14ac:dyDescent="0.3">
      <c r="A24" t="s">
        <v>27</v>
      </c>
      <c r="B24">
        <v>55555152.183243617</v>
      </c>
      <c r="C24">
        <v>12058249.217985997</v>
      </c>
      <c r="D24">
        <v>435935.19803742319</v>
      </c>
      <c r="E24">
        <v>2961430.4718599995</v>
      </c>
    </row>
    <row r="25" spans="1:5" x14ac:dyDescent="0.3">
      <c r="A25" t="s">
        <v>28</v>
      </c>
      <c r="B25">
        <v>55778408.051813327</v>
      </c>
      <c r="C25">
        <v>12319538.578348199</v>
      </c>
      <c r="D25">
        <v>374077.57724165311</v>
      </c>
      <c r="E25">
        <v>4149960.0462699994</v>
      </c>
    </row>
    <row r="26" spans="1:5" x14ac:dyDescent="0.3">
      <c r="A26" t="s">
        <v>29</v>
      </c>
      <c r="B26">
        <v>55684457.104156837</v>
      </c>
      <c r="C26">
        <v>12085721.695471302</v>
      </c>
      <c r="D26">
        <v>446754.78946430841</v>
      </c>
      <c r="E26">
        <v>2651096.6459299996</v>
      </c>
    </row>
    <row r="27" spans="1:5" x14ac:dyDescent="0.3">
      <c r="A27" t="s">
        <v>30</v>
      </c>
      <c r="B27">
        <v>56909774.291184157</v>
      </c>
      <c r="C27">
        <v>11587099.954403501</v>
      </c>
      <c r="D27">
        <v>442487.22299196222</v>
      </c>
      <c r="E27">
        <v>3933150.1462699994</v>
      </c>
    </row>
    <row r="28" spans="1:5" x14ac:dyDescent="0.3">
      <c r="A28" t="s">
        <v>31</v>
      </c>
      <c r="B28">
        <v>57652354.590364479</v>
      </c>
      <c r="C28">
        <v>12207213.822871361</v>
      </c>
      <c r="D28">
        <v>442214.55880776071</v>
      </c>
      <c r="E28">
        <v>3298473.2925299993</v>
      </c>
    </row>
    <row r="29" spans="1:5" x14ac:dyDescent="0.3">
      <c r="A29" t="s">
        <v>32</v>
      </c>
      <c r="B29">
        <v>56029486.032297388</v>
      </c>
      <c r="C29">
        <v>12192418.718899649</v>
      </c>
      <c r="D29">
        <v>396404.52570861048</v>
      </c>
      <c r="E29">
        <v>4567653.5662699994</v>
      </c>
    </row>
    <row r="30" spans="1:5" x14ac:dyDescent="0.3">
      <c r="A30" t="s">
        <v>33</v>
      </c>
      <c r="B30">
        <v>57368083.30248829</v>
      </c>
      <c r="C30">
        <v>12177347.901909476</v>
      </c>
      <c r="D30">
        <v>444776.88263098872</v>
      </c>
      <c r="E30">
        <v>2889392.5062699998</v>
      </c>
    </row>
    <row r="31" spans="1:5" x14ac:dyDescent="0.3">
      <c r="A31" t="s">
        <v>34</v>
      </c>
      <c r="B31">
        <v>56182901.08690612</v>
      </c>
      <c r="C31">
        <v>11857883.831126459</v>
      </c>
      <c r="D31">
        <v>480627.01076472638</v>
      </c>
      <c r="E31">
        <v>3286451.9262699997</v>
      </c>
    </row>
    <row r="32" spans="1:5" x14ac:dyDescent="0.3">
      <c r="A32" t="s">
        <v>35</v>
      </c>
      <c r="B32">
        <v>56158139.737048529</v>
      </c>
      <c r="C32">
        <v>12086033.33118535</v>
      </c>
      <c r="D32">
        <v>438487.82189624984</v>
      </c>
      <c r="E32">
        <v>3567710.6845233333</v>
      </c>
    </row>
    <row r="33" spans="1:5" x14ac:dyDescent="0.3">
      <c r="A33" t="s">
        <v>36</v>
      </c>
      <c r="B33">
        <v>992013.27011744538</v>
      </c>
      <c r="C33">
        <v>385869.54574472434</v>
      </c>
      <c r="D33">
        <v>26069.771036322043</v>
      </c>
      <c r="E33">
        <v>584672.07084241533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90C0C-F433-4A9C-898B-B36F44A48902}">
  <dimension ref="A1:E33"/>
  <sheetViews>
    <sheetView workbookViewId="0"/>
  </sheetViews>
  <sheetFormatPr defaultColWidth="11.19921875" defaultRowHeight="15.6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16121639.501592586</v>
      </c>
      <c r="C2">
        <v>10666157.134391006</v>
      </c>
      <c r="D2">
        <v>409065.44223567867</v>
      </c>
      <c r="E2">
        <v>17801863.185399313</v>
      </c>
    </row>
    <row r="3" spans="1:5" x14ac:dyDescent="0.3">
      <c r="A3" t="s">
        <v>6</v>
      </c>
      <c r="B3">
        <v>15934393.001573225</v>
      </c>
      <c r="C3">
        <v>10051606.842169521</v>
      </c>
      <c r="D3">
        <v>441915.67355931783</v>
      </c>
      <c r="E3">
        <v>17541356.415399998</v>
      </c>
    </row>
    <row r="4" spans="1:5" x14ac:dyDescent="0.3">
      <c r="A4" t="s">
        <v>7</v>
      </c>
      <c r="B4">
        <v>14904443.866781337</v>
      </c>
      <c r="C4">
        <v>10086788.170985058</v>
      </c>
      <c r="D4">
        <v>425167.91858695331</v>
      </c>
      <c r="E4">
        <v>17890664.657029998</v>
      </c>
    </row>
    <row r="5" spans="1:5" x14ac:dyDescent="0.3">
      <c r="A5" t="s">
        <v>8</v>
      </c>
      <c r="B5">
        <v>16399951.52272255</v>
      </c>
      <c r="C5">
        <v>10750329.40858827</v>
      </c>
      <c r="D5">
        <v>425094.32295488002</v>
      </c>
      <c r="E5">
        <v>16714821.7554</v>
      </c>
    </row>
    <row r="6" spans="1:5" x14ac:dyDescent="0.3">
      <c r="A6" t="s">
        <v>9</v>
      </c>
      <c r="B6">
        <v>14430425.014314665</v>
      </c>
      <c r="C6">
        <v>10358894.892505046</v>
      </c>
      <c r="D6">
        <v>403680.61431403493</v>
      </c>
      <c r="E6">
        <v>17814653.137029998</v>
      </c>
    </row>
    <row r="7" spans="1:5" x14ac:dyDescent="0.3">
      <c r="A7" t="s">
        <v>10</v>
      </c>
      <c r="B7">
        <v>16077978.916871086</v>
      </c>
      <c r="C7">
        <v>10888303.20341227</v>
      </c>
      <c r="D7">
        <v>425029.21028801176</v>
      </c>
      <c r="E7">
        <v>18038607.925399996</v>
      </c>
    </row>
    <row r="8" spans="1:5" x14ac:dyDescent="0.3">
      <c r="A8" t="s">
        <v>11</v>
      </c>
      <c r="B8">
        <v>14524831.324888295</v>
      </c>
      <c r="C8">
        <v>10144671.931993369</v>
      </c>
      <c r="D8">
        <v>449470.78047141171</v>
      </c>
      <c r="E8">
        <v>17352793.46703</v>
      </c>
    </row>
    <row r="9" spans="1:5" x14ac:dyDescent="0.3">
      <c r="A9" t="s">
        <v>12</v>
      </c>
      <c r="B9">
        <v>14287278.111311585</v>
      </c>
      <c r="C9">
        <v>9659232.0489194337</v>
      </c>
      <c r="D9">
        <v>441090.24751573615</v>
      </c>
      <c r="E9">
        <v>18342359.197029706</v>
      </c>
    </row>
    <row r="10" spans="1:5" x14ac:dyDescent="0.3">
      <c r="A10" t="s">
        <v>13</v>
      </c>
      <c r="B10">
        <v>16197941.551067151</v>
      </c>
      <c r="C10">
        <v>10633244.28872657</v>
      </c>
      <c r="D10">
        <v>448655.96488557797</v>
      </c>
      <c r="E10">
        <v>18280655.785399992</v>
      </c>
    </row>
    <row r="11" spans="1:5" x14ac:dyDescent="0.3">
      <c r="A11" t="s">
        <v>14</v>
      </c>
      <c r="B11">
        <v>16521197.276166603</v>
      </c>
      <c r="C11">
        <v>10985981.685438082</v>
      </c>
      <c r="D11">
        <v>400511.67339643749</v>
      </c>
      <c r="E11">
        <v>17167028.1954</v>
      </c>
    </row>
    <row r="12" spans="1:5" x14ac:dyDescent="0.3">
      <c r="A12" t="s">
        <v>15</v>
      </c>
      <c r="B12">
        <v>15186293.576385025</v>
      </c>
      <c r="C12">
        <v>10511636.751636544</v>
      </c>
      <c r="D12">
        <v>448123.17767613084</v>
      </c>
      <c r="E12">
        <v>18249982.857030001</v>
      </c>
    </row>
    <row r="13" spans="1:5" x14ac:dyDescent="0.3">
      <c r="A13" t="s">
        <v>16</v>
      </c>
      <c r="B13">
        <v>15912459.36277198</v>
      </c>
      <c r="C13">
        <v>10619852.090205347</v>
      </c>
      <c r="D13">
        <v>446356.21711547248</v>
      </c>
      <c r="E13">
        <v>16207466.145399999</v>
      </c>
    </row>
    <row r="14" spans="1:5" x14ac:dyDescent="0.3">
      <c r="A14" t="s">
        <v>17</v>
      </c>
      <c r="B14">
        <v>16852456.80959196</v>
      </c>
      <c r="C14">
        <v>10742836.915813379</v>
      </c>
      <c r="D14">
        <v>436969.76183086896</v>
      </c>
      <c r="E14">
        <v>17737211.585399996</v>
      </c>
    </row>
    <row r="15" spans="1:5" x14ac:dyDescent="0.3">
      <c r="A15" t="s">
        <v>18</v>
      </c>
      <c r="B15">
        <v>16057234.98909004</v>
      </c>
      <c r="C15">
        <v>10761521.860606821</v>
      </c>
      <c r="D15">
        <v>474134.14587751427</v>
      </c>
      <c r="E15">
        <v>17680762.955399994</v>
      </c>
    </row>
    <row r="16" spans="1:5" x14ac:dyDescent="0.3">
      <c r="A16" t="s">
        <v>19</v>
      </c>
      <c r="B16">
        <v>16869210.16665962</v>
      </c>
      <c r="C16">
        <v>10873314.234196305</v>
      </c>
      <c r="D16">
        <v>423770.13713087502</v>
      </c>
      <c r="E16">
        <v>16539702.685400002</v>
      </c>
    </row>
    <row r="17" spans="1:5" x14ac:dyDescent="0.3">
      <c r="A17" t="s">
        <v>20</v>
      </c>
      <c r="B17">
        <v>16549200.39770788</v>
      </c>
      <c r="C17">
        <v>10869959.336196383</v>
      </c>
      <c r="D17">
        <v>418085.94537664112</v>
      </c>
      <c r="E17">
        <v>17657819.455399998</v>
      </c>
    </row>
    <row r="18" spans="1:5" x14ac:dyDescent="0.3">
      <c r="A18" t="s">
        <v>21</v>
      </c>
      <c r="B18">
        <v>16342429.319441497</v>
      </c>
      <c r="C18">
        <v>10933007.510065131</v>
      </c>
      <c r="D18">
        <v>472559.2571245943</v>
      </c>
      <c r="E18">
        <v>16990970.477029994</v>
      </c>
    </row>
    <row r="19" spans="1:5" x14ac:dyDescent="0.3">
      <c r="A19" t="s">
        <v>22</v>
      </c>
      <c r="B19">
        <v>16161759.147931196</v>
      </c>
      <c r="C19">
        <v>10409098.037000917</v>
      </c>
      <c r="D19">
        <v>473450.62687298941</v>
      </c>
      <c r="E19">
        <v>16717359.737029999</v>
      </c>
    </row>
    <row r="20" spans="1:5" x14ac:dyDescent="0.3">
      <c r="A20" t="s">
        <v>23</v>
      </c>
      <c r="B20">
        <v>16310436.190021742</v>
      </c>
      <c r="C20">
        <v>10739257.319858247</v>
      </c>
      <c r="D20">
        <v>416389.12073167239</v>
      </c>
      <c r="E20">
        <v>16606168.055399995</v>
      </c>
    </row>
    <row r="21" spans="1:5" x14ac:dyDescent="0.3">
      <c r="A21" t="s">
        <v>24</v>
      </c>
      <c r="B21">
        <v>16214989.016750766</v>
      </c>
      <c r="C21">
        <v>10757601.18707413</v>
      </c>
      <c r="D21">
        <v>397803.29263273306</v>
      </c>
      <c r="E21">
        <v>17307761.445399996</v>
      </c>
    </row>
    <row r="22" spans="1:5" x14ac:dyDescent="0.3">
      <c r="A22" t="s">
        <v>25</v>
      </c>
      <c r="B22">
        <v>16300298.873035157</v>
      </c>
      <c r="C22">
        <v>9858075.2700850554</v>
      </c>
      <c r="D22">
        <v>463904.1967223495</v>
      </c>
      <c r="E22">
        <v>18185481.635400001</v>
      </c>
    </row>
    <row r="23" spans="1:5" x14ac:dyDescent="0.3">
      <c r="A23" t="s">
        <v>26</v>
      </c>
      <c r="B23">
        <v>15314410.369917314</v>
      </c>
      <c r="C23">
        <v>10624086.336843643</v>
      </c>
      <c r="D23">
        <v>444186.41126695526</v>
      </c>
      <c r="E23">
        <v>17401565.707029995</v>
      </c>
    </row>
    <row r="24" spans="1:5" x14ac:dyDescent="0.3">
      <c r="A24" t="s">
        <v>27</v>
      </c>
      <c r="B24">
        <v>15217433.517119799</v>
      </c>
      <c r="C24">
        <v>10246454.700152934</v>
      </c>
      <c r="D24">
        <v>432557.28846153588</v>
      </c>
      <c r="E24">
        <v>16922732.55703</v>
      </c>
    </row>
    <row r="25" spans="1:5" x14ac:dyDescent="0.3">
      <c r="A25" t="s">
        <v>28</v>
      </c>
      <c r="B25">
        <v>16135458.750375111</v>
      </c>
      <c r="C25">
        <v>10619852.090205347</v>
      </c>
      <c r="D25">
        <v>367510.28789253923</v>
      </c>
      <c r="E25">
        <v>17847275.735399995</v>
      </c>
    </row>
    <row r="26" spans="1:5" x14ac:dyDescent="0.3">
      <c r="A26" t="s">
        <v>29</v>
      </c>
      <c r="B26">
        <v>15351568.248429596</v>
      </c>
      <c r="C26">
        <v>10499172.577878969</v>
      </c>
      <c r="D26">
        <v>440460.21199198556</v>
      </c>
      <c r="E26">
        <v>16466491.647029996</v>
      </c>
    </row>
    <row r="27" spans="1:5" x14ac:dyDescent="0.3">
      <c r="A27" t="s">
        <v>30</v>
      </c>
      <c r="B27">
        <v>15771971.56967786</v>
      </c>
      <c r="C27">
        <v>10388319.763366608</v>
      </c>
      <c r="D27">
        <v>437097.03269129433</v>
      </c>
      <c r="E27">
        <v>17517095.785399996</v>
      </c>
    </row>
    <row r="28" spans="1:5" x14ac:dyDescent="0.3">
      <c r="A28" t="s">
        <v>31</v>
      </c>
      <c r="B28">
        <v>16211128.678971805</v>
      </c>
      <c r="C28">
        <v>10888632.805139719</v>
      </c>
      <c r="D28">
        <v>438561.19660253148</v>
      </c>
      <c r="E28">
        <v>17390382.777029999</v>
      </c>
    </row>
    <row r="29" spans="1:5" x14ac:dyDescent="0.3">
      <c r="A29" t="s">
        <v>32</v>
      </c>
      <c r="B29">
        <v>16219705.344407842</v>
      </c>
      <c r="C29">
        <v>10652353.495273508</v>
      </c>
      <c r="D29">
        <v>391975.88901986281</v>
      </c>
      <c r="E29">
        <v>18595859.865399998</v>
      </c>
    </row>
    <row r="30" spans="1:5" x14ac:dyDescent="0.3">
      <c r="A30" t="s">
        <v>33</v>
      </c>
      <c r="B30">
        <v>16476151.851490924</v>
      </c>
      <c r="C30">
        <v>10750329.40858827</v>
      </c>
      <c r="D30">
        <v>441318.55133165402</v>
      </c>
      <c r="E30">
        <v>16482160.715399999</v>
      </c>
    </row>
    <row r="31" spans="1:5" x14ac:dyDescent="0.3">
      <c r="A31" t="s">
        <v>34</v>
      </c>
      <c r="B31">
        <v>15301216.647664908</v>
      </c>
      <c r="C31">
        <v>9980368.0775150582</v>
      </c>
      <c r="D31">
        <v>476227.51170253369</v>
      </c>
      <c r="E31">
        <v>17679101.187029999</v>
      </c>
    </row>
    <row r="32" spans="1:5" x14ac:dyDescent="0.3">
      <c r="A32" t="s">
        <v>35</v>
      </c>
      <c r="B32">
        <v>15871863.097157704</v>
      </c>
      <c r="C32">
        <v>10531697.979161032</v>
      </c>
      <c r="D32">
        <v>433704.07027535909</v>
      </c>
      <c r="E32">
        <v>17437605.224385299</v>
      </c>
    </row>
    <row r="33" spans="1:5" x14ac:dyDescent="0.3">
      <c r="A33" t="s">
        <v>36</v>
      </c>
      <c r="B33">
        <v>694583.59867454763</v>
      </c>
      <c r="C33">
        <v>345047.54483520152</v>
      </c>
      <c r="D33">
        <v>25966.622382205438</v>
      </c>
      <c r="E33">
        <v>639107.98593387054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DB45E-3615-4E56-B50F-D5E3A6CE8DCE}">
  <dimension ref="A1:E33"/>
  <sheetViews>
    <sheetView workbookViewId="0"/>
  </sheetViews>
  <sheetFormatPr defaultColWidth="11.19921875" defaultRowHeight="15.6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30460000.704007525</v>
      </c>
      <c r="C2">
        <v>11163818.023118306</v>
      </c>
      <c r="D2">
        <v>421551.95570808521</v>
      </c>
      <c r="E2">
        <v>5469031.3162699835</v>
      </c>
    </row>
    <row r="3" spans="1:5" x14ac:dyDescent="0.3">
      <c r="A3" t="s">
        <v>6</v>
      </c>
      <c r="B3">
        <v>31413846.11385392</v>
      </c>
      <c r="C3">
        <v>11189429.219086081</v>
      </c>
      <c r="D3">
        <v>453320.00111892365</v>
      </c>
      <c r="E3">
        <v>4730217.2325299997</v>
      </c>
    </row>
    <row r="4" spans="1:5" x14ac:dyDescent="0.3">
      <c r="A4" t="s">
        <v>7</v>
      </c>
      <c r="B4">
        <v>31694020.976243153</v>
      </c>
      <c r="C4">
        <v>11308616.803436136</v>
      </c>
      <c r="D4">
        <v>437004.29742022499</v>
      </c>
      <c r="E4">
        <v>5292099.7362699946</v>
      </c>
    </row>
    <row r="5" spans="1:5" x14ac:dyDescent="0.3">
      <c r="A5" t="s">
        <v>8</v>
      </c>
      <c r="B5">
        <v>29734374.380196393</v>
      </c>
      <c r="C5">
        <v>12257588.653577879</v>
      </c>
      <c r="D5">
        <v>431289.0033763934</v>
      </c>
      <c r="E5">
        <v>4495385.7262699958</v>
      </c>
    </row>
    <row r="6" spans="1:5" x14ac:dyDescent="0.3">
      <c r="A6" t="s">
        <v>9</v>
      </c>
      <c r="B6">
        <v>28691613.002865504</v>
      </c>
      <c r="C6">
        <v>10660220.437082198</v>
      </c>
      <c r="D6">
        <v>411577.38827658817</v>
      </c>
      <c r="E6">
        <v>5249182.1518599996</v>
      </c>
    </row>
    <row r="7" spans="1:5" x14ac:dyDescent="0.3">
      <c r="A7" t="s">
        <v>10</v>
      </c>
      <c r="B7">
        <v>30870732.185274798</v>
      </c>
      <c r="C7">
        <v>11820212.510389697</v>
      </c>
      <c r="D7">
        <v>431257.75200503186</v>
      </c>
      <c r="E7">
        <v>5570992.4937499985</v>
      </c>
    </row>
    <row r="8" spans="1:5" x14ac:dyDescent="0.3">
      <c r="A8" t="s">
        <v>11</v>
      </c>
      <c r="B8">
        <v>31501745.277579475</v>
      </c>
      <c r="C8">
        <v>11447340.901564846</v>
      </c>
      <c r="D8">
        <v>466201.33304581646</v>
      </c>
      <c r="E8">
        <v>4360601.6681199996</v>
      </c>
    </row>
    <row r="9" spans="1:5" x14ac:dyDescent="0.3">
      <c r="A9" t="s">
        <v>12</v>
      </c>
      <c r="B9">
        <v>28931185.973571729</v>
      </c>
      <c r="C9">
        <v>11175091.086450968</v>
      </c>
      <c r="D9">
        <v>451686.10438310297</v>
      </c>
      <c r="E9">
        <v>5081933.3781199995</v>
      </c>
    </row>
    <row r="10" spans="1:5" x14ac:dyDescent="0.3">
      <c r="A10" t="s">
        <v>13</v>
      </c>
      <c r="B10">
        <v>29496342.728181023</v>
      </c>
      <c r="C10">
        <v>11294173.30716544</v>
      </c>
      <c r="D10">
        <v>460766.50476048625</v>
      </c>
      <c r="E10">
        <v>6082083.1725300001</v>
      </c>
    </row>
    <row r="11" spans="1:5" x14ac:dyDescent="0.3">
      <c r="A11" t="s">
        <v>14</v>
      </c>
      <c r="B11">
        <v>31246082.91503999</v>
      </c>
      <c r="C11">
        <v>11174876.574569218</v>
      </c>
      <c r="D11">
        <v>413705.74044801632</v>
      </c>
      <c r="E11">
        <v>4752649.6637500003</v>
      </c>
    </row>
    <row r="12" spans="1:5" x14ac:dyDescent="0.3">
      <c r="A12" t="s">
        <v>15</v>
      </c>
      <c r="B12">
        <v>31898552.036549684</v>
      </c>
      <c r="C12">
        <v>11125856.56017736</v>
      </c>
      <c r="D12">
        <v>461861.02508544736</v>
      </c>
      <c r="E12">
        <v>5228008.5081199976</v>
      </c>
    </row>
    <row r="13" spans="1:5" x14ac:dyDescent="0.3">
      <c r="A13" t="s">
        <v>16</v>
      </c>
      <c r="B13">
        <v>31264097.982095364</v>
      </c>
      <c r="C13">
        <v>11330477.966594841</v>
      </c>
      <c r="D13">
        <v>459624.5401305515</v>
      </c>
      <c r="E13">
        <v>4135506.3125299998</v>
      </c>
    </row>
    <row r="14" spans="1:5" x14ac:dyDescent="0.3">
      <c r="A14" t="s">
        <v>17</v>
      </c>
      <c r="B14">
        <v>31971428.155288514</v>
      </c>
      <c r="C14">
        <v>11170977.27978858</v>
      </c>
      <c r="D14">
        <v>453869.27067018067</v>
      </c>
      <c r="E14">
        <v>5159222.4225299992</v>
      </c>
    </row>
    <row r="15" spans="1:5" x14ac:dyDescent="0.3">
      <c r="A15" t="s">
        <v>18</v>
      </c>
      <c r="B15">
        <v>31976414.820468832</v>
      </c>
      <c r="C15">
        <v>11435535.044610932</v>
      </c>
      <c r="D15">
        <v>484945.60289471614</v>
      </c>
      <c r="E15">
        <v>5103566.1725299954</v>
      </c>
    </row>
    <row r="16" spans="1:5" x14ac:dyDescent="0.3">
      <c r="A16" t="s">
        <v>19</v>
      </c>
      <c r="B16">
        <v>29588082.179032166</v>
      </c>
      <c r="C16">
        <v>11442918.592510089</v>
      </c>
      <c r="D16">
        <v>435614.68280065985</v>
      </c>
      <c r="E16">
        <v>3889521.3425299651</v>
      </c>
    </row>
    <row r="17" spans="1:5" x14ac:dyDescent="0.3">
      <c r="A17" t="s">
        <v>20</v>
      </c>
      <c r="B17">
        <v>27336390.587487627</v>
      </c>
      <c r="C17">
        <v>11554853.786510969</v>
      </c>
      <c r="D17">
        <v>435761.5312919626</v>
      </c>
      <c r="E17">
        <v>5214760.402529995</v>
      </c>
    </row>
    <row r="18" spans="1:5" x14ac:dyDescent="0.3">
      <c r="A18" t="s">
        <v>21</v>
      </c>
      <c r="B18">
        <v>31629505.12109711</v>
      </c>
      <c r="C18">
        <v>11312965.154463816</v>
      </c>
      <c r="D18">
        <v>486403.27640583302</v>
      </c>
      <c r="E18">
        <v>4675767.0625299988</v>
      </c>
    </row>
    <row r="19" spans="1:5" x14ac:dyDescent="0.3">
      <c r="A19" t="s">
        <v>22</v>
      </c>
      <c r="B19">
        <v>32084474.663700834</v>
      </c>
      <c r="C19">
        <v>11689436.037012666</v>
      </c>
      <c r="D19">
        <v>489057.75308224</v>
      </c>
      <c r="E19">
        <v>4003991.0125299944</v>
      </c>
    </row>
    <row r="20" spans="1:5" x14ac:dyDescent="0.3">
      <c r="A20" t="s">
        <v>23</v>
      </c>
      <c r="B20">
        <v>31572274.68664569</v>
      </c>
      <c r="C20">
        <v>11156417.479773344</v>
      </c>
      <c r="D20">
        <v>429737.17024308437</v>
      </c>
      <c r="E20">
        <v>4291680.442529995</v>
      </c>
    </row>
    <row r="21" spans="1:5" x14ac:dyDescent="0.3">
      <c r="A21" t="s">
        <v>24</v>
      </c>
      <c r="B21">
        <v>31170127.766283251</v>
      </c>
      <c r="C21">
        <v>11163695.612240156</v>
      </c>
      <c r="D21">
        <v>409692.68119367806</v>
      </c>
      <c r="E21">
        <v>4513776.376269998</v>
      </c>
    </row>
    <row r="22" spans="1:5" x14ac:dyDescent="0.3">
      <c r="A22" t="s">
        <v>25</v>
      </c>
      <c r="B22">
        <v>31644243.504740138</v>
      </c>
      <c r="C22">
        <v>11301338.776216822</v>
      </c>
      <c r="D22">
        <v>478479.26143103815</v>
      </c>
      <c r="E22">
        <v>5522376.8562699966</v>
      </c>
    </row>
    <row r="23" spans="1:5" x14ac:dyDescent="0.3">
      <c r="A23" t="s">
        <v>26</v>
      </c>
      <c r="B23">
        <v>32194800.559768073</v>
      </c>
      <c r="C23">
        <v>11451145.900836919</v>
      </c>
      <c r="D23">
        <v>452638.59589583956</v>
      </c>
      <c r="E23">
        <v>4751602.3125299746</v>
      </c>
    </row>
    <row r="24" spans="1:5" x14ac:dyDescent="0.3">
      <c r="A24" t="s">
        <v>27</v>
      </c>
      <c r="B24">
        <v>29818514.869383957</v>
      </c>
      <c r="C24">
        <v>11298088.749458537</v>
      </c>
      <c r="D24">
        <v>444146.98459922388</v>
      </c>
      <c r="E24">
        <v>4195953.7125299964</v>
      </c>
    </row>
    <row r="25" spans="1:5" x14ac:dyDescent="0.3">
      <c r="A25" t="s">
        <v>28</v>
      </c>
      <c r="B25">
        <v>29216840.758455895</v>
      </c>
      <c r="C25">
        <v>11018330.052184129</v>
      </c>
      <c r="D25">
        <v>377991.72070662404</v>
      </c>
      <c r="E25">
        <v>5574307.0625299914</v>
      </c>
    </row>
    <row r="26" spans="1:5" x14ac:dyDescent="0.3">
      <c r="A26" t="s">
        <v>29</v>
      </c>
      <c r="B26">
        <v>30934101.024917323</v>
      </c>
      <c r="C26">
        <v>11309029.511274023</v>
      </c>
      <c r="D26">
        <v>450567.59556471661</v>
      </c>
      <c r="E26">
        <v>3732224.5662699989</v>
      </c>
    </row>
    <row r="27" spans="1:5" x14ac:dyDescent="0.3">
      <c r="A27" t="s">
        <v>30</v>
      </c>
      <c r="B27">
        <v>29669270.490423676</v>
      </c>
      <c r="C27">
        <v>11241532.81478072</v>
      </c>
      <c r="D27">
        <v>453520.91583264753</v>
      </c>
      <c r="E27">
        <v>5663919.682529998</v>
      </c>
    </row>
    <row r="28" spans="1:5" x14ac:dyDescent="0.3">
      <c r="A28" t="s">
        <v>31</v>
      </c>
      <c r="B28">
        <v>32134957.986975059</v>
      </c>
      <c r="C28">
        <v>11305355.018200295</v>
      </c>
      <c r="D28">
        <v>444979.59464128251</v>
      </c>
      <c r="E28">
        <v>4998177.5325299986</v>
      </c>
    </row>
    <row r="29" spans="1:5" x14ac:dyDescent="0.3">
      <c r="A29" t="s">
        <v>32</v>
      </c>
      <c r="B29">
        <v>31704384.209985029</v>
      </c>
      <c r="C29">
        <v>11909910.628545418</v>
      </c>
      <c r="D29">
        <v>408569.05821693741</v>
      </c>
      <c r="E29">
        <v>5842500.3125299988</v>
      </c>
    </row>
    <row r="30" spans="1:5" x14ac:dyDescent="0.3">
      <c r="A30" t="s">
        <v>33</v>
      </c>
      <c r="B30">
        <v>31646850.830321398</v>
      </c>
      <c r="C30">
        <v>11700819.312668016</v>
      </c>
      <c r="D30">
        <v>455512.0659949035</v>
      </c>
      <c r="E30">
        <v>4341734.1525299903</v>
      </c>
    </row>
    <row r="31" spans="1:5" x14ac:dyDescent="0.3">
      <c r="A31" t="s">
        <v>34</v>
      </c>
      <c r="B31">
        <v>27354732.966284595</v>
      </c>
      <c r="C31">
        <v>11823630.114477327</v>
      </c>
      <c r="D31">
        <v>486638.63351952384</v>
      </c>
      <c r="E31">
        <v>4953555.2125299973</v>
      </c>
    </row>
    <row r="32" spans="1:5" x14ac:dyDescent="0.3">
      <c r="A32" t="s">
        <v>35</v>
      </c>
      <c r="B32">
        <v>30694999.648557261</v>
      </c>
      <c r="C32">
        <v>11374456.063625524</v>
      </c>
      <c r="D32">
        <v>445932.40135812544</v>
      </c>
      <c r="E32">
        <v>4895877.5998959951</v>
      </c>
    </row>
    <row r="33" spans="1:5" x14ac:dyDescent="0.3">
      <c r="A33" t="s">
        <v>36</v>
      </c>
      <c r="B33">
        <v>1386595.9208517883</v>
      </c>
      <c r="C33">
        <v>309040.48226353998</v>
      </c>
      <c r="D33">
        <v>26456.763800694596</v>
      </c>
      <c r="E33">
        <v>610185.22257639735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40045-6D67-44D5-90E3-25F3DC673317}">
  <dimension ref="A1:E33"/>
  <sheetViews>
    <sheetView workbookViewId="0"/>
  </sheetViews>
  <sheetFormatPr defaultColWidth="11.19921875" defaultRowHeight="15.6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57059064.253473625</v>
      </c>
      <c r="C2">
        <v>12326807.859830381</v>
      </c>
      <c r="D2">
        <v>417472.6852007783</v>
      </c>
      <c r="E2">
        <v>3645355.4618600002</v>
      </c>
    </row>
    <row r="3" spans="1:5" x14ac:dyDescent="0.3">
      <c r="A3" t="s">
        <v>6</v>
      </c>
      <c r="B3">
        <v>57345408.060625345</v>
      </c>
      <c r="C3">
        <v>11837305.096622277</v>
      </c>
      <c r="D3">
        <v>454748.91441460705</v>
      </c>
      <c r="E3">
        <v>2904544.7518599993</v>
      </c>
    </row>
    <row r="4" spans="1:5" x14ac:dyDescent="0.3">
      <c r="A4" t="s">
        <v>7</v>
      </c>
      <c r="B4">
        <v>55743740.962661214</v>
      </c>
      <c r="C4">
        <v>11543704.433300769</v>
      </c>
      <c r="D4">
        <v>437225.78752637864</v>
      </c>
      <c r="E4">
        <v>3933283.82186</v>
      </c>
    </row>
    <row r="5" spans="1:5" x14ac:dyDescent="0.3">
      <c r="A5" t="s">
        <v>8</v>
      </c>
      <c r="B5">
        <v>51847835.806935392</v>
      </c>
      <c r="C5">
        <v>12326709.301239179</v>
      </c>
      <c r="D5">
        <v>429907.93669786613</v>
      </c>
      <c r="E5">
        <v>2677141.4818599941</v>
      </c>
    </row>
    <row r="6" spans="1:5" x14ac:dyDescent="0.3">
      <c r="A6" t="s">
        <v>9</v>
      </c>
      <c r="B6">
        <v>48903660.16955629</v>
      </c>
      <c r="C6">
        <v>11539703.052775497</v>
      </c>
      <c r="D6">
        <v>412438.40122832358</v>
      </c>
      <c r="E6">
        <v>4088489.1518600001</v>
      </c>
    </row>
    <row r="7" spans="1:5" x14ac:dyDescent="0.3">
      <c r="A7" t="s">
        <v>10</v>
      </c>
      <c r="B7">
        <v>57483367.049709864</v>
      </c>
      <c r="C7">
        <v>12188724.256405754</v>
      </c>
      <c r="D7">
        <v>437770.82037822192</v>
      </c>
      <c r="E7">
        <v>3636892.6760214586</v>
      </c>
    </row>
    <row r="8" spans="1:5" x14ac:dyDescent="0.3">
      <c r="A8" t="s">
        <v>11</v>
      </c>
      <c r="B8">
        <v>56808322.244235002</v>
      </c>
      <c r="C8">
        <v>11177370.299492285</v>
      </c>
      <c r="D8">
        <v>466420.48617699073</v>
      </c>
      <c r="E8">
        <v>2874320.550643852</v>
      </c>
    </row>
    <row r="9" spans="1:5" x14ac:dyDescent="0.3">
      <c r="A9" t="s">
        <v>12</v>
      </c>
      <c r="B9">
        <v>54541541.024702698</v>
      </c>
      <c r="C9">
        <v>11021122.946174951</v>
      </c>
      <c r="D9">
        <v>451977.26017669891</v>
      </c>
      <c r="E9">
        <v>3394808.8018599995</v>
      </c>
    </row>
    <row r="10" spans="1:5" x14ac:dyDescent="0.3">
      <c r="A10" t="s">
        <v>13</v>
      </c>
      <c r="B10">
        <v>59459779.731776215</v>
      </c>
      <c r="C10">
        <v>12323143.791235814</v>
      </c>
      <c r="D10">
        <v>462451.26282125898</v>
      </c>
      <c r="E10">
        <v>3820270.2710977565</v>
      </c>
    </row>
    <row r="11" spans="1:5" x14ac:dyDescent="0.3">
      <c r="A11" t="s">
        <v>14</v>
      </c>
      <c r="B11">
        <v>56998924.528855585</v>
      </c>
      <c r="C11">
        <v>12188753.186342489</v>
      </c>
      <c r="D11">
        <v>411904.08685760933</v>
      </c>
      <c r="E11">
        <v>3010347.3218599972</v>
      </c>
    </row>
    <row r="12" spans="1:5" x14ac:dyDescent="0.3">
      <c r="A12" t="s">
        <v>15</v>
      </c>
      <c r="B12">
        <v>57332170.47504507</v>
      </c>
      <c r="C12">
        <v>12054669.242188597</v>
      </c>
      <c r="D12">
        <v>458886.02572812745</v>
      </c>
      <c r="E12">
        <v>3544469.5418599988</v>
      </c>
    </row>
    <row r="13" spans="1:5" x14ac:dyDescent="0.3">
      <c r="A13" t="s">
        <v>16</v>
      </c>
      <c r="B13">
        <v>57082280.320588522</v>
      </c>
      <c r="C13">
        <v>11974930.680330846</v>
      </c>
      <c r="D13">
        <v>460938.39287730696</v>
      </c>
      <c r="E13">
        <v>2470888.2318599997</v>
      </c>
    </row>
    <row r="14" spans="1:5" x14ac:dyDescent="0.3">
      <c r="A14" t="s">
        <v>17</v>
      </c>
      <c r="B14">
        <v>58616939.974268928</v>
      </c>
      <c r="C14">
        <v>12928158.200000107</v>
      </c>
      <c r="D14">
        <v>443661.8497997275</v>
      </c>
      <c r="E14">
        <v>3245109.0418599993</v>
      </c>
    </row>
    <row r="15" spans="1:5" x14ac:dyDescent="0.3">
      <c r="A15" t="s">
        <v>18</v>
      </c>
      <c r="B15">
        <v>57036190.058096759</v>
      </c>
      <c r="C15">
        <v>12061824.830274947</v>
      </c>
      <c r="D15">
        <v>489862.64893322013</v>
      </c>
      <c r="E15">
        <v>2862053.3618599996</v>
      </c>
    </row>
    <row r="16" spans="1:5" x14ac:dyDescent="0.3">
      <c r="A16" t="s">
        <v>19</v>
      </c>
      <c r="B16">
        <v>57791349.614705943</v>
      </c>
      <c r="C16">
        <v>11662791.1150706</v>
      </c>
      <c r="D16">
        <v>430800.29601840896</v>
      </c>
      <c r="E16">
        <v>2136360.8159300005</v>
      </c>
    </row>
    <row r="17" spans="1:5" x14ac:dyDescent="0.3">
      <c r="A17" t="s">
        <v>20</v>
      </c>
      <c r="B17">
        <v>58637827.963580392</v>
      </c>
      <c r="C17">
        <v>12192418.339057384</v>
      </c>
      <c r="D17">
        <v>420278.41252859449</v>
      </c>
      <c r="E17">
        <v>3265512.4893627847</v>
      </c>
    </row>
    <row r="18" spans="1:5" x14ac:dyDescent="0.3">
      <c r="A18" t="s">
        <v>21</v>
      </c>
      <c r="B18">
        <v>57967384.41039978</v>
      </c>
      <c r="C18">
        <v>12282556.33481916</v>
      </c>
      <c r="D18">
        <v>482946.59164582664</v>
      </c>
      <c r="E18">
        <v>2754081.2259299988</v>
      </c>
    </row>
    <row r="19" spans="1:5" x14ac:dyDescent="0.3">
      <c r="A19" t="s">
        <v>22</v>
      </c>
      <c r="B19">
        <v>56149274.763703473</v>
      </c>
      <c r="C19">
        <v>11666471.962785663</v>
      </c>
      <c r="D19">
        <v>483578.28125644237</v>
      </c>
      <c r="E19">
        <v>2309870.1518599996</v>
      </c>
    </row>
    <row r="20" spans="1:5" x14ac:dyDescent="0.3">
      <c r="A20" t="s">
        <v>23</v>
      </c>
      <c r="B20">
        <v>57650564.870392151</v>
      </c>
      <c r="C20">
        <v>12188719.943579899</v>
      </c>
      <c r="D20">
        <v>422911.72111241188</v>
      </c>
      <c r="E20">
        <v>2433061.9099092055</v>
      </c>
    </row>
    <row r="21" spans="1:5" x14ac:dyDescent="0.3">
      <c r="A21" t="s">
        <v>24</v>
      </c>
      <c r="B21">
        <v>56155948.243818127</v>
      </c>
      <c r="C21">
        <v>11939076.359075628</v>
      </c>
      <c r="D21">
        <v>406226.29539124819</v>
      </c>
      <c r="E21">
        <v>2860960.8318599998</v>
      </c>
    </row>
    <row r="22" spans="1:5" x14ac:dyDescent="0.3">
      <c r="A22" t="s">
        <v>25</v>
      </c>
      <c r="B22">
        <v>57138809.822381854</v>
      </c>
      <c r="C22">
        <v>12065736.490021003</v>
      </c>
      <c r="D22">
        <v>475336.25888182886</v>
      </c>
      <c r="E22">
        <v>3878279.4918600004</v>
      </c>
    </row>
    <row r="23" spans="1:5" x14ac:dyDescent="0.3">
      <c r="A23" t="s">
        <v>26</v>
      </c>
      <c r="B23">
        <v>49736861.878974661</v>
      </c>
      <c r="C23">
        <v>11674094.690709908</v>
      </c>
      <c r="D23">
        <v>454872.17850741302</v>
      </c>
      <c r="E23">
        <v>3451823.9818599997</v>
      </c>
    </row>
    <row r="24" spans="1:5" x14ac:dyDescent="0.3">
      <c r="A24" t="s">
        <v>27</v>
      </c>
      <c r="B24">
        <v>57689754.143122539</v>
      </c>
      <c r="C24">
        <v>11666503.256972684</v>
      </c>
      <c r="D24">
        <v>439717.9002261525</v>
      </c>
      <c r="E24">
        <v>2654304.6318600001</v>
      </c>
    </row>
    <row r="25" spans="1:5" x14ac:dyDescent="0.3">
      <c r="A25" t="s">
        <v>28</v>
      </c>
      <c r="B25">
        <v>57763624.153165027</v>
      </c>
      <c r="C25">
        <v>12188724.77327865</v>
      </c>
      <c r="D25">
        <v>376331.47105965595</v>
      </c>
      <c r="E25">
        <v>3411499.2218599995</v>
      </c>
    </row>
    <row r="26" spans="1:5" x14ac:dyDescent="0.3">
      <c r="A26" t="s">
        <v>29</v>
      </c>
      <c r="B26">
        <v>55007078.995215163</v>
      </c>
      <c r="C26">
        <v>11188331.089962924</v>
      </c>
      <c r="D26">
        <v>454482.78844522923</v>
      </c>
      <c r="E26">
        <v>2542296.3959299996</v>
      </c>
    </row>
    <row r="27" spans="1:5" x14ac:dyDescent="0.3">
      <c r="A27" t="s">
        <v>30</v>
      </c>
      <c r="B27">
        <v>52325643.882306084</v>
      </c>
      <c r="C27">
        <v>11931254.003356144</v>
      </c>
      <c r="D27">
        <v>454672.70539817458</v>
      </c>
      <c r="E27">
        <v>3398291.2762699993</v>
      </c>
    </row>
    <row r="28" spans="1:5" x14ac:dyDescent="0.3">
      <c r="A28" t="s">
        <v>31</v>
      </c>
      <c r="B28">
        <v>58031709.005457513</v>
      </c>
      <c r="C28">
        <v>11804789.378929865</v>
      </c>
      <c r="D28">
        <v>451163.45231849072</v>
      </c>
      <c r="E28">
        <v>2960170.4018600006</v>
      </c>
    </row>
    <row r="29" spans="1:5" x14ac:dyDescent="0.3">
      <c r="A29" t="s">
        <v>32</v>
      </c>
      <c r="B29">
        <v>57341672.167345054</v>
      </c>
      <c r="C29">
        <v>12061818.237485925</v>
      </c>
      <c r="D29">
        <v>397701.7028389388</v>
      </c>
      <c r="E29">
        <v>3842960.8418599791</v>
      </c>
    </row>
    <row r="30" spans="1:5" x14ac:dyDescent="0.3">
      <c r="A30" t="s">
        <v>33</v>
      </c>
      <c r="B30">
        <v>57903970.652230211</v>
      </c>
      <c r="C30">
        <v>12073458.217056686</v>
      </c>
      <c r="D30">
        <v>448305.25665252563</v>
      </c>
      <c r="E30">
        <v>2390915.01186</v>
      </c>
    </row>
    <row r="31" spans="1:5" x14ac:dyDescent="0.3">
      <c r="A31" t="s">
        <v>34</v>
      </c>
      <c r="B31">
        <v>57977453.169546284</v>
      </c>
      <c r="C31">
        <v>12065994.242085461</v>
      </c>
      <c r="D31">
        <v>490330.7385767182</v>
      </c>
      <c r="E31">
        <v>2976537.3318599993</v>
      </c>
    </row>
    <row r="32" spans="1:5" x14ac:dyDescent="0.3">
      <c r="A32" t="s">
        <v>35</v>
      </c>
      <c r="B32">
        <v>56384271.746562488</v>
      </c>
      <c r="C32">
        <v>11938188.85368205</v>
      </c>
      <c r="D32">
        <v>444177.42032250587</v>
      </c>
      <c r="E32">
        <v>3112496.6826718352</v>
      </c>
    </row>
    <row r="33" spans="1:5" x14ac:dyDescent="0.3">
      <c r="A33" t="s">
        <v>36</v>
      </c>
      <c r="B33">
        <v>2534119.1571946284</v>
      </c>
      <c r="C33">
        <v>397349.04634983832</v>
      </c>
      <c r="D33">
        <v>27928.268104325449</v>
      </c>
      <c r="E33">
        <v>542084.9380254437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A7BA1-9587-4A05-ADE8-DAD89323D299}">
  <dimension ref="A1:E33"/>
  <sheetViews>
    <sheetView workbookViewId="0"/>
  </sheetViews>
  <sheetFormatPr defaultColWidth="11.19921875" defaultRowHeight="15.6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55451495.673618235</v>
      </c>
      <c r="C2">
        <v>11960995.560470616</v>
      </c>
      <c r="D2">
        <v>413169.78974678688</v>
      </c>
      <c r="E2">
        <v>4332122.0262700003</v>
      </c>
    </row>
    <row r="3" spans="1:5" x14ac:dyDescent="0.3">
      <c r="A3" t="s">
        <v>6</v>
      </c>
      <c r="B3">
        <v>56774777.082573175</v>
      </c>
      <c r="C3">
        <v>11601083.376187222</v>
      </c>
      <c r="D3">
        <v>447689.50573710928</v>
      </c>
      <c r="E3">
        <v>3510492.6262699999</v>
      </c>
    </row>
    <row r="4" spans="1:5" x14ac:dyDescent="0.3">
      <c r="A4" t="s">
        <v>7</v>
      </c>
      <c r="B4">
        <v>55309159.2663505</v>
      </c>
      <c r="C4">
        <v>11561642.304370334</v>
      </c>
      <c r="D4">
        <v>430988.39211567322</v>
      </c>
      <c r="E4">
        <v>4203305.4518599994</v>
      </c>
    </row>
    <row r="5" spans="1:5" x14ac:dyDescent="0.3">
      <c r="A5" t="s">
        <v>8</v>
      </c>
      <c r="B5">
        <v>55589265.534991674</v>
      </c>
      <c r="C5">
        <v>12461197.153870853</v>
      </c>
      <c r="D5">
        <v>427806.68329820537</v>
      </c>
      <c r="E5">
        <v>3263671.8162699994</v>
      </c>
    </row>
    <row r="6" spans="1:5" x14ac:dyDescent="0.3">
      <c r="A6" t="s">
        <v>9</v>
      </c>
      <c r="B6">
        <v>53763129.349542305</v>
      </c>
      <c r="C6">
        <v>11670388.034228554</v>
      </c>
      <c r="D6">
        <v>409271.88912038994</v>
      </c>
      <c r="E6">
        <v>4153132.7418600004</v>
      </c>
    </row>
    <row r="7" spans="1:5" x14ac:dyDescent="0.3">
      <c r="A7" t="s">
        <v>10</v>
      </c>
      <c r="B7">
        <v>56756484.939898886</v>
      </c>
      <c r="C7">
        <v>12461216.301856948</v>
      </c>
      <c r="D7">
        <v>429463.4007052246</v>
      </c>
      <c r="E7">
        <v>4359640.9603399998</v>
      </c>
    </row>
    <row r="8" spans="1:5" x14ac:dyDescent="0.3">
      <c r="A8" t="s">
        <v>11</v>
      </c>
      <c r="B8">
        <v>54234808.867664099</v>
      </c>
      <c r="C8">
        <v>11460065.166670358</v>
      </c>
      <c r="D8">
        <v>454232.74505926616</v>
      </c>
      <c r="E8">
        <v>3195288.4618600002</v>
      </c>
    </row>
    <row r="9" spans="1:5" x14ac:dyDescent="0.3">
      <c r="A9" t="s">
        <v>12</v>
      </c>
      <c r="B9">
        <v>54263965.715314284</v>
      </c>
      <c r="C9">
        <v>11225353.16698741</v>
      </c>
      <c r="D9">
        <v>446184.39978044701</v>
      </c>
      <c r="E9">
        <v>3531026.4262699997</v>
      </c>
    </row>
    <row r="10" spans="1:5" x14ac:dyDescent="0.3">
      <c r="A10" t="s">
        <v>13</v>
      </c>
      <c r="B10">
        <v>57265033.242261581</v>
      </c>
      <c r="C10">
        <v>12061964.456514752</v>
      </c>
      <c r="D10">
        <v>453098.93540193827</v>
      </c>
      <c r="E10">
        <v>4568538.7762699993</v>
      </c>
    </row>
    <row r="11" spans="1:5" x14ac:dyDescent="0.3">
      <c r="A11" t="s">
        <v>14</v>
      </c>
      <c r="B11">
        <v>56002429.062000528</v>
      </c>
      <c r="C11">
        <v>12326817.94852205</v>
      </c>
      <c r="D11">
        <v>405462.23985394341</v>
      </c>
      <c r="E11">
        <v>3576944.7862699991</v>
      </c>
    </row>
    <row r="12" spans="1:5" x14ac:dyDescent="0.3">
      <c r="A12" t="s">
        <v>15</v>
      </c>
      <c r="B12">
        <v>55718849.750725046</v>
      </c>
      <c r="C12">
        <v>11839097.112600783</v>
      </c>
      <c r="D12">
        <v>453289.34710457851</v>
      </c>
      <c r="E12">
        <v>3847819.0918599996</v>
      </c>
    </row>
    <row r="13" spans="1:5" x14ac:dyDescent="0.3">
      <c r="A13" t="s">
        <v>16</v>
      </c>
      <c r="B13">
        <v>56798685.962057546</v>
      </c>
      <c r="C13">
        <v>11481333.824192367</v>
      </c>
      <c r="D13">
        <v>451828.67754223995</v>
      </c>
      <c r="E13">
        <v>3051873.2362700002</v>
      </c>
    </row>
    <row r="14" spans="1:5" x14ac:dyDescent="0.3">
      <c r="A14" t="s">
        <v>17</v>
      </c>
      <c r="B14">
        <v>57372847.931627363</v>
      </c>
      <c r="C14">
        <v>12308157.382954301</v>
      </c>
      <c r="D14">
        <v>440511.43737321498</v>
      </c>
      <c r="E14">
        <v>3723674.3962699999</v>
      </c>
    </row>
    <row r="15" spans="1:5" x14ac:dyDescent="0.3">
      <c r="A15" t="s">
        <v>18</v>
      </c>
      <c r="B15">
        <v>55815139.161069244</v>
      </c>
      <c r="C15">
        <v>11921138.2652392</v>
      </c>
      <c r="D15">
        <v>480533.58657327516</v>
      </c>
      <c r="E15">
        <v>3574236.5062699998</v>
      </c>
    </row>
    <row r="16" spans="1:5" x14ac:dyDescent="0.3">
      <c r="A16" t="s">
        <v>19</v>
      </c>
      <c r="B16">
        <v>57465051.978324048</v>
      </c>
      <c r="C16">
        <v>12322919.0932806</v>
      </c>
      <c r="D16">
        <v>428365.0517661043</v>
      </c>
      <c r="E16">
        <v>2451550.2903399998</v>
      </c>
    </row>
    <row r="17" spans="1:5" x14ac:dyDescent="0.3">
      <c r="A17" t="s">
        <v>20</v>
      </c>
      <c r="B17">
        <v>57357394.512027852</v>
      </c>
      <c r="C17">
        <v>12323133.552448463</v>
      </c>
      <c r="D17">
        <v>421277.45135268441</v>
      </c>
      <c r="E17">
        <v>3854083.8862699997</v>
      </c>
    </row>
    <row r="18" spans="1:5" x14ac:dyDescent="0.3">
      <c r="A18" t="s">
        <v>21</v>
      </c>
      <c r="B18">
        <v>55980259.667534053</v>
      </c>
      <c r="C18">
        <v>11939064.702622125</v>
      </c>
      <c r="D18">
        <v>477187.33134428924</v>
      </c>
      <c r="E18">
        <v>3262792.3362699999</v>
      </c>
    </row>
    <row r="19" spans="1:5" x14ac:dyDescent="0.3">
      <c r="A19" t="s">
        <v>22</v>
      </c>
      <c r="B19">
        <v>56028676.960514575</v>
      </c>
      <c r="C19">
        <v>12535900.35683406</v>
      </c>
      <c r="D19">
        <v>478600.97861804237</v>
      </c>
      <c r="E19">
        <v>2643685.1862699999</v>
      </c>
    </row>
    <row r="20" spans="1:5" x14ac:dyDescent="0.3">
      <c r="A20" t="s">
        <v>23</v>
      </c>
      <c r="B20">
        <v>57090507.750940956</v>
      </c>
      <c r="C20">
        <v>12311847.004550576</v>
      </c>
      <c r="D20">
        <v>419814.18252640619</v>
      </c>
      <c r="E20">
        <v>3029706.8062700001</v>
      </c>
    </row>
    <row r="21" spans="1:5" x14ac:dyDescent="0.3">
      <c r="A21" t="s">
        <v>24</v>
      </c>
      <c r="B21">
        <v>55736375.971726969</v>
      </c>
      <c r="C21">
        <v>11935489.090333177</v>
      </c>
      <c r="D21">
        <v>402320.81068269821</v>
      </c>
      <c r="E21">
        <v>3430381.5762700001</v>
      </c>
    </row>
    <row r="22" spans="1:5" x14ac:dyDescent="0.3">
      <c r="A22" t="s">
        <v>25</v>
      </c>
      <c r="B22">
        <v>56851374.530852206</v>
      </c>
      <c r="C22">
        <v>11989082.424402086</v>
      </c>
      <c r="D22">
        <v>469058.75045347057</v>
      </c>
      <c r="E22">
        <v>4272016.7362699993</v>
      </c>
    </row>
    <row r="23" spans="1:5" x14ac:dyDescent="0.3">
      <c r="A23" t="s">
        <v>26</v>
      </c>
      <c r="B23">
        <v>55957930.681931034</v>
      </c>
      <c r="C23">
        <v>12061824.830274947</v>
      </c>
      <c r="D23">
        <v>451199.79668498598</v>
      </c>
      <c r="E23">
        <v>3495807.8118599998</v>
      </c>
    </row>
    <row r="24" spans="1:5" x14ac:dyDescent="0.3">
      <c r="A24" t="s">
        <v>27</v>
      </c>
      <c r="B24">
        <v>55555152.183243617</v>
      </c>
      <c r="C24">
        <v>11923857.580051584</v>
      </c>
      <c r="D24">
        <v>435935.19803742319</v>
      </c>
      <c r="E24">
        <v>2961430.4718599995</v>
      </c>
    </row>
    <row r="25" spans="1:5" x14ac:dyDescent="0.3">
      <c r="A25" t="s">
        <v>28</v>
      </c>
      <c r="B25">
        <v>55793247.440091223</v>
      </c>
      <c r="C25">
        <v>11960390.922000363</v>
      </c>
      <c r="D25">
        <v>374077.57724165311</v>
      </c>
      <c r="E25">
        <v>4155875.0462699994</v>
      </c>
    </row>
    <row r="26" spans="1:5" x14ac:dyDescent="0.3">
      <c r="A26" t="s">
        <v>29</v>
      </c>
      <c r="B26">
        <v>55684457.104156837</v>
      </c>
      <c r="C26">
        <v>12061933.998684652</v>
      </c>
      <c r="D26">
        <v>446754.78946430841</v>
      </c>
      <c r="E26">
        <v>2651096.6459299996</v>
      </c>
    </row>
    <row r="27" spans="1:5" x14ac:dyDescent="0.3">
      <c r="A27" t="s">
        <v>30</v>
      </c>
      <c r="B27">
        <v>56909774.291184157</v>
      </c>
      <c r="C27">
        <v>11602086.362685012</v>
      </c>
      <c r="D27">
        <v>442487.22299196222</v>
      </c>
      <c r="E27">
        <v>3933150.1462699994</v>
      </c>
    </row>
    <row r="28" spans="1:5" x14ac:dyDescent="0.3">
      <c r="A28" t="s">
        <v>31</v>
      </c>
      <c r="B28">
        <v>57660935.539067775</v>
      </c>
      <c r="C28">
        <v>11938976.714858821</v>
      </c>
      <c r="D28">
        <v>442214.82044904277</v>
      </c>
      <c r="E28">
        <v>3298473.2925299993</v>
      </c>
    </row>
    <row r="29" spans="1:5" x14ac:dyDescent="0.3">
      <c r="A29" t="s">
        <v>32</v>
      </c>
      <c r="B29">
        <v>56029486.032297388</v>
      </c>
      <c r="C29">
        <v>12772562.323525036</v>
      </c>
      <c r="D29">
        <v>396404.52570861048</v>
      </c>
      <c r="E29">
        <v>4567653.5662699994</v>
      </c>
    </row>
    <row r="30" spans="1:5" x14ac:dyDescent="0.3">
      <c r="A30" t="s">
        <v>33</v>
      </c>
      <c r="B30">
        <v>57360515.045079269</v>
      </c>
      <c r="C30">
        <v>12666621.521158293</v>
      </c>
      <c r="D30">
        <v>444777.13512518874</v>
      </c>
      <c r="E30">
        <v>2908432.5062699998</v>
      </c>
    </row>
    <row r="31" spans="1:5" x14ac:dyDescent="0.3">
      <c r="A31" t="s">
        <v>34</v>
      </c>
      <c r="B31">
        <v>56192308.604684338</v>
      </c>
      <c r="C31">
        <v>11735484.637837507</v>
      </c>
      <c r="D31">
        <v>480627.01076472638</v>
      </c>
      <c r="E31">
        <v>3286451.9262699997</v>
      </c>
    </row>
    <row r="32" spans="1:5" x14ac:dyDescent="0.3">
      <c r="A32" t="s">
        <v>35</v>
      </c>
      <c r="B32">
        <v>56158983.994445018</v>
      </c>
      <c r="C32">
        <v>12014054.172340434</v>
      </c>
      <c r="D32">
        <v>438487.78875412961</v>
      </c>
      <c r="E32">
        <v>3569811.8511899998</v>
      </c>
    </row>
    <row r="33" spans="1:5" x14ac:dyDescent="0.3">
      <c r="A33" t="s">
        <v>36</v>
      </c>
      <c r="B33">
        <v>991714.2498773376</v>
      </c>
      <c r="C33">
        <v>379141.91336291999</v>
      </c>
      <c r="D33">
        <v>26069.763202284885</v>
      </c>
      <c r="E33">
        <v>584924.8992708124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7BE7E-CA38-4C81-A47B-D8B9892E3A02}">
  <dimension ref="A1:O12"/>
  <sheetViews>
    <sheetView workbookViewId="0">
      <selection activeCell="B9" sqref="B9:N12"/>
    </sheetView>
  </sheetViews>
  <sheetFormatPr defaultColWidth="11.19921875" defaultRowHeight="15.6" x14ac:dyDescent="0.3"/>
  <cols>
    <col min="1" max="1" width="22.5" bestFit="1" customWidth="1"/>
    <col min="2" max="2" width="11.8984375" bestFit="1" customWidth="1"/>
    <col min="3" max="3" width="0" hidden="1" customWidth="1"/>
    <col min="4" max="4" width="11.8984375" bestFit="1" customWidth="1"/>
    <col min="5" max="5" width="0" hidden="1" customWidth="1"/>
    <col min="6" max="6" width="20.5" bestFit="1" customWidth="1"/>
    <col min="7" max="7" width="22.09765625" hidden="1" customWidth="1"/>
    <col min="8" max="8" width="23.5" bestFit="1" customWidth="1"/>
    <col min="9" max="9" width="0" hidden="1" customWidth="1"/>
    <col min="10" max="10" width="11.8984375" bestFit="1" customWidth="1"/>
    <col min="11" max="11" width="0" hidden="1" customWidth="1"/>
    <col min="12" max="12" width="18.59765625" bestFit="1" customWidth="1"/>
    <col min="13" max="13" width="0" hidden="1" customWidth="1"/>
    <col min="14" max="14" width="28.69921875" bestFit="1" customWidth="1"/>
    <col min="15" max="15" width="0" hidden="1" customWidth="1"/>
  </cols>
  <sheetData>
    <row r="1" spans="1:15" x14ac:dyDescent="0.3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</row>
    <row r="2" spans="1:15" x14ac:dyDescent="0.3">
      <c r="A2" t="s">
        <v>1</v>
      </c>
      <c r="B2" s="1">
        <v>15788049.144577466</v>
      </c>
      <c r="C2" s="1">
        <v>1026835.8712414969</v>
      </c>
      <c r="D2" s="1">
        <v>56615130.564128831</v>
      </c>
      <c r="E2" s="1">
        <v>2209161.3526429762</v>
      </c>
      <c r="F2" s="1">
        <v>56158139.737048529</v>
      </c>
      <c r="G2" s="1">
        <v>992013.27011744538</v>
      </c>
      <c r="H2" s="1">
        <v>15871863.097157704</v>
      </c>
      <c r="I2" s="1">
        <v>694583.59867454763</v>
      </c>
      <c r="J2" s="1">
        <v>30694999.648557261</v>
      </c>
      <c r="K2" s="1">
        <v>1386595.9208517883</v>
      </c>
      <c r="L2" s="1">
        <v>56384271.746562488</v>
      </c>
      <c r="M2" s="1">
        <v>2534119.1571946284</v>
      </c>
      <c r="N2" s="1">
        <v>56158983.994445018</v>
      </c>
      <c r="O2">
        <v>991714.2498773376</v>
      </c>
    </row>
    <row r="3" spans="1:15" x14ac:dyDescent="0.3">
      <c r="A3" t="s">
        <v>2</v>
      </c>
      <c r="B3" s="1">
        <v>10580347.775499346</v>
      </c>
      <c r="C3" s="1">
        <v>580565.33274447557</v>
      </c>
      <c r="D3" s="1">
        <v>11934729.445782432</v>
      </c>
      <c r="E3" s="1">
        <v>355761.07212758635</v>
      </c>
      <c r="F3" s="1">
        <v>12086033.33118535</v>
      </c>
      <c r="G3" s="1">
        <v>385869.54574472434</v>
      </c>
      <c r="H3" s="1">
        <v>10531697.979161032</v>
      </c>
      <c r="I3" s="1">
        <v>345047.54483520152</v>
      </c>
      <c r="J3" s="1">
        <v>11374456.063625524</v>
      </c>
      <c r="K3" s="1">
        <v>309040.48226353998</v>
      </c>
      <c r="L3" s="1">
        <v>11938188.85368205</v>
      </c>
      <c r="M3" s="1">
        <v>397349.04634983832</v>
      </c>
      <c r="N3" s="1">
        <v>12014054.172340434</v>
      </c>
      <c r="O3">
        <v>379141.91336291999</v>
      </c>
    </row>
    <row r="4" spans="1:15" x14ac:dyDescent="0.3">
      <c r="A4" t="s">
        <v>3</v>
      </c>
      <c r="B4" s="1">
        <v>448910.80673115089</v>
      </c>
      <c r="C4" s="1">
        <v>25518.169994496406</v>
      </c>
      <c r="D4" s="1">
        <v>444653.47155028553</v>
      </c>
      <c r="E4" s="1">
        <v>27542.948751366261</v>
      </c>
      <c r="F4" s="1">
        <v>438487.82189624984</v>
      </c>
      <c r="G4" s="1">
        <v>26069.771036322043</v>
      </c>
      <c r="H4" s="1">
        <v>433704.07027535909</v>
      </c>
      <c r="I4" s="1">
        <v>25966.622382205438</v>
      </c>
      <c r="J4" s="1">
        <v>445932.40135812544</v>
      </c>
      <c r="K4" s="1">
        <v>26456.763800694596</v>
      </c>
      <c r="L4" s="1">
        <v>444177.42032250587</v>
      </c>
      <c r="M4" s="1">
        <v>27928.268104325449</v>
      </c>
      <c r="N4" s="1">
        <v>438487.78875412961</v>
      </c>
      <c r="O4">
        <v>26069.763202284885</v>
      </c>
    </row>
    <row r="5" spans="1:15" x14ac:dyDescent="0.3">
      <c r="A5" t="s">
        <v>4</v>
      </c>
      <c r="B5" s="1">
        <v>2045757.6985843328</v>
      </c>
      <c r="C5" s="1">
        <v>432037.55853789748</v>
      </c>
      <c r="D5" s="1">
        <v>3101436.8737079999</v>
      </c>
      <c r="E5" s="1">
        <v>530239.12721058785</v>
      </c>
      <c r="F5" s="1">
        <v>3567710.6845233333</v>
      </c>
      <c r="G5" s="1">
        <v>584672.07084241533</v>
      </c>
      <c r="H5" s="1">
        <v>17437605.224385299</v>
      </c>
      <c r="I5" s="1">
        <v>639107.98593387054</v>
      </c>
      <c r="J5" s="1">
        <v>4895877.5998959951</v>
      </c>
      <c r="K5" s="1">
        <v>610185.22257639735</v>
      </c>
      <c r="L5" s="1">
        <v>3112496.6826718352</v>
      </c>
      <c r="M5" s="1">
        <v>542084.9380254437</v>
      </c>
      <c r="N5" s="1">
        <v>3569811.8511899998</v>
      </c>
      <c r="O5">
        <v>584924.8992708124</v>
      </c>
    </row>
    <row r="8" spans="1:15" x14ac:dyDescent="0.3">
      <c r="A8" t="s">
        <v>52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46</v>
      </c>
      <c r="K8" t="s">
        <v>47</v>
      </c>
      <c r="L8" t="s">
        <v>48</v>
      </c>
      <c r="M8" t="s">
        <v>49</v>
      </c>
      <c r="N8" t="s">
        <v>50</v>
      </c>
    </row>
    <row r="9" spans="1:15" x14ac:dyDescent="0.3">
      <c r="A9" t="s">
        <v>1</v>
      </c>
      <c r="B9" s="2">
        <f>(B2-$D2)/$D2</f>
        <v>-0.72113375016076131</v>
      </c>
      <c r="C9" s="2">
        <f t="shared" ref="C9:N9" si="0">(C2-$D2)/$D2</f>
        <v>-0.98186287197415567</v>
      </c>
      <c r="D9" s="2">
        <f t="shared" si="0"/>
        <v>0</v>
      </c>
      <c r="E9" s="2">
        <f t="shared" si="0"/>
        <v>-0.96097931187952268</v>
      </c>
      <c r="F9" s="2">
        <f t="shared" si="0"/>
        <v>-8.0718850690039718E-3</v>
      </c>
      <c r="G9" s="2">
        <f t="shared" si="0"/>
        <v>-0.98247794785187714</v>
      </c>
      <c r="H9" s="2">
        <f t="shared" si="0"/>
        <v>-0.71965333402915321</v>
      </c>
      <c r="I9" s="2">
        <f t="shared" si="0"/>
        <v>-0.98773148464459015</v>
      </c>
      <c r="J9" s="2">
        <f t="shared" si="0"/>
        <v>-0.4578304537549629</v>
      </c>
      <c r="K9" s="2">
        <f t="shared" si="0"/>
        <v>-0.97550838606154633</v>
      </c>
      <c r="L9" s="2">
        <f t="shared" si="0"/>
        <v>-4.0776876298968404E-3</v>
      </c>
      <c r="M9" s="2">
        <f t="shared" si="0"/>
        <v>-0.95523954229295305</v>
      </c>
      <c r="N9" s="2">
        <f t="shared" si="0"/>
        <v>-8.056972846987049E-3</v>
      </c>
    </row>
    <row r="10" spans="1:15" x14ac:dyDescent="0.3">
      <c r="A10" t="s">
        <v>2</v>
      </c>
      <c r="B10" s="2">
        <f t="shared" ref="B10:N10" si="1">(B3-$D3)/$D3</f>
        <v>-0.11348239408658789</v>
      </c>
      <c r="C10" s="2">
        <f t="shared" si="1"/>
        <v>-0.95135496490457605</v>
      </c>
      <c r="D10" s="2">
        <f t="shared" si="1"/>
        <v>0</v>
      </c>
      <c r="E10" s="2">
        <f t="shared" si="1"/>
        <v>-0.97019110707588707</v>
      </c>
      <c r="F10" s="2">
        <f t="shared" si="1"/>
        <v>1.2677613354392927E-2</v>
      </c>
      <c r="G10" s="2">
        <f t="shared" si="1"/>
        <v>-0.96766834577208738</v>
      </c>
      <c r="H10" s="2">
        <f t="shared" si="1"/>
        <v>-0.11755871576269478</v>
      </c>
      <c r="I10" s="2">
        <f t="shared" si="1"/>
        <v>-0.97108878367099161</v>
      </c>
      <c r="J10" s="2">
        <f t="shared" si="1"/>
        <v>-4.6944791224815013E-2</v>
      </c>
      <c r="K10" s="2">
        <f t="shared" si="1"/>
        <v>-0.97410578231643519</v>
      </c>
      <c r="L10" s="2">
        <f t="shared" si="1"/>
        <v>2.8986060516358463E-4</v>
      </c>
      <c r="M10" s="2">
        <f t="shared" si="1"/>
        <v>-0.96670648897782463</v>
      </c>
      <c r="N10" s="2">
        <f t="shared" si="1"/>
        <v>6.6465458574793222E-3</v>
      </c>
    </row>
    <row r="11" spans="1:15" x14ac:dyDescent="0.3">
      <c r="A11" t="s">
        <v>3</v>
      </c>
      <c r="B11" s="2">
        <f t="shared" ref="B11:N11" si="2">(B4-$D4)/$D4</f>
        <v>9.5745011638437398E-3</v>
      </c>
      <c r="C11" s="2">
        <f t="shared" si="2"/>
        <v>-0.94261110813882276</v>
      </c>
      <c r="D11" s="2">
        <f t="shared" si="2"/>
        <v>0</v>
      </c>
      <c r="E11" s="2">
        <f t="shared" si="2"/>
        <v>-0.93805749754896162</v>
      </c>
      <c r="F11" s="2">
        <f t="shared" si="2"/>
        <v>-1.3866190299918575E-2</v>
      </c>
      <c r="G11" s="2">
        <f t="shared" si="2"/>
        <v>-0.94137058922439143</v>
      </c>
      <c r="H11" s="2">
        <f t="shared" si="2"/>
        <v>-2.4624571661953566E-2</v>
      </c>
      <c r="I11" s="2">
        <f t="shared" si="2"/>
        <v>-0.94160256459558778</v>
      </c>
      <c r="J11" s="2">
        <f t="shared" si="2"/>
        <v>2.8762393406733628E-3</v>
      </c>
      <c r="K11" s="2">
        <f t="shared" si="2"/>
        <v>-0.94050026482768023</v>
      </c>
      <c r="L11" s="2">
        <f t="shared" si="2"/>
        <v>-1.0706117420379011E-3</v>
      </c>
      <c r="M11" s="2">
        <f t="shared" si="2"/>
        <v>-0.93719093655795949</v>
      </c>
      <c r="N11" s="2">
        <f t="shared" si="2"/>
        <v>-1.3866264834634592E-2</v>
      </c>
    </row>
    <row r="12" spans="1:15" x14ac:dyDescent="0.3">
      <c r="A12" t="s">
        <v>4</v>
      </c>
      <c r="B12" s="2">
        <f t="shared" ref="B12:N12" si="3">(B5-$D5)/$D5</f>
        <v>-0.34038389885444409</v>
      </c>
      <c r="C12" s="2">
        <f t="shared" si="3"/>
        <v>-0.86069761335449513</v>
      </c>
      <c r="D12" s="2">
        <f t="shared" si="3"/>
        <v>0</v>
      </c>
      <c r="E12" s="2">
        <f t="shared" si="3"/>
        <v>-0.82903436413437392</v>
      </c>
      <c r="F12" s="2">
        <f t="shared" si="3"/>
        <v>0.15034122240826658</v>
      </c>
      <c r="G12" s="2">
        <f t="shared" si="3"/>
        <v>-0.81148348502628187</v>
      </c>
      <c r="H12" s="2">
        <f t="shared" si="3"/>
        <v>4.6224279050172434</v>
      </c>
      <c r="I12" s="2">
        <f t="shared" si="3"/>
        <v>-0.79393164782690895</v>
      </c>
      <c r="J12" s="2">
        <f t="shared" si="3"/>
        <v>0.5785836692018842</v>
      </c>
      <c r="K12" s="2">
        <f t="shared" si="3"/>
        <v>-0.80325724900314499</v>
      </c>
      <c r="L12" s="2">
        <f t="shared" si="3"/>
        <v>3.5660274299287639E-3</v>
      </c>
      <c r="M12" s="2">
        <f t="shared" si="3"/>
        <v>-0.82521490518769103</v>
      </c>
      <c r="N12" s="2">
        <f t="shared" si="3"/>
        <v>0.15101870408925092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79c742c4-e61c-4fa5-be89-a3cb566a80d1}" enabled="0" method="" siteId="{79c742c4-e61c-4fa5-be89-a3cb566a80d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UG-1</vt:lpstr>
      <vt:lpstr>UG-2</vt:lpstr>
      <vt:lpstr>UG-2 Penta Hexa</vt:lpstr>
      <vt:lpstr>UG-2 No Penta Hexa</vt:lpstr>
      <vt:lpstr>UG-3</vt:lpstr>
      <vt:lpstr>UG-2 Producer</vt:lpstr>
      <vt:lpstr>UG-2 Producer Penta Hexa</vt:lpstr>
      <vt:lpstr>Summary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Nicholas Uhorchak</cp:lastModifiedBy>
  <dcterms:created xsi:type="dcterms:W3CDTF">2018-05-22T02:41:32Z</dcterms:created>
  <dcterms:modified xsi:type="dcterms:W3CDTF">2026-04-09T18:05:28Z</dcterms:modified>
</cp:coreProperties>
</file>