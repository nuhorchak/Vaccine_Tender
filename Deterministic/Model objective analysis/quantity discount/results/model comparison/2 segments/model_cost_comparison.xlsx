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ark-my.sharepoint.com/personal/uhorchak_uark_edu/Documents/Desktop/Vaccine_Tender/Deterministic/Model objective analysis/quantity discount/results/model comparison/2 segments/"/>
    </mc:Choice>
  </mc:AlternateContent>
  <xr:revisionPtr revIDLastSave="20" documentId="115_{98D6A7BB-1A19-4C3B-A84A-09F5776DCCC7}" xr6:coauthVersionLast="47" xr6:coauthVersionMax="47" xr10:uidLastSave="{15B55A15-9A58-49C8-AF4E-1C9D93118555}"/>
  <bookViews>
    <workbookView xWindow="-108" yWindow="-108" windowWidth="23256" windowHeight="12456" activeTab="4" xr2:uid="{52D9C27D-0EF6-DD41-9728-0267E68F7539}"/>
  </bookViews>
  <sheets>
    <sheet name="Sheet1" sheetId="1" r:id="rId1"/>
    <sheet name="UG" sheetId="2" r:id="rId2"/>
    <sheet name="SB" sheetId="3" r:id="rId3"/>
    <sheet name="MP" sheetId="4" r:id="rId4"/>
    <sheet name="Summary Comparison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9" i="5" l="1"/>
  <c r="C9" i="5"/>
  <c r="D9" i="5"/>
  <c r="E9" i="5"/>
  <c r="F9" i="5"/>
  <c r="B10" i="5"/>
  <c r="C10" i="5"/>
  <c r="D10" i="5"/>
  <c r="E10" i="5"/>
  <c r="F10" i="5"/>
  <c r="B11" i="5"/>
  <c r="C11" i="5"/>
  <c r="D11" i="5"/>
  <c r="E11" i="5"/>
  <c r="F11" i="5"/>
  <c r="C8" i="5"/>
  <c r="D8" i="5"/>
  <c r="E8" i="5"/>
  <c r="F8" i="5"/>
  <c r="B8" i="5"/>
</calcChain>
</file>

<file path=xl/sharedStrings.xml><?xml version="1.0" encoding="utf-8"?>
<sst xmlns="http://schemas.openxmlformats.org/spreadsheetml/2006/main" count="127" uniqueCount="45">
  <si>
    <t>Trial</t>
  </si>
  <si>
    <t>Coordinating Entity Costs</t>
  </si>
  <si>
    <t>Production Costs</t>
  </si>
  <si>
    <t>Holding Costs</t>
  </si>
  <si>
    <t>Missed Doses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</si>
  <si>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</si>
  <si>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</si>
  <si>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</si>
  <si>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</si>
  <si>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</si>
  <si>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</si>
  <si>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</si>
  <si>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</si>
  <si>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</si>
  <si>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</si>
  <si>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1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</si>
  <si>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</si>
  <si>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</si>
  <si>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</si>
  <si>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</si>
  <si>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</si>
  <si>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</si>
  <si>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</si>
  <si>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</si>
  <si>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</si>
  <si>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</si>
  <si>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2</t>
  </si>
  <si>
    <t>30</t>
  </si>
  <si>
    <t>3</t>
  </si>
  <si>
    <t>4</t>
  </si>
  <si>
    <t>5</t>
  </si>
  <si>
    <t>6</t>
  </si>
  <si>
    <t>7</t>
  </si>
  <si>
    <t>8</t>
  </si>
  <si>
    <t>9</t>
  </si>
  <si>
    <t>Mean</t>
  </si>
  <si>
    <t>Std Dev</t>
  </si>
  <si>
    <t>Cost Component</t>
  </si>
  <si>
    <t>UG Mean</t>
  </si>
  <si>
    <t>UG Std Dev</t>
  </si>
  <si>
    <t>SB Mean</t>
  </si>
  <si>
    <t>SB Std Dev</t>
  </si>
  <si>
    <t>MP Mean</t>
  </si>
  <si>
    <t>MP Std Dev</t>
  </si>
  <si>
    <t>% Deviation from UG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</si>
</sst>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0" fontId="0" fillId="0" borderId="0" xfId="0" applyNumberFormat="1"/>
    <xf numFmtId="11" fontId="0" fillId="0" borderId="0" xfId="0" applyNumberFormat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7B182E-4343-418F-9F36-A0AE7D230B06}">
  <dimension ref="A1"/>
  <sheetViews>
    <sheetView workbookViewId="0"/>
  </sheetViews>
  <sheetFormatPr defaultColWidth="11.19921875" defaultRowHeight="15.6" x14ac:dyDescent="0.3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B757E8-B007-43F2-B2CE-79E773318203}">
  <dimension ref="A1:E33"/>
  <sheetViews>
    <sheetView workbookViewId="0"/>
  </sheetViews>
  <sheetFormatPr defaultColWidth="11.19921875" defaultRowHeight="15.6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>
        <v>23571246.451329079</v>
      </c>
      <c r="C2">
        <v>12065505.744136795</v>
      </c>
      <c r="D2">
        <v>414957.32994096505</v>
      </c>
      <c r="E2">
        <v>3740406.4618600002</v>
      </c>
    </row>
    <row r="3" spans="1:5" x14ac:dyDescent="0.3">
      <c r="A3" t="s">
        <v>6</v>
      </c>
      <c r="B3">
        <v>24422430.80400667</v>
      </c>
      <c r="C3">
        <v>11951181.349934634</v>
      </c>
      <c r="D3">
        <v>453501.02592841204</v>
      </c>
      <c r="E3">
        <v>2925329.7518600002</v>
      </c>
    </row>
    <row r="4" spans="1:5" x14ac:dyDescent="0.3">
      <c r="A4" t="s">
        <v>7</v>
      </c>
      <c r="B4">
        <v>24109363.242270183</v>
      </c>
      <c r="C4">
        <v>11543559.844629791</v>
      </c>
      <c r="D4">
        <v>433489.59865845292</v>
      </c>
      <c r="E4">
        <v>3911364.82186</v>
      </c>
    </row>
    <row r="5" spans="1:5" x14ac:dyDescent="0.3">
      <c r="A5" t="s">
        <v>8</v>
      </c>
      <c r="B5">
        <v>24903275.123323128</v>
      </c>
      <c r="C5">
        <v>12054181.349934634</v>
      </c>
      <c r="D5">
        <v>434592.19147144997</v>
      </c>
      <c r="E5">
        <v>2560717.4818599997</v>
      </c>
    </row>
    <row r="6" spans="1:5" x14ac:dyDescent="0.3">
      <c r="A6" t="s">
        <v>9</v>
      </c>
      <c r="B6">
        <v>22245732.253227875</v>
      </c>
      <c r="C6">
        <v>11348597.620012701</v>
      </c>
      <c r="D6">
        <v>409752.82462150435</v>
      </c>
      <c r="E6">
        <v>3937777.1518600001</v>
      </c>
    </row>
    <row r="7" spans="1:5" x14ac:dyDescent="0.3">
      <c r="A7" t="s">
        <v>10</v>
      </c>
      <c r="B7">
        <v>25600450.220723771</v>
      </c>
      <c r="C7">
        <v>12188904.051964333</v>
      </c>
      <c r="D7">
        <v>434934.45291819808</v>
      </c>
      <c r="E7">
        <v>3636892.6862699995</v>
      </c>
    </row>
    <row r="8" spans="1:5" x14ac:dyDescent="0.3">
      <c r="A8" t="s">
        <v>11</v>
      </c>
      <c r="B8">
        <v>23856754.764354236</v>
      </c>
      <c r="C8">
        <v>11181348.228449605</v>
      </c>
      <c r="D8">
        <v>464366.09446381772</v>
      </c>
      <c r="E8">
        <v>2874320.5418599998</v>
      </c>
    </row>
    <row r="9" spans="1:5" x14ac:dyDescent="0.3">
      <c r="A9" t="s">
        <v>12</v>
      </c>
      <c r="B9">
        <v>22761898.642251115</v>
      </c>
      <c r="C9">
        <v>11140378.665320827</v>
      </c>
      <c r="D9">
        <v>449741.75881918438</v>
      </c>
      <c r="E9">
        <v>3394808.8018599995</v>
      </c>
    </row>
    <row r="10" spans="1:5" x14ac:dyDescent="0.3">
      <c r="A10" t="s">
        <v>13</v>
      </c>
      <c r="B10">
        <v>26113987.843844831</v>
      </c>
      <c r="C10">
        <v>12274660.969923936</v>
      </c>
      <c r="D10">
        <v>459708.36615043163</v>
      </c>
      <c r="E10">
        <v>3916220.2962699994</v>
      </c>
    </row>
    <row r="11" spans="1:5" x14ac:dyDescent="0.3">
      <c r="A11" t="s">
        <v>14</v>
      </c>
      <c r="B11">
        <v>25592122.616609707</v>
      </c>
      <c r="C11">
        <v>12192276.953455852</v>
      </c>
      <c r="D11">
        <v>404614.99781530612</v>
      </c>
      <c r="E11">
        <v>2974773.3218599996</v>
      </c>
    </row>
    <row r="12" spans="1:5" x14ac:dyDescent="0.3">
      <c r="A12" t="s">
        <v>15</v>
      </c>
      <c r="B12">
        <v>24383550.392277781</v>
      </c>
      <c r="C12">
        <v>11804522.18422617</v>
      </c>
      <c r="D12">
        <v>455834.01564190141</v>
      </c>
      <c r="E12">
        <v>3544469.5418600002</v>
      </c>
    </row>
    <row r="13" spans="1:5" x14ac:dyDescent="0.3">
      <c r="A13" t="s">
        <v>16</v>
      </c>
      <c r="B13">
        <v>24987167.683550473</v>
      </c>
      <c r="C13">
        <v>12073300.231122211</v>
      </c>
      <c r="D13">
        <v>458368.24465289904</v>
      </c>
      <c r="E13">
        <v>2458471.2318600002</v>
      </c>
    </row>
    <row r="14" spans="1:5" x14ac:dyDescent="0.3">
      <c r="A14" t="s">
        <v>17</v>
      </c>
      <c r="B14">
        <v>25953791.32189839</v>
      </c>
      <c r="C14">
        <v>12449664.148592671</v>
      </c>
      <c r="D14">
        <v>443953.52648954926</v>
      </c>
      <c r="E14">
        <v>3272430.0418599998</v>
      </c>
    </row>
    <row r="15" spans="1:5" x14ac:dyDescent="0.3">
      <c r="A15" t="s">
        <v>18</v>
      </c>
      <c r="B15">
        <v>24699963.265828919</v>
      </c>
      <c r="C15">
        <v>12188348.289913833</v>
      </c>
      <c r="D15">
        <v>487031.44635407772</v>
      </c>
      <c r="E15">
        <v>2862053.3618599996</v>
      </c>
    </row>
    <row r="16" spans="1:5" x14ac:dyDescent="0.3">
      <c r="A16" t="s">
        <v>19</v>
      </c>
      <c r="B16">
        <v>25002398.812072083</v>
      </c>
      <c r="C16">
        <v>11797054.225294568</v>
      </c>
      <c r="D16">
        <v>433923.91027894983</v>
      </c>
      <c r="E16">
        <v>2149060.81593</v>
      </c>
    </row>
    <row r="17" spans="1:5" x14ac:dyDescent="0.3">
      <c r="A17" t="s">
        <v>20</v>
      </c>
      <c r="B17">
        <v>26239349.335221216</v>
      </c>
      <c r="C17">
        <v>12326673.105766626</v>
      </c>
      <c r="D17">
        <v>415733.25648230815</v>
      </c>
      <c r="E17">
        <v>3264441.49186</v>
      </c>
    </row>
    <row r="18" spans="1:5" x14ac:dyDescent="0.3">
      <c r="A18" t="s">
        <v>21</v>
      </c>
      <c r="B18">
        <v>24993021.784131836</v>
      </c>
      <c r="C18">
        <v>11938919.029166397</v>
      </c>
      <c r="D18">
        <v>480623.71387453401</v>
      </c>
      <c r="E18">
        <v>2754081.2259299997</v>
      </c>
    </row>
    <row r="19" spans="1:5" x14ac:dyDescent="0.3">
      <c r="A19" t="s">
        <v>22</v>
      </c>
      <c r="B19">
        <v>24027281.739928339</v>
      </c>
      <c r="C19">
        <v>11539641.406147027</v>
      </c>
      <c r="D19">
        <v>480088.02561243897</v>
      </c>
      <c r="E19">
        <v>2309870.1518599996</v>
      </c>
    </row>
    <row r="20" spans="1:5" x14ac:dyDescent="0.3">
      <c r="A20" t="s">
        <v>23</v>
      </c>
      <c r="B20">
        <v>25432829.032291684</v>
      </c>
      <c r="C20">
        <v>12188572.987869047</v>
      </c>
      <c r="D20">
        <v>426446.34386383841</v>
      </c>
      <c r="E20">
        <v>2445761.9618599992</v>
      </c>
    </row>
    <row r="21" spans="1:5" x14ac:dyDescent="0.3">
      <c r="A21" t="s">
        <v>24</v>
      </c>
      <c r="B21">
        <v>24086014.487778675</v>
      </c>
      <c r="C21">
        <v>12170430.667736448</v>
      </c>
      <c r="D21">
        <v>404180.24219110393</v>
      </c>
      <c r="E21">
        <v>2840940.8318599998</v>
      </c>
    </row>
    <row r="22" spans="1:5" x14ac:dyDescent="0.3">
      <c r="A22" t="s">
        <v>25</v>
      </c>
      <c r="B22">
        <v>24866704.52892717</v>
      </c>
      <c r="C22">
        <v>11938906.119330052</v>
      </c>
      <c r="D22">
        <v>472283.69567632669</v>
      </c>
      <c r="E22">
        <v>3878279.4918600004</v>
      </c>
    </row>
    <row r="23" spans="1:5" x14ac:dyDescent="0.3">
      <c r="A23" t="s">
        <v>26</v>
      </c>
      <c r="B23">
        <v>24756335.679587495</v>
      </c>
      <c r="C23">
        <v>11924353.813291809</v>
      </c>
      <c r="D23">
        <v>450213.86135622545</v>
      </c>
      <c r="E23">
        <v>3307453.9818599997</v>
      </c>
    </row>
    <row r="24" spans="1:5" x14ac:dyDescent="0.3">
      <c r="A24" t="s">
        <v>27</v>
      </c>
      <c r="B24">
        <v>24469567.734436762</v>
      </c>
      <c r="C24">
        <v>11793247.649948338</v>
      </c>
      <c r="D24">
        <v>442320.1115995486</v>
      </c>
      <c r="E24">
        <v>2639683.6318600001</v>
      </c>
    </row>
    <row r="25" spans="1:5" x14ac:dyDescent="0.3">
      <c r="A25" t="s">
        <v>28</v>
      </c>
      <c r="B25">
        <v>26531597.493610222</v>
      </c>
      <c r="C25">
        <v>12065612.362150887</v>
      </c>
      <c r="D25">
        <v>372433.66082209832</v>
      </c>
      <c r="E25">
        <v>3409807.2218599995</v>
      </c>
    </row>
    <row r="26" spans="1:5" x14ac:dyDescent="0.3">
      <c r="A26" t="s">
        <v>29</v>
      </c>
      <c r="B26">
        <v>23205546.490253802</v>
      </c>
      <c r="C26">
        <v>11518433.128263036</v>
      </c>
      <c r="D26">
        <v>448534.81856610184</v>
      </c>
      <c r="E26">
        <v>2529596.3959299996</v>
      </c>
    </row>
    <row r="27" spans="1:5" x14ac:dyDescent="0.3">
      <c r="A27" t="s">
        <v>30</v>
      </c>
      <c r="B27">
        <v>25906965.001366246</v>
      </c>
      <c r="C27">
        <v>11491284.209606562</v>
      </c>
      <c r="D27">
        <v>452186.07005379355</v>
      </c>
      <c r="E27">
        <v>3266897.9218599997</v>
      </c>
    </row>
    <row r="28" spans="1:5" x14ac:dyDescent="0.3">
      <c r="A28" t="s">
        <v>31</v>
      </c>
      <c r="B28">
        <v>24915654.730080429</v>
      </c>
      <c r="C28">
        <v>12203892.744455779</v>
      </c>
      <c r="D28">
        <v>443970.76787642593</v>
      </c>
      <c r="E28">
        <v>2916740.4018600001</v>
      </c>
    </row>
    <row r="29" spans="1:5" x14ac:dyDescent="0.3">
      <c r="A29" t="s">
        <v>32</v>
      </c>
      <c r="B29">
        <v>27000351.421943717</v>
      </c>
      <c r="C29">
        <v>12457136.794755444</v>
      </c>
      <c r="D29">
        <v>394452.49096615746</v>
      </c>
      <c r="E29">
        <v>3728804.8462699996</v>
      </c>
    </row>
    <row r="30" spans="1:5" x14ac:dyDescent="0.3">
      <c r="A30" t="s">
        <v>33</v>
      </c>
      <c r="B30">
        <v>22456189.304932393</v>
      </c>
      <c r="C30">
        <v>12295625.603585346</v>
      </c>
      <c r="D30">
        <v>445784.67761306168</v>
      </c>
      <c r="E30">
        <v>2509364.01186</v>
      </c>
    </row>
    <row r="31" spans="1:5" x14ac:dyDescent="0.3">
      <c r="A31" t="s">
        <v>34</v>
      </c>
      <c r="B31">
        <v>21808255.052035224</v>
      </c>
      <c r="C31">
        <v>11931117.875488479</v>
      </c>
      <c r="D31">
        <v>485050.71539696201</v>
      </c>
      <c r="E31">
        <v>3082286.3318599993</v>
      </c>
    </row>
    <row r="32" spans="1:5" x14ac:dyDescent="0.3">
      <c r="A32" t="s">
        <v>35</v>
      </c>
      <c r="B32">
        <v>24629993.241803113</v>
      </c>
      <c r="C32">
        <v>11934577.711815797</v>
      </c>
      <c r="D32">
        <v>441769.07453853416</v>
      </c>
      <c r="E32">
        <v>3101436.8737079999</v>
      </c>
    </row>
    <row r="33" spans="1:5" x14ac:dyDescent="0.3">
      <c r="A33" t="s">
        <v>36</v>
      </c>
      <c r="B33">
        <v>1276080.9230658803</v>
      </c>
      <c r="C33">
        <v>355761.49379818689</v>
      </c>
      <c r="D33">
        <v>27739.106271396646</v>
      </c>
      <c r="E33">
        <v>530239.12721058785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46784C-E883-4280-86D8-334DD0DCADCF}">
  <dimension ref="A1:E33"/>
  <sheetViews>
    <sheetView workbookViewId="0"/>
  </sheetViews>
  <sheetFormatPr defaultColWidth="11.19921875" defaultRowHeight="15.6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>
        <v>44827907.953165628</v>
      </c>
      <c r="C2">
        <v>12485838.53084187</v>
      </c>
      <c r="D2">
        <v>440807.72888893314</v>
      </c>
      <c r="E2">
        <v>3517283.4618599992</v>
      </c>
    </row>
    <row r="3" spans="1:5" x14ac:dyDescent="0.3">
      <c r="A3" t="s">
        <v>6</v>
      </c>
      <c r="B3">
        <v>41382914.582050875</v>
      </c>
      <c r="C3">
        <v>11726421.625697393</v>
      </c>
      <c r="D3">
        <v>456494.18949874805</v>
      </c>
      <c r="E3">
        <v>2769592.6659299899</v>
      </c>
    </row>
    <row r="4" spans="1:5" x14ac:dyDescent="0.3">
      <c r="A4" t="s">
        <v>7</v>
      </c>
      <c r="B4">
        <v>40814454.664473824</v>
      </c>
      <c r="C4">
        <v>11340609.32092849</v>
      </c>
      <c r="D4">
        <v>453584.83503588033</v>
      </c>
      <c r="E4">
        <v>3798795.8218599996</v>
      </c>
    </row>
    <row r="5" spans="1:5" x14ac:dyDescent="0.3">
      <c r="A5" t="s">
        <v>8</v>
      </c>
      <c r="B5">
        <v>42464294.27045285</v>
      </c>
      <c r="C5">
        <v>11422852.746127307</v>
      </c>
      <c r="D5">
        <v>458966.65468160983</v>
      </c>
      <c r="E5">
        <v>2461671.4818599988</v>
      </c>
    </row>
    <row r="6" spans="1:5" x14ac:dyDescent="0.3">
      <c r="A6" t="s">
        <v>9</v>
      </c>
      <c r="B6">
        <v>41421978.538055852</v>
      </c>
      <c r="C6">
        <v>10830021.897835568</v>
      </c>
      <c r="D6">
        <v>1012709.248207696</v>
      </c>
      <c r="E6">
        <v>3713624.1518600001</v>
      </c>
    </row>
    <row r="7" spans="1:5" x14ac:dyDescent="0.3">
      <c r="A7" t="s">
        <v>10</v>
      </c>
      <c r="B7">
        <v>44367823.4444106</v>
      </c>
      <c r="C7">
        <v>12350389.53663021</v>
      </c>
      <c r="D7">
        <v>452841.54426154174</v>
      </c>
      <c r="E7">
        <v>3074042.6862699972</v>
      </c>
    </row>
    <row r="8" spans="1:5" x14ac:dyDescent="0.3">
      <c r="A8" t="s">
        <v>11</v>
      </c>
      <c r="B8">
        <v>40630354.649111345</v>
      </c>
      <c r="C8">
        <v>11155771.290962555</v>
      </c>
      <c r="D8">
        <v>467341.3965861859</v>
      </c>
      <c r="E8">
        <v>2818432.5418599993</v>
      </c>
    </row>
    <row r="9" spans="1:5" x14ac:dyDescent="0.3">
      <c r="A9" t="s">
        <v>12</v>
      </c>
      <c r="B9">
        <v>40865258.20869755</v>
      </c>
      <c r="C9">
        <v>11416666.805503925</v>
      </c>
      <c r="D9">
        <v>462746.82479387365</v>
      </c>
      <c r="E9">
        <v>3176459.8862699978</v>
      </c>
    </row>
    <row r="10" spans="1:5" x14ac:dyDescent="0.3">
      <c r="A10" t="s">
        <v>13</v>
      </c>
      <c r="B10">
        <v>44407252.037338853</v>
      </c>
      <c r="C10">
        <v>12428195.89283376</v>
      </c>
      <c r="D10">
        <v>480680.85711677681</v>
      </c>
      <c r="E10">
        <v>3535241.2962699989</v>
      </c>
    </row>
    <row r="11" spans="1:5" x14ac:dyDescent="0.3">
      <c r="A11" t="s">
        <v>14</v>
      </c>
      <c r="B11">
        <v>42965352.876136594</v>
      </c>
      <c r="C11">
        <v>11142072.822002809</v>
      </c>
      <c r="D11">
        <v>425660.04930788354</v>
      </c>
      <c r="E11">
        <v>2901622.1547092656</v>
      </c>
    </row>
    <row r="12" spans="1:5" x14ac:dyDescent="0.3">
      <c r="A12" t="s">
        <v>15</v>
      </c>
      <c r="B12">
        <v>42399265.519393958</v>
      </c>
      <c r="C12">
        <v>12307563.811712975</v>
      </c>
      <c r="D12">
        <v>475038.6019546967</v>
      </c>
      <c r="E12">
        <v>3444838.5418599946</v>
      </c>
    </row>
    <row r="13" spans="1:5" x14ac:dyDescent="0.3">
      <c r="A13" t="s">
        <v>16</v>
      </c>
      <c r="B13">
        <v>42186373.416134685</v>
      </c>
      <c r="C13">
        <v>11401267.647803839</v>
      </c>
      <c r="D13">
        <v>460173.71447776724</v>
      </c>
      <c r="E13">
        <v>2293056.2318599946</v>
      </c>
    </row>
    <row r="14" spans="1:5" x14ac:dyDescent="0.3">
      <c r="A14" t="s">
        <v>17</v>
      </c>
      <c r="B14">
        <v>43347815.340392075</v>
      </c>
      <c r="C14">
        <v>12749208.304853247</v>
      </c>
      <c r="D14">
        <v>466004.88567465299</v>
      </c>
      <c r="E14">
        <v>3164308.0418599993</v>
      </c>
    </row>
    <row r="15" spans="1:5" x14ac:dyDescent="0.3">
      <c r="A15" t="s">
        <v>18</v>
      </c>
      <c r="B15">
        <v>43109303.935687505</v>
      </c>
      <c r="C15">
        <v>11336916.408159085</v>
      </c>
      <c r="D15">
        <v>504036.87691055471</v>
      </c>
      <c r="E15">
        <v>2759556.3618599977</v>
      </c>
    </row>
    <row r="16" spans="1:5" x14ac:dyDescent="0.3">
      <c r="A16" t="s">
        <v>19</v>
      </c>
      <c r="B16">
        <v>41332844.508434422</v>
      </c>
      <c r="C16">
        <v>12509302.556719521</v>
      </c>
      <c r="D16">
        <v>440241.07401397941</v>
      </c>
      <c r="E16">
        <v>2030751.8159299991</v>
      </c>
    </row>
    <row r="17" spans="1:5" x14ac:dyDescent="0.3">
      <c r="A17" t="s">
        <v>20</v>
      </c>
      <c r="B17">
        <v>44521747.889657527</v>
      </c>
      <c r="C17">
        <v>12788216.40427072</v>
      </c>
      <c r="D17">
        <v>437913.15771374945</v>
      </c>
      <c r="E17">
        <v>3094275.491859999</v>
      </c>
    </row>
    <row r="18" spans="1:5" x14ac:dyDescent="0.3">
      <c r="A18" t="s">
        <v>21</v>
      </c>
      <c r="B18">
        <v>43896900.767804034</v>
      </c>
      <c r="C18">
        <v>11803576.111550538</v>
      </c>
      <c r="D18">
        <v>449635.92474146752</v>
      </c>
      <c r="E18">
        <v>2619718.2818599963</v>
      </c>
    </row>
    <row r="19" spans="1:5" x14ac:dyDescent="0.3">
      <c r="A19" t="s">
        <v>22</v>
      </c>
      <c r="B19">
        <v>44156242.411595471</v>
      </c>
      <c r="C19">
        <v>12358857.855610073</v>
      </c>
      <c r="D19">
        <v>509851.01836954709</v>
      </c>
      <c r="E19">
        <v>2232207.1518599987</v>
      </c>
    </row>
    <row r="20" spans="1:5" x14ac:dyDescent="0.3">
      <c r="A20" t="s">
        <v>23</v>
      </c>
      <c r="B20">
        <v>44961502.448009886</v>
      </c>
      <c r="C20">
        <v>12548163.368030181</v>
      </c>
      <c r="D20">
        <v>443326.27891789243</v>
      </c>
      <c r="E20">
        <v>2173986.9618599997</v>
      </c>
    </row>
    <row r="21" spans="1:5" x14ac:dyDescent="0.3">
      <c r="A21" t="s">
        <v>24</v>
      </c>
      <c r="B21">
        <v>43288492.582174487</v>
      </c>
      <c r="C21">
        <v>12003161.315584412</v>
      </c>
      <c r="D21">
        <v>410939.24648539844</v>
      </c>
      <c r="E21">
        <v>2588625.8420416107</v>
      </c>
    </row>
    <row r="22" spans="1:5" x14ac:dyDescent="0.3">
      <c r="A22" t="s">
        <v>25</v>
      </c>
      <c r="B22">
        <v>44312222.166645013</v>
      </c>
      <c r="C22">
        <v>12458197.309336009</v>
      </c>
      <c r="D22">
        <v>482174.04361318133</v>
      </c>
      <c r="E22">
        <v>3832384.4918599995</v>
      </c>
    </row>
    <row r="23" spans="1:5" x14ac:dyDescent="0.3">
      <c r="A23" t="s">
        <v>26</v>
      </c>
      <c r="B23">
        <v>42395581.372747429</v>
      </c>
      <c r="C23">
        <v>11171979.174383618</v>
      </c>
      <c r="D23">
        <v>470058.75514651719</v>
      </c>
      <c r="E23">
        <v>3083322.9818599974</v>
      </c>
    </row>
    <row r="24" spans="1:5" x14ac:dyDescent="0.3">
      <c r="A24" t="s">
        <v>27</v>
      </c>
      <c r="B24">
        <v>41410958.469081476</v>
      </c>
      <c r="C24">
        <v>10950320.400580516</v>
      </c>
      <c r="D24">
        <v>458569.703376816</v>
      </c>
      <c r="E24">
        <v>2527352.6318598688</v>
      </c>
    </row>
    <row r="25" spans="1:5" x14ac:dyDescent="0.3">
      <c r="A25" t="s">
        <v>28</v>
      </c>
      <c r="B25">
        <v>44232873.020867459</v>
      </c>
      <c r="C25">
        <v>10680017.153173357</v>
      </c>
      <c r="D25">
        <v>382807.22702027555</v>
      </c>
      <c r="E25">
        <v>3347796.2218599999</v>
      </c>
    </row>
    <row r="26" spans="1:5" x14ac:dyDescent="0.3">
      <c r="A26" t="s">
        <v>29</v>
      </c>
      <c r="B26">
        <v>40786147.649041258</v>
      </c>
      <c r="C26">
        <v>10908359.329418901</v>
      </c>
      <c r="D26">
        <v>466739.30692776467</v>
      </c>
      <c r="E26">
        <v>2391300.0059299991</v>
      </c>
    </row>
    <row r="27" spans="1:5" x14ac:dyDescent="0.3">
      <c r="A27" t="s">
        <v>30</v>
      </c>
      <c r="B27">
        <v>43611767.991107985</v>
      </c>
      <c r="C27">
        <v>11491384.090343781</v>
      </c>
      <c r="D27">
        <v>452365.0749710268</v>
      </c>
      <c r="E27">
        <v>3040137.1859299978</v>
      </c>
    </row>
    <row r="28" spans="1:5" x14ac:dyDescent="0.3">
      <c r="A28" t="s">
        <v>31</v>
      </c>
      <c r="B28">
        <v>42992089.412769392</v>
      </c>
      <c r="C28">
        <v>12150480.340195816</v>
      </c>
      <c r="D28">
        <v>465046.14355876064</v>
      </c>
      <c r="E28">
        <v>2834084.4018599978</v>
      </c>
    </row>
    <row r="29" spans="1:5" x14ac:dyDescent="0.3">
      <c r="A29" t="s">
        <v>32</v>
      </c>
      <c r="B29">
        <v>42637747.064649686</v>
      </c>
      <c r="C29">
        <v>12298590.723482618</v>
      </c>
      <c r="D29">
        <v>417400.61937100737</v>
      </c>
      <c r="E29">
        <v>3576570.8418599996</v>
      </c>
    </row>
    <row r="30" spans="1:5" x14ac:dyDescent="0.3">
      <c r="A30" t="s">
        <v>33</v>
      </c>
      <c r="B30">
        <v>44443998.767806962</v>
      </c>
      <c r="C30">
        <v>11203551.791845724</v>
      </c>
      <c r="D30">
        <v>479661.28131935565</v>
      </c>
      <c r="E30">
        <v>2181057.011859999</v>
      </c>
    </row>
    <row r="31" spans="1:5" x14ac:dyDescent="0.3">
      <c r="A31" t="s">
        <v>34</v>
      </c>
      <c r="B31">
        <v>43058128.352723621</v>
      </c>
      <c r="C31">
        <v>11324780.322800485</v>
      </c>
      <c r="D31">
        <v>491409.2975009876</v>
      </c>
      <c r="E31">
        <v>2825585.3318599984</v>
      </c>
    </row>
    <row r="32" spans="1:5" x14ac:dyDescent="0.3">
      <c r="A32" t="s">
        <v>35</v>
      </c>
      <c r="B32">
        <v>42907653.143687271</v>
      </c>
      <c r="C32">
        <v>11758091.162973976</v>
      </c>
      <c r="D32">
        <v>475840.85201481765</v>
      </c>
      <c r="E32">
        <v>2926922.7326113572</v>
      </c>
    </row>
    <row r="33" spans="1:5" x14ac:dyDescent="0.3">
      <c r="A33" t="s">
        <v>36</v>
      </c>
      <c r="B33">
        <v>1354805.0137336869</v>
      </c>
      <c r="C33">
        <v>642783.79016685754</v>
      </c>
      <c r="D33">
        <v>104770.66599938436</v>
      </c>
      <c r="E33">
        <v>517191.34998185223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AC3D7C-8C40-4F61-8C1F-E1697815F676}">
  <dimension ref="A1:E33"/>
  <sheetViews>
    <sheetView workbookViewId="0"/>
  </sheetViews>
  <sheetFormatPr defaultColWidth="11.19921875" defaultRowHeight="15.6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>
        <v>67697456.378450856</v>
      </c>
      <c r="C2">
        <v>10331936.668012418</v>
      </c>
      <c r="D2">
        <v>2515765749206.0806</v>
      </c>
      <c r="E2">
        <v>3566408.501860003</v>
      </c>
    </row>
    <row r="3" spans="1:5" x14ac:dyDescent="0.3">
      <c r="A3" t="s">
        <v>6</v>
      </c>
      <c r="B3">
        <v>67845074.134048849</v>
      </c>
      <c r="C3">
        <v>10331936.668012418</v>
      </c>
      <c r="D3">
        <v>1194122360274.8262</v>
      </c>
      <c r="E3">
        <v>2820719.5518600005</v>
      </c>
    </row>
    <row r="4" spans="1:5" x14ac:dyDescent="0.3">
      <c r="A4" t="s">
        <v>7</v>
      </c>
      <c r="B4">
        <v>71492886.177145571</v>
      </c>
      <c r="C4">
        <v>10320564.572693313</v>
      </c>
      <c r="D4">
        <v>591979442844.70459</v>
      </c>
      <c r="E4">
        <v>4116909.7118599983</v>
      </c>
    </row>
    <row r="5" spans="1:5" x14ac:dyDescent="0.3">
      <c r="A5" t="s">
        <v>8</v>
      </c>
      <c r="B5">
        <v>67583800.700513363</v>
      </c>
      <c r="C5">
        <v>10331936.668012418</v>
      </c>
      <c r="D5">
        <v>2871466774746.709</v>
      </c>
      <c r="E5">
        <v>2514532.2818599986</v>
      </c>
    </row>
    <row r="6" spans="1:5" x14ac:dyDescent="0.3">
      <c r="A6" t="s">
        <v>9</v>
      </c>
      <c r="B6">
        <v>71612844.394170791</v>
      </c>
      <c r="C6">
        <v>9982214.4861508235</v>
      </c>
      <c r="D6">
        <v>1835133774819.7017</v>
      </c>
      <c r="E6">
        <v>4024854.841860001</v>
      </c>
    </row>
    <row r="7" spans="1:5" x14ac:dyDescent="0.3">
      <c r="A7" t="s">
        <v>10</v>
      </c>
      <c r="B7">
        <v>66254546.518999524</v>
      </c>
      <c r="C7">
        <v>10481314.714228341</v>
      </c>
      <c r="D7">
        <v>591979467668.30762</v>
      </c>
      <c r="E7">
        <v>3572151.4862700012</v>
      </c>
    </row>
    <row r="8" spans="1:5" x14ac:dyDescent="0.3">
      <c r="A8" t="s">
        <v>11</v>
      </c>
      <c r="B8">
        <v>71604881.941472068</v>
      </c>
      <c r="C8">
        <v>10320564.572693313</v>
      </c>
      <c r="D8">
        <v>591979489112.85376</v>
      </c>
      <c r="E8">
        <v>3105901.3418566687</v>
      </c>
    </row>
    <row r="9" spans="1:5" x14ac:dyDescent="0.3">
      <c r="A9" t="s">
        <v>12</v>
      </c>
      <c r="B9">
        <v>71563615.843069881</v>
      </c>
      <c r="C9">
        <v>9962244.5490679238</v>
      </c>
      <c r="D9">
        <v>2515765750813.1963</v>
      </c>
      <c r="E9">
        <v>3453698.6018600008</v>
      </c>
    </row>
    <row r="10" spans="1:5" x14ac:dyDescent="0.3">
      <c r="A10" t="s">
        <v>13</v>
      </c>
      <c r="B10">
        <v>67006484.172334746</v>
      </c>
      <c r="C10">
        <v>10484792.536451241</v>
      </c>
      <c r="D10">
        <v>1835133772732.1433</v>
      </c>
      <c r="E10">
        <v>3877698.096270002</v>
      </c>
    </row>
    <row r="11" spans="1:5" x14ac:dyDescent="0.3">
      <c r="A11" t="s">
        <v>14</v>
      </c>
      <c r="B11">
        <v>67930316.411252201</v>
      </c>
      <c r="C11">
        <v>10331936.43694647</v>
      </c>
      <c r="D11">
        <v>1835133761962.2532</v>
      </c>
      <c r="E11">
        <v>2967239.1218600012</v>
      </c>
    </row>
    <row r="12" spans="1:5" x14ac:dyDescent="0.3">
      <c r="A12" t="s">
        <v>15</v>
      </c>
      <c r="B12">
        <v>71174729.465086982</v>
      </c>
      <c r="C12">
        <v>10320564.572693313</v>
      </c>
      <c r="D12">
        <v>553559.12548647204</v>
      </c>
      <c r="E12">
        <v>3776050.34186</v>
      </c>
    </row>
    <row r="13" spans="1:5" x14ac:dyDescent="0.3">
      <c r="A13" t="s">
        <v>16</v>
      </c>
      <c r="B13">
        <v>66768476.776568152</v>
      </c>
      <c r="C13">
        <v>10600719.943881242</v>
      </c>
      <c r="D13">
        <v>2515765752784.1226</v>
      </c>
      <c r="E13">
        <v>2082213.461859999</v>
      </c>
    </row>
    <row r="14" spans="1:5" x14ac:dyDescent="0.3">
      <c r="A14" t="s">
        <v>17</v>
      </c>
      <c r="B14">
        <v>69184059.862299427</v>
      </c>
      <c r="C14">
        <v>10454930.640406918</v>
      </c>
      <c r="D14">
        <v>2871466752445.5957</v>
      </c>
      <c r="E14">
        <v>3357574.8418599959</v>
      </c>
    </row>
    <row r="15" spans="1:5" x14ac:dyDescent="0.3">
      <c r="A15" t="s">
        <v>18</v>
      </c>
      <c r="B15">
        <v>67831171.77497068</v>
      </c>
      <c r="C15">
        <v>10331936.668012418</v>
      </c>
      <c r="D15">
        <v>2515765732537.3867</v>
      </c>
      <c r="E15">
        <v>2815868.1618600003</v>
      </c>
    </row>
    <row r="16" spans="1:5" x14ac:dyDescent="0.3">
      <c r="A16" t="s">
        <v>19</v>
      </c>
      <c r="B16">
        <v>70671975.15436174</v>
      </c>
      <c r="C16">
        <v>10197551.846995965</v>
      </c>
      <c r="D16">
        <v>1835133769954.9717</v>
      </c>
      <c r="E16">
        <v>1850774.2200000004</v>
      </c>
    </row>
    <row r="17" spans="1:5" x14ac:dyDescent="0.3">
      <c r="A17" t="s">
        <v>20</v>
      </c>
      <c r="B17">
        <v>67599164.881307662</v>
      </c>
      <c r="C17">
        <v>10331936.668012418</v>
      </c>
      <c r="D17">
        <v>2515765751868.0903</v>
      </c>
      <c r="E17">
        <v>3248673.2918600012</v>
      </c>
    </row>
    <row r="18" spans="1:5" x14ac:dyDescent="0.3">
      <c r="A18" t="s">
        <v>21</v>
      </c>
      <c r="B18">
        <v>68748535.914429888</v>
      </c>
      <c r="C18">
        <v>10320539.233538453</v>
      </c>
      <c r="D18">
        <v>591979534719.44006</v>
      </c>
      <c r="E18">
        <v>2830730.0818599984</v>
      </c>
    </row>
    <row r="19" spans="1:5" x14ac:dyDescent="0.3">
      <c r="A19" t="s">
        <v>22</v>
      </c>
      <c r="B19">
        <v>67647722.849272102</v>
      </c>
      <c r="C19">
        <v>10197551.846995965</v>
      </c>
      <c r="D19">
        <v>1835133818227.418</v>
      </c>
      <c r="E19">
        <v>2222758.4218599964</v>
      </c>
    </row>
    <row r="20" spans="1:5" x14ac:dyDescent="0.3">
      <c r="A20" t="s">
        <v>23</v>
      </c>
      <c r="B20">
        <v>66893299.976788692</v>
      </c>
      <c r="C20">
        <v>10331936.43694647</v>
      </c>
      <c r="D20">
        <v>1835133760250.136</v>
      </c>
      <c r="E20">
        <v>2373648.7618600009</v>
      </c>
    </row>
    <row r="21" spans="1:5" x14ac:dyDescent="0.3">
      <c r="A21" t="s">
        <v>24</v>
      </c>
      <c r="B21">
        <v>67615217.911493987</v>
      </c>
      <c r="C21">
        <v>10331936.43694647</v>
      </c>
      <c r="D21">
        <v>1835133748646.4856</v>
      </c>
      <c r="E21">
        <v>2792502.6318600019</v>
      </c>
    </row>
    <row r="22" spans="1:5" x14ac:dyDescent="0.3">
      <c r="A22" t="s">
        <v>25</v>
      </c>
      <c r="B22">
        <v>68505938.272716582</v>
      </c>
      <c r="C22">
        <v>10444494.365930377</v>
      </c>
      <c r="D22">
        <v>591979800790.36243</v>
      </c>
      <c r="E22">
        <v>3845402.2918599993</v>
      </c>
    </row>
    <row r="23" spans="1:5" x14ac:dyDescent="0.3">
      <c r="A23" t="s">
        <v>26</v>
      </c>
      <c r="B23">
        <v>71616576.72927998</v>
      </c>
      <c r="C23">
        <v>10320564.572693313</v>
      </c>
      <c r="D23">
        <v>511816.82633816614</v>
      </c>
      <c r="E23">
        <v>3414534.781859057</v>
      </c>
    </row>
    <row r="24" spans="1:5" x14ac:dyDescent="0.3">
      <c r="A24" t="s">
        <v>27</v>
      </c>
      <c r="B24">
        <v>71485384.17287609</v>
      </c>
      <c r="C24">
        <v>10320564.572693313</v>
      </c>
      <c r="D24">
        <v>2871466871513.394</v>
      </c>
      <c r="E24">
        <v>2858564.4318599999</v>
      </c>
    </row>
    <row r="25" spans="1:5" x14ac:dyDescent="0.3">
      <c r="A25" t="s">
        <v>28</v>
      </c>
      <c r="B25">
        <v>67034924.866945691</v>
      </c>
      <c r="C25">
        <v>10600719.943881242</v>
      </c>
      <c r="D25">
        <v>1194122288592.3894</v>
      </c>
      <c r="E25">
        <v>3365314.0218599993</v>
      </c>
    </row>
    <row r="26" spans="1:5" x14ac:dyDescent="0.3">
      <c r="A26" t="s">
        <v>29</v>
      </c>
      <c r="B26">
        <v>75721583.602287516</v>
      </c>
      <c r="C26">
        <v>10067099.8677679</v>
      </c>
      <c r="D26">
        <v>487109.55099922954</v>
      </c>
      <c r="E26">
        <v>2764005.6699999934</v>
      </c>
    </row>
    <row r="27" spans="1:5" x14ac:dyDescent="0.3">
      <c r="A27" t="s">
        <v>30</v>
      </c>
      <c r="B27">
        <v>66931208.319673702</v>
      </c>
      <c r="C27">
        <v>10466328.305946829</v>
      </c>
      <c r="D27">
        <v>1194122321975.6729</v>
      </c>
      <c r="E27">
        <v>3210993.7218600009</v>
      </c>
    </row>
    <row r="28" spans="1:5" x14ac:dyDescent="0.3">
      <c r="A28" t="s">
        <v>31</v>
      </c>
      <c r="B28">
        <v>69013035.889124587</v>
      </c>
      <c r="C28">
        <v>10320539.233538453</v>
      </c>
      <c r="D28">
        <v>591979481180.98718</v>
      </c>
      <c r="E28">
        <v>3028121.2018599985</v>
      </c>
    </row>
    <row r="29" spans="1:5" x14ac:dyDescent="0.3">
      <c r="A29" t="s">
        <v>32</v>
      </c>
      <c r="B29">
        <v>67629147.411043391</v>
      </c>
      <c r="C29">
        <v>10331936.668012418</v>
      </c>
      <c r="D29">
        <v>291615770996.15448</v>
      </c>
      <c r="E29">
        <v>3782462.6418599896</v>
      </c>
    </row>
    <row r="30" spans="1:5" x14ac:dyDescent="0.3">
      <c r="A30" t="s">
        <v>33</v>
      </c>
      <c r="B30">
        <v>67614902.738140702</v>
      </c>
      <c r="C30">
        <v>10331936.43694647</v>
      </c>
      <c r="D30">
        <v>549893.30341483175</v>
      </c>
      <c r="E30">
        <v>2344739.8118599588</v>
      </c>
    </row>
    <row r="31" spans="1:5" x14ac:dyDescent="0.3">
      <c r="A31" t="s">
        <v>34</v>
      </c>
      <c r="B31">
        <v>69205516.347058341</v>
      </c>
      <c r="C31">
        <v>10320539.233538453</v>
      </c>
      <c r="D31">
        <v>1835133767793.6594</v>
      </c>
      <c r="E31">
        <v>3047897.131860001</v>
      </c>
    </row>
    <row r="32" spans="1:5" x14ac:dyDescent="0.3">
      <c r="A32" t="s">
        <v>35</v>
      </c>
      <c r="B32">
        <v>68982815.986239463</v>
      </c>
      <c r="C32">
        <v>10327458.97892157</v>
      </c>
      <c r="D32">
        <v>1443338712361.1948</v>
      </c>
      <c r="E32">
        <v>3101098.115363189</v>
      </c>
    </row>
    <row r="33" spans="1:5" x14ac:dyDescent="0.3">
      <c r="A33" t="s">
        <v>36</v>
      </c>
      <c r="B33">
        <v>2186366.1904591569</v>
      </c>
      <c r="C33">
        <v>144042.05271285801</v>
      </c>
      <c r="D33">
        <v>970100288168.13208</v>
      </c>
      <c r="E33">
        <v>591247.08582788741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4086A7-BF77-4386-85B2-4CFD41FA51AC}">
  <dimension ref="A1:G11"/>
  <sheetViews>
    <sheetView tabSelected="1" workbookViewId="0">
      <selection activeCell="K7" sqref="K7"/>
    </sheetView>
  </sheetViews>
  <sheetFormatPr defaultColWidth="11.19921875" defaultRowHeight="15.6" x14ac:dyDescent="0.3"/>
  <cols>
    <col min="1" max="1" width="22.5" bestFit="1" customWidth="1"/>
    <col min="2" max="2" width="11.296875" bestFit="1" customWidth="1"/>
    <col min="3" max="3" width="0" hidden="1" customWidth="1"/>
    <col min="4" max="4" width="11.296875" bestFit="1" customWidth="1"/>
    <col min="5" max="5" width="0" hidden="1" customWidth="1"/>
    <col min="6" max="6" width="14.5" bestFit="1" customWidth="1"/>
    <col min="7" max="7" width="0" hidden="1" customWidth="1"/>
  </cols>
  <sheetData>
    <row r="1" spans="1:7" x14ac:dyDescent="0.3">
      <c r="A1" t="s">
        <v>37</v>
      </c>
      <c r="B1" t="s">
        <v>38</v>
      </c>
      <c r="C1" t="s">
        <v>39</v>
      </c>
      <c r="D1" t="s">
        <v>40</v>
      </c>
      <c r="E1" t="s">
        <v>41</v>
      </c>
      <c r="F1" t="s">
        <v>42</v>
      </c>
      <c r="G1" t="s">
        <v>43</v>
      </c>
    </row>
    <row r="2" spans="1:7" x14ac:dyDescent="0.3">
      <c r="A2" t="s">
        <v>1</v>
      </c>
      <c r="B2" s="2">
        <v>24629993.241803113</v>
      </c>
      <c r="C2" s="2">
        <v>1276080.9230658803</v>
      </c>
      <c r="D2" s="2">
        <v>42907653.143687271</v>
      </c>
      <c r="E2" s="2">
        <v>1354805.0137336869</v>
      </c>
      <c r="F2" s="2">
        <v>68982815.986239463</v>
      </c>
      <c r="G2">
        <v>2186366.1904591569</v>
      </c>
    </row>
    <row r="3" spans="1:7" x14ac:dyDescent="0.3">
      <c r="A3" t="s">
        <v>2</v>
      </c>
      <c r="B3" s="2">
        <v>11934577.711815797</v>
      </c>
      <c r="C3" s="2">
        <v>355761.49379818689</v>
      </c>
      <c r="D3" s="2">
        <v>11758091.162973976</v>
      </c>
      <c r="E3" s="2">
        <v>642783.79016685754</v>
      </c>
      <c r="F3" s="2">
        <v>10327458.97892157</v>
      </c>
      <c r="G3">
        <v>144042.05271285801</v>
      </c>
    </row>
    <row r="4" spans="1:7" x14ac:dyDescent="0.3">
      <c r="A4" t="s">
        <v>3</v>
      </c>
      <c r="B4" s="2">
        <v>441769.07453853416</v>
      </c>
      <c r="C4" s="2">
        <v>27739.106271396646</v>
      </c>
      <c r="D4" s="2">
        <v>475840.85201481765</v>
      </c>
      <c r="E4" s="2">
        <v>104770.66599938436</v>
      </c>
      <c r="F4" s="2">
        <v>1443338712361.1948</v>
      </c>
      <c r="G4">
        <v>970100288168.13208</v>
      </c>
    </row>
    <row r="5" spans="1:7" x14ac:dyDescent="0.3">
      <c r="A5" t="s">
        <v>4</v>
      </c>
      <c r="B5" s="2">
        <v>3101436.8737079999</v>
      </c>
      <c r="C5" s="2">
        <v>530239.12721058785</v>
      </c>
      <c r="D5" s="2">
        <v>2926922.7326113572</v>
      </c>
      <c r="E5" s="2">
        <v>517191.34998185223</v>
      </c>
      <c r="F5" s="2">
        <v>3101098.115363189</v>
      </c>
      <c r="G5">
        <v>591247.08582788741</v>
      </c>
    </row>
    <row r="6" spans="1:7" x14ac:dyDescent="0.3">
      <c r="B6" s="2"/>
      <c r="C6" s="2"/>
      <c r="D6" s="2"/>
      <c r="E6" s="2"/>
      <c r="F6" s="2"/>
    </row>
    <row r="7" spans="1:7" x14ac:dyDescent="0.3">
      <c r="A7" t="s">
        <v>44</v>
      </c>
    </row>
    <row r="8" spans="1:7" x14ac:dyDescent="0.3">
      <c r="A8" t="s">
        <v>1</v>
      </c>
      <c r="B8" s="1">
        <f>(B2-$B2)/$B2</f>
        <v>0</v>
      </c>
      <c r="C8" s="1">
        <f t="shared" ref="C8:F8" si="0">(C2-$B2)/$B2</f>
        <v>-0.94818996048687254</v>
      </c>
      <c r="D8" s="1">
        <f t="shared" si="0"/>
        <v>0.74208952160256803</v>
      </c>
      <c r="E8" s="1">
        <f t="shared" si="0"/>
        <v>-0.94499369121083421</v>
      </c>
      <c r="F8" s="1">
        <f t="shared" si="0"/>
        <v>1.8007647143466845</v>
      </c>
    </row>
    <row r="9" spans="1:7" x14ac:dyDescent="0.3">
      <c r="A9" t="s">
        <v>2</v>
      </c>
      <c r="B9" s="1">
        <f t="shared" ref="B9:F9" si="1">(B3-$B3)/$B3</f>
        <v>0</v>
      </c>
      <c r="C9" s="1">
        <f t="shared" si="1"/>
        <v>-0.97019069275941228</v>
      </c>
      <c r="D9" s="1">
        <f t="shared" si="1"/>
        <v>-1.4787833562564261E-2</v>
      </c>
      <c r="E9" s="1">
        <f t="shared" si="1"/>
        <v>-0.94614105285598249</v>
      </c>
      <c r="F9" s="1">
        <f t="shared" si="1"/>
        <v>-0.13466071206718133</v>
      </c>
    </row>
    <row r="10" spans="1:7" x14ac:dyDescent="0.3">
      <c r="A10" t="s">
        <v>3</v>
      </c>
      <c r="B10" s="1">
        <f t="shared" ref="B10:F10" si="2">(B4-$B4)/$B4</f>
        <v>0</v>
      </c>
      <c r="C10" s="1">
        <f t="shared" si="2"/>
        <v>-0.93720903551165846</v>
      </c>
      <c r="D10" s="1">
        <f t="shared" si="2"/>
        <v>7.7125764205822678E-2</v>
      </c>
      <c r="E10" s="1">
        <f t="shared" si="2"/>
        <v>-0.76283838766028078</v>
      </c>
      <c r="F10" s="1">
        <f t="shared" si="2"/>
        <v>3267178.1565964334</v>
      </c>
    </row>
    <row r="11" spans="1:7" x14ac:dyDescent="0.3">
      <c r="A11" t="s">
        <v>4</v>
      </c>
      <c r="B11" s="1">
        <f t="shared" ref="B11:F11" si="3">(B5-$B5)/$B5</f>
        <v>0</v>
      </c>
      <c r="C11" s="1">
        <f t="shared" si="3"/>
        <v>-0.82903436413437392</v>
      </c>
      <c r="D11" s="1">
        <f t="shared" si="3"/>
        <v>-5.6268803204109062E-2</v>
      </c>
      <c r="E11" s="1">
        <f t="shared" si="3"/>
        <v>-0.83324137454923874</v>
      </c>
      <c r="F11" s="1">
        <f t="shared" si="3"/>
        <v>-1.0922625821686022E-4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Sheet1</vt:lpstr>
      <vt:lpstr>UG</vt:lpstr>
      <vt:lpstr>SB</vt:lpstr>
      <vt:lpstr>MP</vt:lpstr>
      <vt:lpstr>Summary Comparison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>Nicholas Uhorchak</cp:lastModifiedBy>
  <dcterms:created xsi:type="dcterms:W3CDTF">2018-05-22T02:41:32Z</dcterms:created>
  <dcterms:modified xsi:type="dcterms:W3CDTF">2026-02-27T19:32:07Z</dcterms:modified>
</cp:coreProperties>
</file>