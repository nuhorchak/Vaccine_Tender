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results/model comparison/buyer v prod 2 segment penta hexa/"/>
    </mc:Choice>
  </mc:AlternateContent>
  <xr:revisionPtr revIDLastSave="12" documentId="115_{D88F010F-C652-452A-A02E-A869E9C29B50}" xr6:coauthVersionLast="47" xr6:coauthVersionMax="47" xr10:uidLastSave="{EE6FFAA6-EF3E-46D0-A00D-E7BCE68DD3E3}"/>
  <bookViews>
    <workbookView xWindow="-108" yWindow="-108" windowWidth="23256" windowHeight="12456" activeTab="7" xr2:uid="{52D9C27D-0EF6-DD41-9728-0267E68F7539}"/>
  </bookViews>
  <sheets>
    <sheet name="Sheet1" sheetId="1" r:id="rId1"/>
    <sheet name="UG-1" sheetId="2" r:id="rId2"/>
    <sheet name="UG-2" sheetId="3" r:id="rId3"/>
    <sheet name="SB-1" sheetId="4" r:id="rId4"/>
    <sheet name="SB-2" sheetId="5" r:id="rId5"/>
    <sheet name="MP-1" sheetId="6" r:id="rId6"/>
    <sheet name="MP-2" sheetId="7" r:id="rId7"/>
    <sheet name="Summary Comparis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C10" i="8"/>
  <c r="D10" i="8"/>
  <c r="E10" i="8"/>
  <c r="F10" i="8"/>
  <c r="G10" i="8"/>
  <c r="H10" i="8"/>
  <c r="I10" i="8"/>
  <c r="J10" i="8"/>
  <c r="K10" i="8"/>
  <c r="L10" i="8"/>
  <c r="B11" i="8"/>
  <c r="C11" i="8"/>
  <c r="D11" i="8"/>
  <c r="E11" i="8"/>
  <c r="F11" i="8"/>
  <c r="G11" i="8"/>
  <c r="H11" i="8"/>
  <c r="I11" i="8"/>
  <c r="J11" i="8"/>
  <c r="K11" i="8"/>
  <c r="L11" i="8"/>
  <c r="B12" i="8"/>
  <c r="C12" i="8"/>
  <c r="D12" i="8"/>
  <c r="E12" i="8"/>
  <c r="F12" i="8"/>
  <c r="G12" i="8"/>
  <c r="H12" i="8"/>
  <c r="I12" i="8"/>
  <c r="J12" i="8"/>
  <c r="K12" i="8"/>
  <c r="L12" i="8"/>
  <c r="C9" i="8"/>
  <c r="D9" i="8"/>
  <c r="E9" i="8"/>
  <c r="F9" i="8"/>
  <c r="G9" i="8"/>
  <c r="H9" i="8"/>
  <c r="I9" i="8"/>
  <c r="J9" i="8"/>
  <c r="K9" i="8"/>
  <c r="L9" i="8"/>
  <c r="B9" i="8"/>
</calcChain>
</file>

<file path=xl/sharedStrings.xml><?xml version="1.0" encoding="utf-8"?>
<sst xmlns="http://schemas.openxmlformats.org/spreadsheetml/2006/main" count="252" uniqueCount="51">
  <si>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</si>
  <si>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</si>
  <si>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</si>
  <si>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</si>
  <si>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</si>
  <si>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</si>
  <si>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</si>
  <si>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</si>
  <si>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</si>
  <si>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</si>
  <si>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</si>
  <si>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</si>
  <si>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</si>
  <si>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</si>
  <si>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</si>
  <si>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</si>
  <si>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</si>
  <si>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</si>
  <si>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</si>
  <si>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</si>
  <si>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</si>
  <si>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</si>
  <si>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</si>
  <si>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</si>
  <si>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</si>
  <si>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</si>
  <si>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</si>
  <si>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</si>
  <si>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</si>
  <si>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</si>
  <si>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</si>
  <si>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</si>
  <si>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</si>
  <si>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</si>
  <si>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</si>
  <si>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</si>
  <si>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</si>
  <si>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</si>
  <si>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UG-1 Mean</t>
  </si>
  <si>
    <t>UG-1 Std Dev</t>
  </si>
  <si>
    <t>UG-2 Mean</t>
  </si>
  <si>
    <t>UG-2 Std Dev</t>
  </si>
  <si>
    <t>SB-1 Mean</t>
  </si>
  <si>
    <t>SB-1 Std Dev</t>
  </si>
  <si>
    <t>SB-2 Mean</t>
  </si>
  <si>
    <t>SB-2 Std Dev</t>
  </si>
  <si>
    <t>MP-1 Mean</t>
  </si>
  <si>
    <t>MP-1 Std Dev</t>
  </si>
  <si>
    <t>MP-2 Mean</t>
  </si>
  <si>
    <t>MP-2 Std Dev</t>
  </si>
  <si>
    <t>% Deviation from UG-1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</si>
</sst>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B55A-4F5C-4F59-A4FE-7D4E218F3F47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E553-3EF8-4681-8CA9-A086FBF9FE4E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55451495.673618235</v>
      </c>
      <c r="C2">
        <v>11975140.199741052</v>
      </c>
      <c r="D2">
        <v>413169.78974678688</v>
      </c>
      <c r="E2">
        <v>4332122.0262700003</v>
      </c>
    </row>
    <row r="3" spans="1:5" x14ac:dyDescent="0.3">
      <c r="A3" t="s">
        <v>6</v>
      </c>
      <c r="B3">
        <v>56784215.740896225</v>
      </c>
      <c r="C3">
        <v>11835001.099910665</v>
      </c>
      <c r="D3">
        <v>447691.26663039712</v>
      </c>
      <c r="E3">
        <v>3491452.6262699962</v>
      </c>
    </row>
    <row r="4" spans="1:5" x14ac:dyDescent="0.3">
      <c r="A4" t="s">
        <v>7</v>
      </c>
      <c r="B4">
        <v>55309159.2663505</v>
      </c>
      <c r="C4">
        <v>11586761.242304746</v>
      </c>
      <c r="D4">
        <v>430988.39211567322</v>
      </c>
      <c r="E4">
        <v>4203305.4518599994</v>
      </c>
    </row>
    <row r="5" spans="1:5" x14ac:dyDescent="0.3">
      <c r="A5" t="s">
        <v>8</v>
      </c>
      <c r="B5">
        <v>55591828.022507899</v>
      </c>
      <c r="C5">
        <v>12461197.153870853</v>
      </c>
      <c r="D5">
        <v>427806.68329820537</v>
      </c>
      <c r="E5">
        <v>3263671.8162699994</v>
      </c>
    </row>
    <row r="6" spans="1:5" x14ac:dyDescent="0.3">
      <c r="A6" t="s">
        <v>9</v>
      </c>
      <c r="B6">
        <v>53763129.349542305</v>
      </c>
      <c r="C6">
        <v>11323216.774697866</v>
      </c>
      <c r="D6">
        <v>409271.88912038994</v>
      </c>
      <c r="E6">
        <v>4153132.7418600004</v>
      </c>
    </row>
    <row r="7" spans="1:5" x14ac:dyDescent="0.3">
      <c r="A7" t="s">
        <v>10</v>
      </c>
      <c r="B7">
        <v>56765923.598221943</v>
      </c>
      <c r="C7">
        <v>12326828.571934467</v>
      </c>
      <c r="D7">
        <v>429463.4007052246</v>
      </c>
      <c r="E7">
        <v>4340600.9603399998</v>
      </c>
    </row>
    <row r="8" spans="1:5" x14ac:dyDescent="0.3">
      <c r="A8" t="s">
        <v>11</v>
      </c>
      <c r="B8">
        <v>54232246.380147874</v>
      </c>
      <c r="C8">
        <v>11360829.515323259</v>
      </c>
      <c r="D8">
        <v>454232.74505926616</v>
      </c>
      <c r="E8">
        <v>3195288.4618600002</v>
      </c>
    </row>
    <row r="9" spans="1:5" x14ac:dyDescent="0.3">
      <c r="A9" t="s">
        <v>12</v>
      </c>
      <c r="B9">
        <v>54263965.715314284</v>
      </c>
      <c r="C9">
        <v>11364356.012651848</v>
      </c>
      <c r="D9">
        <v>446184.39978044701</v>
      </c>
      <c r="E9">
        <v>3531026.4262699997</v>
      </c>
    </row>
    <row r="10" spans="1:5" x14ac:dyDescent="0.3">
      <c r="A10" t="s">
        <v>13</v>
      </c>
      <c r="B10">
        <v>57265033.242261581</v>
      </c>
      <c r="C10">
        <v>12326833.412832087</v>
      </c>
      <c r="D10">
        <v>453098.93540193827</v>
      </c>
      <c r="E10">
        <v>4568538.7762700003</v>
      </c>
    </row>
    <row r="11" spans="1:5" x14ac:dyDescent="0.3">
      <c r="A11" t="s">
        <v>14</v>
      </c>
      <c r="B11">
        <v>55997170.613819413</v>
      </c>
      <c r="C11">
        <v>12326817.94852205</v>
      </c>
      <c r="D11">
        <v>405462.23985394341</v>
      </c>
      <c r="E11">
        <v>3576944.7862699991</v>
      </c>
    </row>
    <row r="12" spans="1:5" x14ac:dyDescent="0.3">
      <c r="A12" t="s">
        <v>15</v>
      </c>
      <c r="B12">
        <v>55718849.750724971</v>
      </c>
      <c r="C12">
        <v>12253786.966443833</v>
      </c>
      <c r="D12">
        <v>453289.3471045788</v>
      </c>
      <c r="E12">
        <v>3847819.0918600201</v>
      </c>
    </row>
    <row r="13" spans="1:5" x14ac:dyDescent="0.3">
      <c r="A13" t="s">
        <v>16</v>
      </c>
      <c r="B13">
        <v>56786869.36996235</v>
      </c>
      <c r="C13">
        <v>12084879.739934558</v>
      </c>
      <c r="D13">
        <v>451828.67754224018</v>
      </c>
      <c r="E13">
        <v>3051873.2362699984</v>
      </c>
    </row>
    <row r="14" spans="1:5" x14ac:dyDescent="0.3">
      <c r="A14" t="s">
        <v>17</v>
      </c>
      <c r="B14">
        <v>57372847.931627363</v>
      </c>
      <c r="C14">
        <v>12445906.479823088</v>
      </c>
      <c r="D14">
        <v>440511.43737321498</v>
      </c>
      <c r="E14">
        <v>3723674.3962699999</v>
      </c>
    </row>
    <row r="15" spans="1:5" x14ac:dyDescent="0.3">
      <c r="A15" t="s">
        <v>18</v>
      </c>
      <c r="B15">
        <v>55815139.161069244</v>
      </c>
      <c r="C15">
        <v>11634828.129760886</v>
      </c>
      <c r="D15">
        <v>480533.58657327516</v>
      </c>
      <c r="E15">
        <v>3574236.5062699998</v>
      </c>
    </row>
    <row r="16" spans="1:5" x14ac:dyDescent="0.3">
      <c r="A16" t="s">
        <v>19</v>
      </c>
      <c r="B16">
        <v>57465051.978324048</v>
      </c>
      <c r="C16">
        <v>12449820.799374575</v>
      </c>
      <c r="D16">
        <v>428365.0517661043</v>
      </c>
      <c r="E16">
        <v>2451550.2903399998</v>
      </c>
    </row>
    <row r="17" spans="1:5" x14ac:dyDescent="0.3">
      <c r="A17" t="s">
        <v>20</v>
      </c>
      <c r="B17">
        <v>57357394.512027852</v>
      </c>
      <c r="C17">
        <v>12461439.509934362</v>
      </c>
      <c r="D17">
        <v>421277.45135268441</v>
      </c>
      <c r="E17">
        <v>3854083.8862699997</v>
      </c>
    </row>
    <row r="18" spans="1:5" x14ac:dyDescent="0.3">
      <c r="A18" t="s">
        <v>21</v>
      </c>
      <c r="B18">
        <v>55980259.667534053</v>
      </c>
      <c r="C18">
        <v>11851128.603255751</v>
      </c>
      <c r="D18">
        <v>477187.33134428924</v>
      </c>
      <c r="E18">
        <v>3262792.3362699989</v>
      </c>
    </row>
    <row r="19" spans="1:5" x14ac:dyDescent="0.3">
      <c r="A19" t="s">
        <v>22</v>
      </c>
      <c r="B19">
        <v>56028676.960514575</v>
      </c>
      <c r="C19">
        <v>12619642.678303374</v>
      </c>
      <c r="D19">
        <v>478600.97861804237</v>
      </c>
      <c r="E19">
        <v>2643685.1862700004</v>
      </c>
    </row>
    <row r="20" spans="1:5" x14ac:dyDescent="0.3">
      <c r="A20" t="s">
        <v>23</v>
      </c>
      <c r="B20">
        <v>57090507.750940956</v>
      </c>
      <c r="C20">
        <v>12181037.523505751</v>
      </c>
      <c r="D20">
        <v>419814.18252640619</v>
      </c>
      <c r="E20">
        <v>3029706.8062700001</v>
      </c>
    </row>
    <row r="21" spans="1:5" x14ac:dyDescent="0.3">
      <c r="A21" t="s">
        <v>24</v>
      </c>
      <c r="B21">
        <v>55736375.971726969</v>
      </c>
      <c r="C21">
        <v>12439380.305329686</v>
      </c>
      <c r="D21">
        <v>402320.81068269821</v>
      </c>
      <c r="E21">
        <v>3430381.5762700001</v>
      </c>
    </row>
    <row r="22" spans="1:5" x14ac:dyDescent="0.3">
      <c r="A22" t="s">
        <v>25</v>
      </c>
      <c r="B22">
        <v>56849504.129938185</v>
      </c>
      <c r="C22">
        <v>11967763.796711838</v>
      </c>
      <c r="D22">
        <v>469058.49795927055</v>
      </c>
      <c r="E22">
        <v>4272016.7362699993</v>
      </c>
    </row>
    <row r="23" spans="1:5" x14ac:dyDescent="0.3">
      <c r="A23" t="s">
        <v>26</v>
      </c>
      <c r="B23">
        <v>55957930.681931034</v>
      </c>
      <c r="C23">
        <v>12818929.75037792</v>
      </c>
      <c r="D23">
        <v>451199.79668498598</v>
      </c>
      <c r="E23">
        <v>3495807.8118599998</v>
      </c>
    </row>
    <row r="24" spans="1:5" x14ac:dyDescent="0.3">
      <c r="A24" t="s">
        <v>27</v>
      </c>
      <c r="B24">
        <v>55555152.183243617</v>
      </c>
      <c r="C24">
        <v>12058249.217985997</v>
      </c>
      <c r="D24">
        <v>435935.19803742319</v>
      </c>
      <c r="E24">
        <v>2961430.4718599995</v>
      </c>
    </row>
    <row r="25" spans="1:5" x14ac:dyDescent="0.3">
      <c r="A25" t="s">
        <v>28</v>
      </c>
      <c r="B25">
        <v>55778408.051813327</v>
      </c>
      <c r="C25">
        <v>12319538.578348199</v>
      </c>
      <c r="D25">
        <v>374077.57724165311</v>
      </c>
      <c r="E25">
        <v>4149960.0462699994</v>
      </c>
    </row>
    <row r="26" spans="1:5" x14ac:dyDescent="0.3">
      <c r="A26" t="s">
        <v>29</v>
      </c>
      <c r="B26">
        <v>55684457.104156837</v>
      </c>
      <c r="C26">
        <v>12085721.695471302</v>
      </c>
      <c r="D26">
        <v>446754.78946430841</v>
      </c>
      <c r="E26">
        <v>2651096.6459299996</v>
      </c>
    </row>
    <row r="27" spans="1:5" x14ac:dyDescent="0.3">
      <c r="A27" t="s">
        <v>30</v>
      </c>
      <c r="B27">
        <v>56909774.291184157</v>
      </c>
      <c r="C27">
        <v>11587099.954403501</v>
      </c>
      <c r="D27">
        <v>442487.22299196222</v>
      </c>
      <c r="E27">
        <v>3933150.1462699994</v>
      </c>
    </row>
    <row r="28" spans="1:5" x14ac:dyDescent="0.3">
      <c r="A28" t="s">
        <v>31</v>
      </c>
      <c r="B28">
        <v>57652354.590364479</v>
      </c>
      <c r="C28">
        <v>12207213.822871361</v>
      </c>
      <c r="D28">
        <v>442214.55880776071</v>
      </c>
      <c r="E28">
        <v>3298473.2925299993</v>
      </c>
    </row>
    <row r="29" spans="1:5" x14ac:dyDescent="0.3">
      <c r="A29" t="s">
        <v>32</v>
      </c>
      <c r="B29">
        <v>56029486.032297388</v>
      </c>
      <c r="C29">
        <v>12192418.718899649</v>
      </c>
      <c r="D29">
        <v>396404.52570861048</v>
      </c>
      <c r="E29">
        <v>4567653.5662699994</v>
      </c>
    </row>
    <row r="30" spans="1:5" x14ac:dyDescent="0.3">
      <c r="A30" t="s">
        <v>33</v>
      </c>
      <c r="B30">
        <v>57368083.30248829</v>
      </c>
      <c r="C30">
        <v>12177347.901909476</v>
      </c>
      <c r="D30">
        <v>444776.88263098872</v>
      </c>
      <c r="E30">
        <v>2889392.5062699998</v>
      </c>
    </row>
    <row r="31" spans="1:5" x14ac:dyDescent="0.3">
      <c r="A31" t="s">
        <v>34</v>
      </c>
      <c r="B31">
        <v>56182901.08690612</v>
      </c>
      <c r="C31">
        <v>11857883.831126459</v>
      </c>
      <c r="D31">
        <v>480627.01076472638</v>
      </c>
      <c r="E31">
        <v>3286451.9262699997</v>
      </c>
    </row>
    <row r="32" spans="1:5" x14ac:dyDescent="0.3">
      <c r="A32" t="s">
        <v>35</v>
      </c>
      <c r="B32">
        <v>56158139.737048529</v>
      </c>
      <c r="C32">
        <v>12086033.33118535</v>
      </c>
      <c r="D32">
        <v>438487.82189624984</v>
      </c>
      <c r="E32">
        <v>3567710.6845233333</v>
      </c>
    </row>
    <row r="33" spans="1:5" x14ac:dyDescent="0.3">
      <c r="A33" t="s">
        <v>36</v>
      </c>
      <c r="B33">
        <v>992013.27011744538</v>
      </c>
      <c r="C33">
        <v>385869.54574472434</v>
      </c>
      <c r="D33">
        <v>26069.771036322043</v>
      </c>
      <c r="E33">
        <v>584672.07084241533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981B-A175-4A5A-9CCE-E5C11C95877E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55451495.673618235</v>
      </c>
      <c r="C2">
        <v>11960995.560470616</v>
      </c>
      <c r="D2">
        <v>413169.78974678688</v>
      </c>
      <c r="E2">
        <v>4332122.0262700003</v>
      </c>
    </row>
    <row r="3" spans="1:5" x14ac:dyDescent="0.3">
      <c r="A3" t="s">
        <v>6</v>
      </c>
      <c r="B3">
        <v>56774777.082573175</v>
      </c>
      <c r="C3">
        <v>11601083.376187222</v>
      </c>
      <c r="D3">
        <v>447689.50573710928</v>
      </c>
      <c r="E3">
        <v>3510492.6262699999</v>
      </c>
    </row>
    <row r="4" spans="1:5" x14ac:dyDescent="0.3">
      <c r="A4" t="s">
        <v>7</v>
      </c>
      <c r="B4">
        <v>55309159.2663505</v>
      </c>
      <c r="C4">
        <v>11561642.304370334</v>
      </c>
      <c r="D4">
        <v>430988.39211567322</v>
      </c>
      <c r="E4">
        <v>4203305.4518599994</v>
      </c>
    </row>
    <row r="5" spans="1:5" x14ac:dyDescent="0.3">
      <c r="A5" t="s">
        <v>8</v>
      </c>
      <c r="B5">
        <v>55589265.534991674</v>
      </c>
      <c r="C5">
        <v>12461197.153870853</v>
      </c>
      <c r="D5">
        <v>427806.68329820537</v>
      </c>
      <c r="E5">
        <v>3263671.8162699994</v>
      </c>
    </row>
    <row r="6" spans="1:5" x14ac:dyDescent="0.3">
      <c r="A6" t="s">
        <v>9</v>
      </c>
      <c r="B6">
        <v>53763129.349542305</v>
      </c>
      <c r="C6">
        <v>11670388.034228554</v>
      </c>
      <c r="D6">
        <v>409271.88912038994</v>
      </c>
      <c r="E6">
        <v>4153132.7418600004</v>
      </c>
    </row>
    <row r="7" spans="1:5" x14ac:dyDescent="0.3">
      <c r="A7" t="s">
        <v>10</v>
      </c>
      <c r="B7">
        <v>56756484.939898886</v>
      </c>
      <c r="C7">
        <v>12461216.301856948</v>
      </c>
      <c r="D7">
        <v>429463.4007052246</v>
      </c>
      <c r="E7">
        <v>4359640.9603399998</v>
      </c>
    </row>
    <row r="8" spans="1:5" x14ac:dyDescent="0.3">
      <c r="A8" t="s">
        <v>11</v>
      </c>
      <c r="B8">
        <v>54234808.867664099</v>
      </c>
      <c r="C8">
        <v>11460065.166670358</v>
      </c>
      <c r="D8">
        <v>454232.74505926616</v>
      </c>
      <c r="E8">
        <v>3195288.4618600002</v>
      </c>
    </row>
    <row r="9" spans="1:5" x14ac:dyDescent="0.3">
      <c r="A9" t="s">
        <v>12</v>
      </c>
      <c r="B9">
        <v>54263965.715314284</v>
      </c>
      <c r="C9">
        <v>11225353.16698741</v>
      </c>
      <c r="D9">
        <v>446184.39978044701</v>
      </c>
      <c r="E9">
        <v>3531026.4262699997</v>
      </c>
    </row>
    <row r="10" spans="1:5" x14ac:dyDescent="0.3">
      <c r="A10" t="s">
        <v>13</v>
      </c>
      <c r="B10">
        <v>57265033.242261581</v>
      </c>
      <c r="C10">
        <v>12061964.456514752</v>
      </c>
      <c r="D10">
        <v>453098.93540193827</v>
      </c>
      <c r="E10">
        <v>4568538.7762699993</v>
      </c>
    </row>
    <row r="11" spans="1:5" x14ac:dyDescent="0.3">
      <c r="A11" t="s">
        <v>14</v>
      </c>
      <c r="B11">
        <v>56002429.062000528</v>
      </c>
      <c r="C11">
        <v>12326817.94852205</v>
      </c>
      <c r="D11">
        <v>405462.23985394341</v>
      </c>
      <c r="E11">
        <v>3576944.7862699991</v>
      </c>
    </row>
    <row r="12" spans="1:5" x14ac:dyDescent="0.3">
      <c r="A12" t="s">
        <v>15</v>
      </c>
      <c r="B12">
        <v>55718849.750725046</v>
      </c>
      <c r="C12">
        <v>11839097.112600783</v>
      </c>
      <c r="D12">
        <v>453289.34710457851</v>
      </c>
      <c r="E12">
        <v>3847819.0918599996</v>
      </c>
    </row>
    <row r="13" spans="1:5" x14ac:dyDescent="0.3">
      <c r="A13" t="s">
        <v>16</v>
      </c>
      <c r="B13">
        <v>56798685.962057546</v>
      </c>
      <c r="C13">
        <v>11481333.824192367</v>
      </c>
      <c r="D13">
        <v>451828.67754223995</v>
      </c>
      <c r="E13">
        <v>3051873.2362700002</v>
      </c>
    </row>
    <row r="14" spans="1:5" x14ac:dyDescent="0.3">
      <c r="A14" t="s">
        <v>17</v>
      </c>
      <c r="B14">
        <v>57372847.931627363</v>
      </c>
      <c r="C14">
        <v>12308157.382954301</v>
      </c>
      <c r="D14">
        <v>440511.43737321498</v>
      </c>
      <c r="E14">
        <v>3723674.3962699999</v>
      </c>
    </row>
    <row r="15" spans="1:5" x14ac:dyDescent="0.3">
      <c r="A15" t="s">
        <v>18</v>
      </c>
      <c r="B15">
        <v>55815139.161069244</v>
      </c>
      <c r="C15">
        <v>11921138.2652392</v>
      </c>
      <c r="D15">
        <v>480533.58657327516</v>
      </c>
      <c r="E15">
        <v>3574236.5062699998</v>
      </c>
    </row>
    <row r="16" spans="1:5" x14ac:dyDescent="0.3">
      <c r="A16" t="s">
        <v>19</v>
      </c>
      <c r="B16">
        <v>57465051.978324048</v>
      </c>
      <c r="C16">
        <v>12322919.0932806</v>
      </c>
      <c r="D16">
        <v>428365.0517661043</v>
      </c>
      <c r="E16">
        <v>2451550.2903399998</v>
      </c>
    </row>
    <row r="17" spans="1:5" x14ac:dyDescent="0.3">
      <c r="A17" t="s">
        <v>20</v>
      </c>
      <c r="B17">
        <v>57357394.512027852</v>
      </c>
      <c r="C17">
        <v>12323133.552448463</v>
      </c>
      <c r="D17">
        <v>421277.45135268441</v>
      </c>
      <c r="E17">
        <v>3854083.8862699997</v>
      </c>
    </row>
    <row r="18" spans="1:5" x14ac:dyDescent="0.3">
      <c r="A18" t="s">
        <v>21</v>
      </c>
      <c r="B18">
        <v>55980259.667534053</v>
      </c>
      <c r="C18">
        <v>11939064.702622125</v>
      </c>
      <c r="D18">
        <v>477187.33134428924</v>
      </c>
      <c r="E18">
        <v>3262792.3362699999</v>
      </c>
    </row>
    <row r="19" spans="1:5" x14ac:dyDescent="0.3">
      <c r="A19" t="s">
        <v>22</v>
      </c>
      <c r="B19">
        <v>56028676.960514575</v>
      </c>
      <c r="C19">
        <v>12535900.35683406</v>
      </c>
      <c r="D19">
        <v>478600.97861804237</v>
      </c>
      <c r="E19">
        <v>2643685.1862699999</v>
      </c>
    </row>
    <row r="20" spans="1:5" x14ac:dyDescent="0.3">
      <c r="A20" t="s">
        <v>23</v>
      </c>
      <c r="B20">
        <v>57090507.750940956</v>
      </c>
      <c r="C20">
        <v>12311847.004550576</v>
      </c>
      <c r="D20">
        <v>419814.18252640619</v>
      </c>
      <c r="E20">
        <v>3029706.8062700001</v>
      </c>
    </row>
    <row r="21" spans="1:5" x14ac:dyDescent="0.3">
      <c r="A21" t="s">
        <v>24</v>
      </c>
      <c r="B21">
        <v>55736375.971726969</v>
      </c>
      <c r="C21">
        <v>11935489.090333177</v>
      </c>
      <c r="D21">
        <v>402320.81068269821</v>
      </c>
      <c r="E21">
        <v>3430381.5762700001</v>
      </c>
    </row>
    <row r="22" spans="1:5" x14ac:dyDescent="0.3">
      <c r="A22" t="s">
        <v>25</v>
      </c>
      <c r="B22">
        <v>56851374.530852206</v>
      </c>
      <c r="C22">
        <v>11989082.424402086</v>
      </c>
      <c r="D22">
        <v>469058.75045347057</v>
      </c>
      <c r="E22">
        <v>4272016.7362699993</v>
      </c>
    </row>
    <row r="23" spans="1:5" x14ac:dyDescent="0.3">
      <c r="A23" t="s">
        <v>26</v>
      </c>
      <c r="B23">
        <v>55957930.681931034</v>
      </c>
      <c r="C23">
        <v>12061824.830274947</v>
      </c>
      <c r="D23">
        <v>451199.79668498598</v>
      </c>
      <c r="E23">
        <v>3495807.8118599998</v>
      </c>
    </row>
    <row r="24" spans="1:5" x14ac:dyDescent="0.3">
      <c r="A24" t="s">
        <v>27</v>
      </c>
      <c r="B24">
        <v>55555152.183243617</v>
      </c>
      <c r="C24">
        <v>11923857.580051584</v>
      </c>
      <c r="D24">
        <v>435935.19803742319</v>
      </c>
      <c r="E24">
        <v>2961430.4718599995</v>
      </c>
    </row>
    <row r="25" spans="1:5" x14ac:dyDescent="0.3">
      <c r="A25" t="s">
        <v>28</v>
      </c>
      <c r="B25">
        <v>55793247.440091223</v>
      </c>
      <c r="C25">
        <v>11960390.922000363</v>
      </c>
      <c r="D25">
        <v>374077.57724165311</v>
      </c>
      <c r="E25">
        <v>4155875.0462699994</v>
      </c>
    </row>
    <row r="26" spans="1:5" x14ac:dyDescent="0.3">
      <c r="A26" t="s">
        <v>29</v>
      </c>
      <c r="B26">
        <v>55684457.104156837</v>
      </c>
      <c r="C26">
        <v>12061933.998684652</v>
      </c>
      <c r="D26">
        <v>446754.78946430841</v>
      </c>
      <c r="E26">
        <v>2651096.6459299996</v>
      </c>
    </row>
    <row r="27" spans="1:5" x14ac:dyDescent="0.3">
      <c r="A27" t="s">
        <v>30</v>
      </c>
      <c r="B27">
        <v>56909774.291184157</v>
      </c>
      <c r="C27">
        <v>11602086.362685012</v>
      </c>
      <c r="D27">
        <v>442487.22299196222</v>
      </c>
      <c r="E27">
        <v>3933150.1462699994</v>
      </c>
    </row>
    <row r="28" spans="1:5" x14ac:dyDescent="0.3">
      <c r="A28" t="s">
        <v>31</v>
      </c>
      <c r="B28">
        <v>57660935.539067775</v>
      </c>
      <c r="C28">
        <v>11938976.714858821</v>
      </c>
      <c r="D28">
        <v>442214.82044904277</v>
      </c>
      <c r="E28">
        <v>3298473.2925299993</v>
      </c>
    </row>
    <row r="29" spans="1:5" x14ac:dyDescent="0.3">
      <c r="A29" t="s">
        <v>32</v>
      </c>
      <c r="B29">
        <v>56029486.032297388</v>
      </c>
      <c r="C29">
        <v>12772562.323525036</v>
      </c>
      <c r="D29">
        <v>396404.52570861048</v>
      </c>
      <c r="E29">
        <v>4567653.5662699994</v>
      </c>
    </row>
    <row r="30" spans="1:5" x14ac:dyDescent="0.3">
      <c r="A30" t="s">
        <v>33</v>
      </c>
      <c r="B30">
        <v>57360515.045079269</v>
      </c>
      <c r="C30">
        <v>12666621.521158293</v>
      </c>
      <c r="D30">
        <v>444777.13512518874</v>
      </c>
      <c r="E30">
        <v>2908432.5062699998</v>
      </c>
    </row>
    <row r="31" spans="1:5" x14ac:dyDescent="0.3">
      <c r="A31" t="s">
        <v>34</v>
      </c>
      <c r="B31">
        <v>56192308.604684338</v>
      </c>
      <c r="C31">
        <v>11735484.637837507</v>
      </c>
      <c r="D31">
        <v>480627.01076472638</v>
      </c>
      <c r="E31">
        <v>3286451.9262699997</v>
      </c>
    </row>
    <row r="32" spans="1:5" x14ac:dyDescent="0.3">
      <c r="A32" t="s">
        <v>35</v>
      </c>
      <c r="B32">
        <v>56158983.994445018</v>
      </c>
      <c r="C32">
        <v>12014054.172340434</v>
      </c>
      <c r="D32">
        <v>438487.78875412961</v>
      </c>
      <c r="E32">
        <v>3569811.8511899998</v>
      </c>
    </row>
    <row r="33" spans="1:5" x14ac:dyDescent="0.3">
      <c r="A33" t="s">
        <v>36</v>
      </c>
      <c r="B33">
        <v>991714.2498773376</v>
      </c>
      <c r="C33">
        <v>379141.91336291999</v>
      </c>
      <c r="D33">
        <v>26069.763202284885</v>
      </c>
      <c r="E33">
        <v>584924.8992708124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3887-CBE4-4887-A06F-E1AAA4EF3C50}">
  <dimension ref="A1:E30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94711690.047990128</v>
      </c>
      <c r="C2">
        <v>11888731.525222566</v>
      </c>
      <c r="D2">
        <v>422592.35062162817</v>
      </c>
      <c r="E2">
        <v>3900922.0262699635</v>
      </c>
    </row>
    <row r="3" spans="1:5" x14ac:dyDescent="0.3">
      <c r="A3" t="s">
        <v>6</v>
      </c>
      <c r="B3">
        <v>95641196.879021868</v>
      </c>
      <c r="C3">
        <v>12445612.573234217</v>
      </c>
      <c r="D3">
        <v>499820.92430398008</v>
      </c>
      <c r="E3">
        <v>3176251.6262699235</v>
      </c>
    </row>
    <row r="4" spans="1:5" x14ac:dyDescent="0.3">
      <c r="A4" t="s">
        <v>7</v>
      </c>
      <c r="B4">
        <v>93784504.604731038</v>
      </c>
      <c r="C4">
        <v>12120828.812395837</v>
      </c>
      <c r="D4">
        <v>416073.30199115729</v>
      </c>
      <c r="E4">
        <v>4107163.4518599967</v>
      </c>
    </row>
    <row r="5" spans="1:5" x14ac:dyDescent="0.3">
      <c r="A5" t="s">
        <v>8</v>
      </c>
      <c r="B5">
        <v>95782411.141040027</v>
      </c>
      <c r="C5">
        <v>13797601.462861454</v>
      </c>
      <c r="D5">
        <v>439516.25321163406</v>
      </c>
      <c r="E5">
        <v>2832471.8162699966</v>
      </c>
    </row>
    <row r="6" spans="1:5" x14ac:dyDescent="0.3">
      <c r="A6" t="s">
        <v>9</v>
      </c>
      <c r="B6">
        <v>92770658.514609441</v>
      </c>
      <c r="C6">
        <v>11058809.076460401</v>
      </c>
      <c r="D6">
        <v>401165.59416649776</v>
      </c>
      <c r="E6">
        <v>4037914.7418599976</v>
      </c>
    </row>
    <row r="7" spans="1:5" x14ac:dyDescent="0.3">
      <c r="A7" t="s">
        <v>10</v>
      </c>
      <c r="B7">
        <v>94642970.554343358</v>
      </c>
      <c r="C7">
        <v>12621662.8654842</v>
      </c>
      <c r="D7">
        <v>455117.03118277784</v>
      </c>
      <c r="E7">
        <v>4016721.1562699988</v>
      </c>
    </row>
    <row r="8" spans="1:5" x14ac:dyDescent="0.3">
      <c r="A8" t="s">
        <v>11</v>
      </c>
      <c r="B8">
        <v>93668725.213647917</v>
      </c>
      <c r="C8">
        <v>12802987.520439114</v>
      </c>
      <c r="D8">
        <v>436204.18002540717</v>
      </c>
      <c r="E8">
        <v>3099146.4618599974</v>
      </c>
    </row>
    <row r="9" spans="1:5" x14ac:dyDescent="0.3">
      <c r="A9" t="s">
        <v>12</v>
      </c>
      <c r="B9">
        <v>93142679.801878422</v>
      </c>
      <c r="C9">
        <v>11869526.845986107</v>
      </c>
      <c r="D9">
        <v>406436.6341740085</v>
      </c>
      <c r="E9">
        <v>3444991.4262699969</v>
      </c>
    </row>
    <row r="10" spans="1:5" x14ac:dyDescent="0.3">
      <c r="A10" t="s">
        <v>13</v>
      </c>
      <c r="B10">
        <v>95171460.138487905</v>
      </c>
      <c r="C10">
        <v>12437168.495419491</v>
      </c>
      <c r="D10">
        <v>464889.7857484853</v>
      </c>
      <c r="E10">
        <v>4254765.7762699984</v>
      </c>
    </row>
    <row r="11" spans="1:5" x14ac:dyDescent="0.3">
      <c r="A11" t="s">
        <v>14</v>
      </c>
      <c r="B11">
        <v>94507570.306164533</v>
      </c>
      <c r="C11">
        <v>12628938.855559582</v>
      </c>
      <c r="D11">
        <v>412887.58265220211</v>
      </c>
      <c r="E11">
        <v>3163367.7862699972</v>
      </c>
    </row>
    <row r="12" spans="1:5" x14ac:dyDescent="0.3">
      <c r="A12" t="s">
        <v>15</v>
      </c>
      <c r="B12">
        <v>92660271.581108123</v>
      </c>
      <c r="C12">
        <v>11095088.144185042</v>
      </c>
      <c r="D12">
        <v>422989.38195475237</v>
      </c>
      <c r="E12">
        <v>3751677.0918599973</v>
      </c>
    </row>
    <row r="13" spans="1:5" x14ac:dyDescent="0.3">
      <c r="A13" t="s">
        <v>16</v>
      </c>
      <c r="B13">
        <v>94268318.112842292</v>
      </c>
      <c r="C13">
        <v>12879295.987363361</v>
      </c>
      <c r="D13">
        <v>434544.68622279132</v>
      </c>
      <c r="E13">
        <v>2711711.2362699984</v>
      </c>
    </row>
    <row r="14" spans="1:5" x14ac:dyDescent="0.3">
      <c r="A14" t="s">
        <v>17</v>
      </c>
      <c r="B14">
        <v>95785643.569925234</v>
      </c>
      <c r="C14">
        <v>13105205.614173079</v>
      </c>
      <c r="D14">
        <v>1133295.1518807302</v>
      </c>
      <c r="E14">
        <v>3463906.8518599914</v>
      </c>
    </row>
    <row r="15" spans="1:5" x14ac:dyDescent="0.3">
      <c r="A15" t="s">
        <v>18</v>
      </c>
      <c r="B15">
        <v>94874171.181989267</v>
      </c>
      <c r="C15">
        <v>12560676.181245962</v>
      </c>
      <c r="D15">
        <v>502033.627790906</v>
      </c>
      <c r="E15">
        <v>3182891.5062699993</v>
      </c>
    </row>
    <row r="16" spans="1:5" x14ac:dyDescent="0.3">
      <c r="A16" t="s">
        <v>19</v>
      </c>
      <c r="B16">
        <v>95639231.695281953</v>
      </c>
      <c r="C16">
        <v>12820210.635478485</v>
      </c>
      <c r="D16">
        <v>444898.28144104074</v>
      </c>
      <c r="E16">
        <v>2155335.1959299995</v>
      </c>
    </row>
    <row r="17" spans="1:5" x14ac:dyDescent="0.3">
      <c r="A17" t="s">
        <v>20</v>
      </c>
      <c r="B17">
        <v>95147264.866228461</v>
      </c>
      <c r="C17">
        <v>12718725.660752209</v>
      </c>
      <c r="D17">
        <v>443503.45968224783</v>
      </c>
      <c r="E17">
        <v>3540310.8862699997</v>
      </c>
    </row>
    <row r="18" spans="1:5" x14ac:dyDescent="0.3">
      <c r="A18" t="s">
        <v>21</v>
      </c>
      <c r="B18">
        <v>95069763.446392193</v>
      </c>
      <c r="C18">
        <v>12353834.208315365</v>
      </c>
      <c r="D18">
        <v>492551.31856933917</v>
      </c>
      <c r="E18">
        <v>2948249.4218599992</v>
      </c>
    </row>
    <row r="19" spans="1:5" x14ac:dyDescent="0.3">
      <c r="A19" t="s">
        <v>22</v>
      </c>
      <c r="B19">
        <v>94842518.034711868</v>
      </c>
      <c r="C19">
        <v>13367220.452497959</v>
      </c>
      <c r="D19">
        <v>491660.77341288346</v>
      </c>
      <c r="E19">
        <v>2409130.1018599994</v>
      </c>
    </row>
    <row r="20" spans="1:5" x14ac:dyDescent="0.3">
      <c r="A20" t="s">
        <v>23</v>
      </c>
      <c r="B20">
        <v>95693710.30163838</v>
      </c>
      <c r="C20">
        <v>13149894.577350819</v>
      </c>
      <c r="D20">
        <v>415859.79930349358</v>
      </c>
      <c r="E20">
        <v>2715933.8062699982</v>
      </c>
    </row>
    <row r="21" spans="1:5" x14ac:dyDescent="0.3">
      <c r="A21" t="s">
        <v>26</v>
      </c>
      <c r="B21">
        <v>93264739.689646423</v>
      </c>
      <c r="C21">
        <v>11552148.546129407</v>
      </c>
      <c r="D21">
        <v>426420.95982983394</v>
      </c>
      <c r="E21">
        <v>3399665.8118599979</v>
      </c>
    </row>
    <row r="22" spans="1:5" x14ac:dyDescent="0.3">
      <c r="A22" t="s">
        <v>28</v>
      </c>
      <c r="B22">
        <v>94992555.105090603</v>
      </c>
      <c r="C22">
        <v>12511055.897051463</v>
      </c>
      <c r="D22">
        <v>356381.58713445585</v>
      </c>
      <c r="E22">
        <v>3755311.0462699854</v>
      </c>
    </row>
    <row r="23" spans="1:5" x14ac:dyDescent="0.3">
      <c r="A23" t="s">
        <v>29</v>
      </c>
      <c r="B23">
        <v>94018768.724436283</v>
      </c>
      <c r="C23">
        <v>12324353.639773939</v>
      </c>
      <c r="D23">
        <v>460048.67031912319</v>
      </c>
      <c r="E23">
        <v>2544998.0218599988</v>
      </c>
    </row>
    <row r="24" spans="1:5" x14ac:dyDescent="0.3">
      <c r="A24" t="s">
        <v>30</v>
      </c>
      <c r="B24">
        <v>94481881.519132286</v>
      </c>
      <c r="C24">
        <v>12434630.541775385</v>
      </c>
      <c r="D24">
        <v>427376.11847872363</v>
      </c>
      <c r="E24">
        <v>3619377.146269992</v>
      </c>
    </row>
    <row r="25" spans="1:5" x14ac:dyDescent="0.3">
      <c r="A25" t="s">
        <v>31</v>
      </c>
      <c r="B25">
        <v>94817321.694489509</v>
      </c>
      <c r="C25">
        <v>11770608.770144476</v>
      </c>
      <c r="D25">
        <v>433675.58914332319</v>
      </c>
      <c r="E25">
        <v>3140451.0818599984</v>
      </c>
    </row>
    <row r="26" spans="1:5" x14ac:dyDescent="0.3">
      <c r="A26" t="s">
        <v>32</v>
      </c>
      <c r="B26">
        <v>96128806.337107435</v>
      </c>
      <c r="C26">
        <v>13011355.487512024</v>
      </c>
      <c r="D26">
        <v>369883.68943251</v>
      </c>
      <c r="E26">
        <v>4145991.4975845008</v>
      </c>
    </row>
    <row r="27" spans="1:5" x14ac:dyDescent="0.3">
      <c r="A27" t="s">
        <v>33</v>
      </c>
      <c r="B27">
        <v>95140285.361330077</v>
      </c>
      <c r="C27">
        <v>12769774.930115189</v>
      </c>
      <c r="D27">
        <v>460848.04211592273</v>
      </c>
      <c r="E27">
        <v>2575619.5062699993</v>
      </c>
    </row>
    <row r="28" spans="1:5" x14ac:dyDescent="0.3">
      <c r="A28" t="s">
        <v>34</v>
      </c>
      <c r="B28">
        <v>94038881.03884317</v>
      </c>
      <c r="C28">
        <v>12562255.788032401</v>
      </c>
      <c r="D28">
        <v>472019.5053966546</v>
      </c>
      <c r="E28">
        <v>3159707.101859998</v>
      </c>
    </row>
    <row r="29" spans="1:5" x14ac:dyDescent="0.3">
      <c r="A29" t="s">
        <v>35</v>
      </c>
      <c r="B29">
        <v>94618074.054152146</v>
      </c>
      <c r="C29">
        <v>12468822.336850354</v>
      </c>
      <c r="D29">
        <v>464544.23259950028</v>
      </c>
      <c r="E29">
        <v>3305703.0956205311</v>
      </c>
    </row>
    <row r="30" spans="1:5" x14ac:dyDescent="0.3">
      <c r="A30" t="s">
        <v>36</v>
      </c>
      <c r="B30">
        <v>946940.286385132</v>
      </c>
      <c r="C30">
        <v>632978.26610737632</v>
      </c>
      <c r="D30">
        <v>138320.97214975706</v>
      </c>
      <c r="E30">
        <v>578043.3723100716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902D-4946-4BBC-AD30-2A5598CDA006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94711690.047990128</v>
      </c>
      <c r="C2">
        <v>11888731.525222566</v>
      </c>
      <c r="D2">
        <v>422592.35062162817</v>
      </c>
      <c r="E2">
        <v>3900922.0262699635</v>
      </c>
    </row>
    <row r="3" spans="1:5" x14ac:dyDescent="0.3">
      <c r="A3" t="s">
        <v>6</v>
      </c>
      <c r="B3">
        <v>95641196.879021868</v>
      </c>
      <c r="C3">
        <v>12445612.573234217</v>
      </c>
      <c r="D3">
        <v>499820.92430398008</v>
      </c>
      <c r="E3">
        <v>3176251.6262699235</v>
      </c>
    </row>
    <row r="4" spans="1:5" x14ac:dyDescent="0.3">
      <c r="A4" t="s">
        <v>7</v>
      </c>
      <c r="B4">
        <v>93784504.604731038</v>
      </c>
      <c r="C4">
        <v>12120828.812395837</v>
      </c>
      <c r="D4">
        <v>416073.30199115729</v>
      </c>
      <c r="E4">
        <v>4107163.4518599967</v>
      </c>
    </row>
    <row r="5" spans="1:5" x14ac:dyDescent="0.3">
      <c r="A5" t="s">
        <v>8</v>
      </c>
      <c r="B5">
        <v>95782411.141040027</v>
      </c>
      <c r="C5">
        <v>13797601.462861454</v>
      </c>
      <c r="D5">
        <v>439516.25321163406</v>
      </c>
      <c r="E5">
        <v>2832471.8162699966</v>
      </c>
    </row>
    <row r="6" spans="1:5" x14ac:dyDescent="0.3">
      <c r="A6" t="s">
        <v>9</v>
      </c>
      <c r="B6">
        <v>92770658.514609441</v>
      </c>
      <c r="C6">
        <v>11058809.076460401</v>
      </c>
      <c r="D6">
        <v>401165.59416649776</v>
      </c>
      <c r="E6">
        <v>4037914.7418599976</v>
      </c>
    </row>
    <row r="7" spans="1:5" x14ac:dyDescent="0.3">
      <c r="A7" t="s">
        <v>10</v>
      </c>
      <c r="B7">
        <v>94642970.554343358</v>
      </c>
      <c r="C7">
        <v>12621662.8654842</v>
      </c>
      <c r="D7">
        <v>455117.03118277784</v>
      </c>
      <c r="E7">
        <v>4016721.1562699988</v>
      </c>
    </row>
    <row r="8" spans="1:5" x14ac:dyDescent="0.3">
      <c r="A8" t="s">
        <v>11</v>
      </c>
      <c r="B8">
        <v>93668725.213647917</v>
      </c>
      <c r="C8">
        <v>12802987.520439114</v>
      </c>
      <c r="D8">
        <v>436204.18002540717</v>
      </c>
      <c r="E8">
        <v>3099146.4618599974</v>
      </c>
    </row>
    <row r="9" spans="1:5" x14ac:dyDescent="0.3">
      <c r="A9" t="s">
        <v>12</v>
      </c>
      <c r="B9">
        <v>93142679.801878422</v>
      </c>
      <c r="C9">
        <v>11869526.845986107</v>
      </c>
      <c r="D9">
        <v>406436.6341740085</v>
      </c>
      <c r="E9">
        <v>3444991.4262699969</v>
      </c>
    </row>
    <row r="10" spans="1:5" x14ac:dyDescent="0.3">
      <c r="A10" t="s">
        <v>13</v>
      </c>
      <c r="B10">
        <v>95171460.138487905</v>
      </c>
      <c r="C10">
        <v>12437168.495419491</v>
      </c>
      <c r="D10">
        <v>464889.7857484853</v>
      </c>
      <c r="E10">
        <v>4254765.7762699984</v>
      </c>
    </row>
    <row r="11" spans="1:5" x14ac:dyDescent="0.3">
      <c r="A11" t="s">
        <v>14</v>
      </c>
      <c r="B11">
        <v>94507570.306164533</v>
      </c>
      <c r="C11">
        <v>12628938.855559582</v>
      </c>
      <c r="D11">
        <v>412887.58265220211</v>
      </c>
      <c r="E11">
        <v>3163367.7862699972</v>
      </c>
    </row>
    <row r="12" spans="1:5" x14ac:dyDescent="0.3">
      <c r="A12" t="s">
        <v>15</v>
      </c>
      <c r="B12">
        <v>92660271.581108123</v>
      </c>
      <c r="C12">
        <v>11095088.144185042</v>
      </c>
      <c r="D12">
        <v>422989.38195475237</v>
      </c>
      <c r="E12">
        <v>3751677.0918599973</v>
      </c>
    </row>
    <row r="13" spans="1:5" x14ac:dyDescent="0.3">
      <c r="A13" t="s">
        <v>16</v>
      </c>
      <c r="B13">
        <v>94268318.112842292</v>
      </c>
      <c r="C13">
        <v>12879295.987363361</v>
      </c>
      <c r="D13">
        <v>434544.68622279132</v>
      </c>
      <c r="E13">
        <v>2711711.2362699984</v>
      </c>
    </row>
    <row r="14" spans="1:5" x14ac:dyDescent="0.3">
      <c r="A14" t="s">
        <v>17</v>
      </c>
      <c r="B14">
        <v>95785643.569925234</v>
      </c>
      <c r="C14">
        <v>13105205.614173079</v>
      </c>
      <c r="D14">
        <v>1133295.1518807302</v>
      </c>
      <c r="E14">
        <v>3463906.8518599914</v>
      </c>
    </row>
    <row r="15" spans="1:5" x14ac:dyDescent="0.3">
      <c r="A15" t="s">
        <v>18</v>
      </c>
      <c r="B15">
        <v>94874171.181989267</v>
      </c>
      <c r="C15">
        <v>12560676.181245962</v>
      </c>
      <c r="D15">
        <v>502033.627790906</v>
      </c>
      <c r="E15">
        <v>3182891.5062699993</v>
      </c>
    </row>
    <row r="16" spans="1:5" x14ac:dyDescent="0.3">
      <c r="A16" t="s">
        <v>19</v>
      </c>
      <c r="B16">
        <v>95639231.695281953</v>
      </c>
      <c r="C16">
        <v>12820210.635478485</v>
      </c>
      <c r="D16">
        <v>444898.28144104074</v>
      </c>
      <c r="E16">
        <v>2155335.1959299995</v>
      </c>
    </row>
    <row r="17" spans="1:5" x14ac:dyDescent="0.3">
      <c r="A17" t="s">
        <v>20</v>
      </c>
      <c r="B17">
        <v>95147264.866228461</v>
      </c>
      <c r="C17">
        <v>12718725.660752209</v>
      </c>
      <c r="D17">
        <v>443503.45968224783</v>
      </c>
      <c r="E17">
        <v>3540310.8862699997</v>
      </c>
    </row>
    <row r="18" spans="1:5" x14ac:dyDescent="0.3">
      <c r="A18" t="s">
        <v>21</v>
      </c>
      <c r="B18">
        <v>95069763.446392193</v>
      </c>
      <c r="C18">
        <v>12353834.208315365</v>
      </c>
      <c r="D18">
        <v>492551.31856933917</v>
      </c>
      <c r="E18">
        <v>2948249.4218599992</v>
      </c>
    </row>
    <row r="19" spans="1:5" x14ac:dyDescent="0.3">
      <c r="A19" t="s">
        <v>22</v>
      </c>
      <c r="B19">
        <v>94842518.034711868</v>
      </c>
      <c r="C19">
        <v>13367220.452497959</v>
      </c>
      <c r="D19">
        <v>491660.77341288346</v>
      </c>
      <c r="E19">
        <v>2409130.1018599994</v>
      </c>
    </row>
    <row r="20" spans="1:5" x14ac:dyDescent="0.3">
      <c r="A20" t="s">
        <v>23</v>
      </c>
      <c r="B20">
        <v>95693710.30163838</v>
      </c>
      <c r="C20">
        <v>13149894.577350819</v>
      </c>
      <c r="D20">
        <v>415859.79930349358</v>
      </c>
      <c r="E20">
        <v>2715933.8062699982</v>
      </c>
    </row>
    <row r="21" spans="1:5" x14ac:dyDescent="0.3">
      <c r="A21" t="s">
        <v>24</v>
      </c>
      <c r="B21">
        <v>95121306.915667295</v>
      </c>
      <c r="C21">
        <v>13006513.730545994</v>
      </c>
      <c r="D21">
        <v>411680.73125372105</v>
      </c>
      <c r="E21">
        <v>3035732.5762699991</v>
      </c>
    </row>
    <row r="22" spans="1:5" x14ac:dyDescent="0.3">
      <c r="A22" t="s">
        <v>25</v>
      </c>
      <c r="B22">
        <v>95317872.287642047</v>
      </c>
      <c r="C22">
        <v>12719868.783392806</v>
      </c>
      <c r="D22">
        <v>440960.58803059265</v>
      </c>
      <c r="E22">
        <v>3958243.7362699965</v>
      </c>
    </row>
    <row r="23" spans="1:5" x14ac:dyDescent="0.3">
      <c r="A23" t="s">
        <v>26</v>
      </c>
      <c r="B23">
        <v>93264739.689646423</v>
      </c>
      <c r="C23">
        <v>11552148.546129407</v>
      </c>
      <c r="D23">
        <v>426420.95982983394</v>
      </c>
      <c r="E23">
        <v>3399665.8118599979</v>
      </c>
    </row>
    <row r="24" spans="1:5" x14ac:dyDescent="0.3">
      <c r="A24" t="s">
        <v>27</v>
      </c>
      <c r="B24">
        <v>93483683.762867704</v>
      </c>
      <c r="C24">
        <v>12178329.06304827</v>
      </c>
      <c r="D24">
        <v>445590.97985027661</v>
      </c>
      <c r="E24">
        <v>2865288.4718599971</v>
      </c>
    </row>
    <row r="25" spans="1:5" x14ac:dyDescent="0.3">
      <c r="A25" t="s">
        <v>28</v>
      </c>
      <c r="B25">
        <v>94992555.105090603</v>
      </c>
      <c r="C25">
        <v>12511055.897051463</v>
      </c>
      <c r="D25">
        <v>356381.58713445585</v>
      </c>
      <c r="E25">
        <v>3755311.0462699854</v>
      </c>
    </row>
    <row r="26" spans="1:5" x14ac:dyDescent="0.3">
      <c r="A26" t="s">
        <v>29</v>
      </c>
      <c r="B26">
        <v>94018768.724436283</v>
      </c>
      <c r="C26">
        <v>12324353.639773939</v>
      </c>
      <c r="D26">
        <v>460048.67031912319</v>
      </c>
      <c r="E26">
        <v>2544998.0218599988</v>
      </c>
    </row>
    <row r="27" spans="1:5" x14ac:dyDescent="0.3">
      <c r="A27" t="s">
        <v>30</v>
      </c>
      <c r="B27">
        <v>94481881.519132286</v>
      </c>
      <c r="C27">
        <v>12434630.541775385</v>
      </c>
      <c r="D27">
        <v>427376.11847872363</v>
      </c>
      <c r="E27">
        <v>3619377.146269992</v>
      </c>
    </row>
    <row r="28" spans="1:5" x14ac:dyDescent="0.3">
      <c r="A28" t="s">
        <v>31</v>
      </c>
      <c r="B28">
        <v>94817321.694489509</v>
      </c>
      <c r="C28">
        <v>11770608.770144476</v>
      </c>
      <c r="D28">
        <v>433675.58914332319</v>
      </c>
      <c r="E28">
        <v>3140451.0818599984</v>
      </c>
    </row>
    <row r="29" spans="1:5" x14ac:dyDescent="0.3">
      <c r="A29" t="s">
        <v>32</v>
      </c>
      <c r="B29">
        <v>96128806.337107435</v>
      </c>
      <c r="C29">
        <v>13011355.487512024</v>
      </c>
      <c r="D29">
        <v>369883.68943251</v>
      </c>
      <c r="E29">
        <v>4145991.4975845008</v>
      </c>
    </row>
    <row r="30" spans="1:5" x14ac:dyDescent="0.3">
      <c r="A30" t="s">
        <v>33</v>
      </c>
      <c r="B30">
        <v>95140285.361330077</v>
      </c>
      <c r="C30">
        <v>12769774.930115189</v>
      </c>
      <c r="D30">
        <v>460848.04211592273</v>
      </c>
      <c r="E30">
        <v>2575619.5062699993</v>
      </c>
    </row>
    <row r="31" spans="1:5" x14ac:dyDescent="0.3">
      <c r="A31" t="s">
        <v>34</v>
      </c>
      <c r="B31">
        <v>94038881.03884317</v>
      </c>
      <c r="C31">
        <v>12562255.788032401</v>
      </c>
      <c r="D31">
        <v>472019.5053966546</v>
      </c>
      <c r="E31">
        <v>3159707.101859998</v>
      </c>
    </row>
    <row r="32" spans="1:5" x14ac:dyDescent="0.3">
      <c r="A32" t="s">
        <v>35</v>
      </c>
      <c r="B32">
        <v>94620362.080942839</v>
      </c>
      <c r="C32">
        <v>12485430.489064889</v>
      </c>
      <c r="D32">
        <v>461364.21931070334</v>
      </c>
      <c r="E32">
        <v>3303774.9455384775</v>
      </c>
    </row>
    <row r="33" spans="1:5" x14ac:dyDescent="0.3">
      <c r="A33" t="s">
        <v>36</v>
      </c>
      <c r="B33">
        <v>934837.96709459147</v>
      </c>
      <c r="C33">
        <v>611539.78620315425</v>
      </c>
      <c r="D33">
        <v>131418.85710329562</v>
      </c>
      <c r="E33">
        <v>568726.17870596459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900-325E-457D-826C-C3FA1D3D0A85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123994725.87940057</v>
      </c>
      <c r="C2">
        <v>10466576.185931632</v>
      </c>
      <c r="D2">
        <v>331026.6339826021</v>
      </c>
      <c r="E2">
        <v>4167913.8262700057</v>
      </c>
    </row>
    <row r="3" spans="1:5" x14ac:dyDescent="0.3">
      <c r="A3" t="s">
        <v>6</v>
      </c>
      <c r="B3">
        <v>123694725.87940057</v>
      </c>
      <c r="C3">
        <v>10466576.185931632</v>
      </c>
      <c r="D3">
        <v>348959.66263754643</v>
      </c>
      <c r="E3">
        <v>3443243.4262699997</v>
      </c>
    </row>
    <row r="4" spans="1:5" x14ac:dyDescent="0.3">
      <c r="A4" t="s">
        <v>7</v>
      </c>
      <c r="B4">
        <v>127551339.23104873</v>
      </c>
      <c r="C4">
        <v>10067315.591679884</v>
      </c>
      <c r="D4">
        <v>317806.0863561866</v>
      </c>
      <c r="E4">
        <v>4237788.0318600219</v>
      </c>
    </row>
    <row r="5" spans="1:5" x14ac:dyDescent="0.3">
      <c r="A5" t="s">
        <v>8</v>
      </c>
      <c r="B5">
        <v>123894725.87940057</v>
      </c>
      <c r="C5">
        <v>10466576.185931632</v>
      </c>
      <c r="D5">
        <v>350508.11339736782</v>
      </c>
      <c r="E5">
        <v>3099463.6162700001</v>
      </c>
    </row>
    <row r="6" spans="1:5" x14ac:dyDescent="0.3">
      <c r="A6" t="s">
        <v>9</v>
      </c>
      <c r="B6">
        <v>128081298.907921</v>
      </c>
      <c r="C6">
        <v>9831975.9331714865</v>
      </c>
      <c r="D6">
        <v>304459.29646481917</v>
      </c>
      <c r="E6">
        <v>4090753.3218599986</v>
      </c>
    </row>
    <row r="7" spans="1:5" x14ac:dyDescent="0.3">
      <c r="A7" t="s">
        <v>10</v>
      </c>
      <c r="B7">
        <v>123894725.87940055</v>
      </c>
      <c r="C7">
        <v>10466576.185931632</v>
      </c>
      <c r="D7">
        <v>348660.3483582206</v>
      </c>
      <c r="E7">
        <v>4283712.9562699972</v>
      </c>
    </row>
    <row r="8" spans="1:5" x14ac:dyDescent="0.3">
      <c r="A8" t="s">
        <v>11</v>
      </c>
      <c r="B8">
        <v>127611973.50460894</v>
      </c>
      <c r="C8">
        <v>10190295.956796875</v>
      </c>
      <c r="D8">
        <v>338288.6452029011</v>
      </c>
      <c r="E8">
        <v>3195959.26186</v>
      </c>
    </row>
    <row r="9" spans="1:5" x14ac:dyDescent="0.3">
      <c r="A9" t="s">
        <v>12</v>
      </c>
      <c r="B9">
        <v>128070060.02094994</v>
      </c>
      <c r="C9">
        <v>10067308.570254387</v>
      </c>
      <c r="D9">
        <v>334123.04557444243</v>
      </c>
      <c r="E9">
        <v>3534612.8218599982</v>
      </c>
    </row>
    <row r="10" spans="1:5" x14ac:dyDescent="0.3">
      <c r="A10" t="s">
        <v>13</v>
      </c>
      <c r="B10">
        <v>123794725.87940057</v>
      </c>
      <c r="C10">
        <v>10466576.185931632</v>
      </c>
      <c r="D10">
        <v>374114.60638000519</v>
      </c>
      <c r="E10">
        <v>4521757.5762700001</v>
      </c>
    </row>
    <row r="11" spans="1:5" x14ac:dyDescent="0.3">
      <c r="A11" t="s">
        <v>14</v>
      </c>
      <c r="B11">
        <v>123994725.87940057</v>
      </c>
      <c r="C11">
        <v>10466576.185931632</v>
      </c>
      <c r="D11">
        <v>324686.43687158095</v>
      </c>
      <c r="E11">
        <v>3430359.5862698779</v>
      </c>
    </row>
    <row r="12" spans="1:5" x14ac:dyDescent="0.3">
      <c r="A12" t="s">
        <v>15</v>
      </c>
      <c r="B12">
        <v>126569935.89094429</v>
      </c>
      <c r="C12">
        <v>10067308.570254387</v>
      </c>
      <c r="D12">
        <v>352352.56449243007</v>
      </c>
      <c r="E12">
        <v>3848489.8918599989</v>
      </c>
    </row>
    <row r="13" spans="1:5" x14ac:dyDescent="0.3">
      <c r="A13" t="s">
        <v>16</v>
      </c>
      <c r="B13">
        <v>123794725.87940057</v>
      </c>
      <c r="C13">
        <v>10466576.185931632</v>
      </c>
      <c r="D13">
        <v>356130.78839397477</v>
      </c>
      <c r="E13">
        <v>2748917.8362699999</v>
      </c>
    </row>
    <row r="14" spans="1:5" x14ac:dyDescent="0.3">
      <c r="A14" t="s">
        <v>17</v>
      </c>
      <c r="B14">
        <v>123685890.37641463</v>
      </c>
      <c r="C14">
        <v>10466576.185931632</v>
      </c>
      <c r="D14">
        <v>366532.25369546295</v>
      </c>
      <c r="E14">
        <v>3676893.1962700002</v>
      </c>
    </row>
    <row r="15" spans="1:5" x14ac:dyDescent="0.3">
      <c r="A15" t="s">
        <v>18</v>
      </c>
      <c r="B15">
        <v>123994725.87940057</v>
      </c>
      <c r="C15">
        <v>10466576.185931632</v>
      </c>
      <c r="D15">
        <v>387057.78614138701</v>
      </c>
      <c r="E15">
        <v>3446579.3062700001</v>
      </c>
    </row>
    <row r="16" spans="1:5" x14ac:dyDescent="0.3">
      <c r="A16" t="s">
        <v>19</v>
      </c>
      <c r="B16">
        <v>123692176.42531171</v>
      </c>
      <c r="C16">
        <v>10466576.185931632</v>
      </c>
      <c r="D16">
        <v>356105.65593635151</v>
      </c>
      <c r="E16">
        <v>2099752.0262699998</v>
      </c>
    </row>
    <row r="17" spans="1:5" x14ac:dyDescent="0.3">
      <c r="A17" t="s">
        <v>20</v>
      </c>
      <c r="B17">
        <v>123794725.87940057</v>
      </c>
      <c r="C17">
        <v>10466576.185931632</v>
      </c>
      <c r="D17">
        <v>350932.44753993332</v>
      </c>
      <c r="E17">
        <v>3807302.6862700009</v>
      </c>
    </row>
    <row r="18" spans="1:5" x14ac:dyDescent="0.3">
      <c r="A18" t="s">
        <v>21</v>
      </c>
      <c r="B18">
        <v>123907929.48337844</v>
      </c>
      <c r="C18">
        <v>10336098.867548708</v>
      </c>
      <c r="D18">
        <v>380598.15808274347</v>
      </c>
      <c r="E18">
        <v>3129282.2218599999</v>
      </c>
    </row>
    <row r="19" spans="1:5" x14ac:dyDescent="0.3">
      <c r="A19" t="s">
        <v>22</v>
      </c>
      <c r="B19">
        <v>124866032.59385665</v>
      </c>
      <c r="C19">
        <v>10336098.867548708</v>
      </c>
      <c r="D19">
        <v>398242.74749253975</v>
      </c>
      <c r="E19">
        <v>2516438.6118599959</v>
      </c>
    </row>
    <row r="20" spans="1:5" x14ac:dyDescent="0.3">
      <c r="A20" t="s">
        <v>23</v>
      </c>
      <c r="B20">
        <v>123794725.87940057</v>
      </c>
      <c r="C20">
        <v>10466576.185931632</v>
      </c>
      <c r="D20">
        <v>338875.1689000699</v>
      </c>
      <c r="E20">
        <v>2982925.606269998</v>
      </c>
    </row>
    <row r="21" spans="1:5" x14ac:dyDescent="0.3">
      <c r="A21" t="s">
        <v>24</v>
      </c>
      <c r="B21">
        <v>123794725.87940057</v>
      </c>
      <c r="C21">
        <v>10466576.185931632</v>
      </c>
      <c r="D21">
        <v>309526.38440140756</v>
      </c>
      <c r="E21">
        <v>3302724.3762699957</v>
      </c>
    </row>
    <row r="22" spans="1:5" x14ac:dyDescent="0.3">
      <c r="A22" t="s">
        <v>25</v>
      </c>
      <c r="B22">
        <v>123894725.87940057</v>
      </c>
      <c r="C22">
        <v>10466576.185931632</v>
      </c>
      <c r="D22">
        <v>372568.23491251993</v>
      </c>
      <c r="E22">
        <v>4225235.53627</v>
      </c>
    </row>
    <row r="23" spans="1:5" x14ac:dyDescent="0.3">
      <c r="A23" t="s">
        <v>26</v>
      </c>
      <c r="B23">
        <v>127287638.81385711</v>
      </c>
      <c r="C23">
        <v>10067315.591679884</v>
      </c>
      <c r="D23">
        <v>351300.5869495729</v>
      </c>
      <c r="E23">
        <v>3553878.6118599982</v>
      </c>
    </row>
    <row r="24" spans="1:5" x14ac:dyDescent="0.3">
      <c r="A24" t="s">
        <v>27</v>
      </c>
      <c r="B24">
        <v>127085657.08257103</v>
      </c>
      <c r="C24">
        <v>10067308.570254387</v>
      </c>
      <c r="D24">
        <v>346847.48308276333</v>
      </c>
      <c r="E24">
        <v>2955124.851859998</v>
      </c>
    </row>
    <row r="25" spans="1:5" x14ac:dyDescent="0.3">
      <c r="A25" t="s">
        <v>28</v>
      </c>
      <c r="B25">
        <v>123794725.87940057</v>
      </c>
      <c r="C25">
        <v>10466576.185931632</v>
      </c>
      <c r="D25">
        <v>291076.50022536051</v>
      </c>
      <c r="E25">
        <v>4022302.8462699996</v>
      </c>
    </row>
    <row r="26" spans="1:5" x14ac:dyDescent="0.3">
      <c r="A26" t="s">
        <v>29</v>
      </c>
      <c r="B26">
        <v>126967344.40198013</v>
      </c>
      <c r="C26">
        <v>10067315.591679884</v>
      </c>
      <c r="D26">
        <v>343622.59835667588</v>
      </c>
      <c r="E26">
        <v>2662058.4618599992</v>
      </c>
    </row>
    <row r="27" spans="1:5" x14ac:dyDescent="0.3">
      <c r="A27" t="s">
        <v>30</v>
      </c>
      <c r="B27">
        <v>123894725.87940057</v>
      </c>
      <c r="C27">
        <v>10466576.185931632</v>
      </c>
      <c r="D27">
        <v>335403.83777998469</v>
      </c>
      <c r="E27">
        <v>3886368.9462700007</v>
      </c>
    </row>
    <row r="28" spans="1:5" x14ac:dyDescent="0.3">
      <c r="A28" t="s">
        <v>31</v>
      </c>
      <c r="B28">
        <v>124761950.07431768</v>
      </c>
      <c r="C28">
        <v>10336098.867548708</v>
      </c>
      <c r="D28">
        <v>358462.94763417612</v>
      </c>
      <c r="E28">
        <v>3298383.8818600001</v>
      </c>
    </row>
    <row r="29" spans="1:5" x14ac:dyDescent="0.3">
      <c r="A29" t="s">
        <v>32</v>
      </c>
      <c r="B29">
        <v>123794725.87940057</v>
      </c>
      <c r="C29">
        <v>10466576.185931632</v>
      </c>
      <c r="D29">
        <v>322212.89810785011</v>
      </c>
      <c r="E29">
        <v>4412983.3662700001</v>
      </c>
    </row>
    <row r="30" spans="1:5" x14ac:dyDescent="0.3">
      <c r="A30" t="s">
        <v>33</v>
      </c>
      <c r="B30">
        <v>123894725.87940057</v>
      </c>
      <c r="C30">
        <v>10466576.185931632</v>
      </c>
      <c r="D30">
        <v>366550.24017811869</v>
      </c>
      <c r="E30">
        <v>2842611.3062700005</v>
      </c>
    </row>
    <row r="31" spans="1:5" x14ac:dyDescent="0.3">
      <c r="A31" t="s">
        <v>34</v>
      </c>
      <c r="B31">
        <v>126391830.12616257</v>
      </c>
      <c r="C31">
        <v>10067315.591679884</v>
      </c>
      <c r="D31">
        <v>372589.50776135962</v>
      </c>
      <c r="E31">
        <v>3317639.9018599987</v>
      </c>
    </row>
    <row r="32" spans="1:5" x14ac:dyDescent="0.3">
      <c r="A32" t="s">
        <v>35</v>
      </c>
      <c r="B32">
        <v>124941555.70012441</v>
      </c>
      <c r="C32">
        <v>10330004.263895549</v>
      </c>
      <c r="D32">
        <v>347654.05550967844</v>
      </c>
      <c r="E32">
        <v>3491381.9298393298</v>
      </c>
    </row>
    <row r="33" spans="1:5" x14ac:dyDescent="0.3">
      <c r="A33" t="s">
        <v>36</v>
      </c>
      <c r="B33">
        <v>1615885.2615541974</v>
      </c>
      <c r="C33">
        <v>193555.17045331385</v>
      </c>
      <c r="D33">
        <v>24598.774843980693</v>
      </c>
      <c r="E33">
        <v>608363.43241967552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16F5-260F-41A6-A2A4-B4B40298AC36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123994725.87940057</v>
      </c>
      <c r="C2">
        <v>10466576.185931632</v>
      </c>
      <c r="D2">
        <v>331026.6339826021</v>
      </c>
      <c r="E2">
        <v>4167913.8262700057</v>
      </c>
    </row>
    <row r="3" spans="1:5" x14ac:dyDescent="0.3">
      <c r="A3" t="s">
        <v>6</v>
      </c>
      <c r="B3">
        <v>123694725.87940057</v>
      </c>
      <c r="C3">
        <v>10466576.185931632</v>
      </c>
      <c r="D3">
        <v>348959.66263754643</v>
      </c>
      <c r="E3">
        <v>3443243.4262699997</v>
      </c>
    </row>
    <row r="4" spans="1:5" x14ac:dyDescent="0.3">
      <c r="A4" t="s">
        <v>7</v>
      </c>
      <c r="B4">
        <v>127551339.23104873</v>
      </c>
      <c r="C4">
        <v>10067315.591679884</v>
      </c>
      <c r="D4">
        <v>317806.0863561866</v>
      </c>
      <c r="E4">
        <v>4237788.0318600219</v>
      </c>
    </row>
    <row r="5" spans="1:5" x14ac:dyDescent="0.3">
      <c r="A5" t="s">
        <v>8</v>
      </c>
      <c r="B5">
        <v>123894725.87940057</v>
      </c>
      <c r="C5">
        <v>10466576.185931632</v>
      </c>
      <c r="D5">
        <v>350508.11339736782</v>
      </c>
      <c r="E5">
        <v>3099463.6162700001</v>
      </c>
    </row>
    <row r="6" spans="1:5" x14ac:dyDescent="0.3">
      <c r="A6" t="s">
        <v>9</v>
      </c>
      <c r="B6">
        <v>128081298.907921</v>
      </c>
      <c r="C6">
        <v>9831975.9331714865</v>
      </c>
      <c r="D6">
        <v>304459.29646481917</v>
      </c>
      <c r="E6">
        <v>4090753.3218599986</v>
      </c>
    </row>
    <row r="7" spans="1:5" x14ac:dyDescent="0.3">
      <c r="A7" t="s">
        <v>10</v>
      </c>
      <c r="B7">
        <v>123894725.87940055</v>
      </c>
      <c r="C7">
        <v>10466576.185931632</v>
      </c>
      <c r="D7">
        <v>348660.3483582206</v>
      </c>
      <c r="E7">
        <v>4283712.9562699972</v>
      </c>
    </row>
    <row r="8" spans="1:5" x14ac:dyDescent="0.3">
      <c r="A8" t="s">
        <v>11</v>
      </c>
      <c r="B8">
        <v>127611973.50460894</v>
      </c>
      <c r="C8">
        <v>10190295.956796875</v>
      </c>
      <c r="D8">
        <v>338288.6452029011</v>
      </c>
      <c r="E8">
        <v>3195959.26186</v>
      </c>
    </row>
    <row r="9" spans="1:5" x14ac:dyDescent="0.3">
      <c r="A9" t="s">
        <v>12</v>
      </c>
      <c r="B9">
        <v>128070060.02094994</v>
      </c>
      <c r="C9">
        <v>10067308.570254387</v>
      </c>
      <c r="D9">
        <v>334123.04557444243</v>
      </c>
      <c r="E9">
        <v>3534612.8218599982</v>
      </c>
    </row>
    <row r="10" spans="1:5" x14ac:dyDescent="0.3">
      <c r="A10" t="s">
        <v>13</v>
      </c>
      <c r="B10">
        <v>123794725.87940057</v>
      </c>
      <c r="C10">
        <v>10466576.185931632</v>
      </c>
      <c r="D10">
        <v>374114.60638000519</v>
      </c>
      <c r="E10">
        <v>4521757.5762700001</v>
      </c>
    </row>
    <row r="11" spans="1:5" x14ac:dyDescent="0.3">
      <c r="A11" t="s">
        <v>14</v>
      </c>
      <c r="B11">
        <v>123994725.87940057</v>
      </c>
      <c r="C11">
        <v>10466576.185931632</v>
      </c>
      <c r="D11">
        <v>324686.43687158095</v>
      </c>
      <c r="E11">
        <v>3430359.5862698779</v>
      </c>
    </row>
    <row r="12" spans="1:5" x14ac:dyDescent="0.3">
      <c r="A12" t="s">
        <v>15</v>
      </c>
      <c r="B12">
        <v>126569935.89094429</v>
      </c>
      <c r="C12">
        <v>10067308.570254387</v>
      </c>
      <c r="D12">
        <v>352352.56449243007</v>
      </c>
      <c r="E12">
        <v>3848489.8918599989</v>
      </c>
    </row>
    <row r="13" spans="1:5" x14ac:dyDescent="0.3">
      <c r="A13" t="s">
        <v>16</v>
      </c>
      <c r="B13">
        <v>123794725.87940057</v>
      </c>
      <c r="C13">
        <v>10466576.185931632</v>
      </c>
      <c r="D13">
        <v>356130.78839397477</v>
      </c>
      <c r="E13">
        <v>2748917.8362699999</v>
      </c>
    </row>
    <row r="14" spans="1:5" x14ac:dyDescent="0.3">
      <c r="A14" t="s">
        <v>17</v>
      </c>
      <c r="B14">
        <v>123685890.37641463</v>
      </c>
      <c r="C14">
        <v>10466576.185931632</v>
      </c>
      <c r="D14">
        <v>366532.25369546295</v>
      </c>
      <c r="E14">
        <v>3676893.1962700002</v>
      </c>
    </row>
    <row r="15" spans="1:5" x14ac:dyDescent="0.3">
      <c r="A15" t="s">
        <v>18</v>
      </c>
      <c r="B15">
        <v>123994725.87940057</v>
      </c>
      <c r="C15">
        <v>10466576.185931632</v>
      </c>
      <c r="D15">
        <v>387057.78614138701</v>
      </c>
      <c r="E15">
        <v>3446579.3062700001</v>
      </c>
    </row>
    <row r="16" spans="1:5" x14ac:dyDescent="0.3">
      <c r="A16" t="s">
        <v>19</v>
      </c>
      <c r="B16">
        <v>123692176.42531171</v>
      </c>
      <c r="C16">
        <v>10466576.185931632</v>
      </c>
      <c r="D16">
        <v>356105.65593635151</v>
      </c>
      <c r="E16">
        <v>2099752.0262699998</v>
      </c>
    </row>
    <row r="17" spans="1:5" x14ac:dyDescent="0.3">
      <c r="A17" t="s">
        <v>20</v>
      </c>
      <c r="B17">
        <v>123794725.87940057</v>
      </c>
      <c r="C17">
        <v>10466576.185931632</v>
      </c>
      <c r="D17">
        <v>350932.44753993332</v>
      </c>
      <c r="E17">
        <v>3807302.6862700009</v>
      </c>
    </row>
    <row r="18" spans="1:5" x14ac:dyDescent="0.3">
      <c r="A18" t="s">
        <v>21</v>
      </c>
      <c r="B18">
        <v>123907929.48337844</v>
      </c>
      <c r="C18">
        <v>10336098.867548708</v>
      </c>
      <c r="D18">
        <v>380598.15808274347</v>
      </c>
      <c r="E18">
        <v>3129282.2218599999</v>
      </c>
    </row>
    <row r="19" spans="1:5" x14ac:dyDescent="0.3">
      <c r="A19" t="s">
        <v>22</v>
      </c>
      <c r="B19">
        <v>124866032.59385665</v>
      </c>
      <c r="C19">
        <v>10336098.867548708</v>
      </c>
      <c r="D19">
        <v>398242.74749253975</v>
      </c>
      <c r="E19">
        <v>2516438.6118599959</v>
      </c>
    </row>
    <row r="20" spans="1:5" x14ac:dyDescent="0.3">
      <c r="A20" t="s">
        <v>23</v>
      </c>
      <c r="B20">
        <v>123794725.87940057</v>
      </c>
      <c r="C20">
        <v>10466576.185931632</v>
      </c>
      <c r="D20">
        <v>338875.1689000699</v>
      </c>
      <c r="E20">
        <v>2982925.606269998</v>
      </c>
    </row>
    <row r="21" spans="1:5" x14ac:dyDescent="0.3">
      <c r="A21" t="s">
        <v>24</v>
      </c>
      <c r="B21">
        <v>123794725.87940057</v>
      </c>
      <c r="C21">
        <v>10466576.185931632</v>
      </c>
      <c r="D21">
        <v>309526.38440140756</v>
      </c>
      <c r="E21">
        <v>3302724.3762699957</v>
      </c>
    </row>
    <row r="22" spans="1:5" x14ac:dyDescent="0.3">
      <c r="A22" t="s">
        <v>25</v>
      </c>
      <c r="B22">
        <v>123894725.87940057</v>
      </c>
      <c r="C22">
        <v>10466576.185931632</v>
      </c>
      <c r="D22">
        <v>372568.23491251993</v>
      </c>
      <c r="E22">
        <v>4225235.53627</v>
      </c>
    </row>
    <row r="23" spans="1:5" x14ac:dyDescent="0.3">
      <c r="A23" t="s">
        <v>26</v>
      </c>
      <c r="B23">
        <v>127287638.81385711</v>
      </c>
      <c r="C23">
        <v>10067315.591679884</v>
      </c>
      <c r="D23">
        <v>351300.5869495729</v>
      </c>
      <c r="E23">
        <v>3553878.6118599982</v>
      </c>
    </row>
    <row r="24" spans="1:5" x14ac:dyDescent="0.3">
      <c r="A24" t="s">
        <v>27</v>
      </c>
      <c r="B24">
        <v>127085657.08257103</v>
      </c>
      <c r="C24">
        <v>10067308.570254387</v>
      </c>
      <c r="D24">
        <v>346847.48308276333</v>
      </c>
      <c r="E24">
        <v>2955124.851859998</v>
      </c>
    </row>
    <row r="25" spans="1:5" x14ac:dyDescent="0.3">
      <c r="A25" t="s">
        <v>28</v>
      </c>
      <c r="B25">
        <v>123794725.87940057</v>
      </c>
      <c r="C25">
        <v>10466576.185931632</v>
      </c>
      <c r="D25">
        <v>291076.50022536051</v>
      </c>
      <c r="E25">
        <v>4022302.8462699996</v>
      </c>
    </row>
    <row r="26" spans="1:5" x14ac:dyDescent="0.3">
      <c r="A26" t="s">
        <v>29</v>
      </c>
      <c r="B26">
        <v>126967344.40198013</v>
      </c>
      <c r="C26">
        <v>10067315.591679884</v>
      </c>
      <c r="D26">
        <v>343622.59835667588</v>
      </c>
      <c r="E26">
        <v>2662058.4618599992</v>
      </c>
    </row>
    <row r="27" spans="1:5" x14ac:dyDescent="0.3">
      <c r="A27" t="s">
        <v>30</v>
      </c>
      <c r="B27">
        <v>123894725.87940057</v>
      </c>
      <c r="C27">
        <v>10466576.185931632</v>
      </c>
      <c r="D27">
        <v>335403.83777998469</v>
      </c>
      <c r="E27">
        <v>3886368.9462700007</v>
      </c>
    </row>
    <row r="28" spans="1:5" x14ac:dyDescent="0.3">
      <c r="A28" t="s">
        <v>31</v>
      </c>
      <c r="B28">
        <v>124761950.07431768</v>
      </c>
      <c r="C28">
        <v>10336098.867548708</v>
      </c>
      <c r="D28">
        <v>358462.94763417612</v>
      </c>
      <c r="E28">
        <v>3298383.8818600001</v>
      </c>
    </row>
    <row r="29" spans="1:5" x14ac:dyDescent="0.3">
      <c r="A29" t="s">
        <v>32</v>
      </c>
      <c r="B29">
        <v>123794725.87940057</v>
      </c>
      <c r="C29">
        <v>10466576.185931632</v>
      </c>
      <c r="D29">
        <v>322212.89810785011</v>
      </c>
      <c r="E29">
        <v>4412983.3662700001</v>
      </c>
    </row>
    <row r="30" spans="1:5" x14ac:dyDescent="0.3">
      <c r="A30" t="s">
        <v>33</v>
      </c>
      <c r="B30">
        <v>123894725.87940057</v>
      </c>
      <c r="C30">
        <v>10466576.185931632</v>
      </c>
      <c r="D30">
        <v>366550.24017811869</v>
      </c>
      <c r="E30">
        <v>2842611.3062700005</v>
      </c>
    </row>
    <row r="31" spans="1:5" x14ac:dyDescent="0.3">
      <c r="A31" t="s">
        <v>34</v>
      </c>
      <c r="B31">
        <v>126391830.12616257</v>
      </c>
      <c r="C31">
        <v>10067315.591679884</v>
      </c>
      <c r="D31">
        <v>372589.50776135962</v>
      </c>
      <c r="E31">
        <v>3317639.9018599987</v>
      </c>
    </row>
    <row r="32" spans="1:5" x14ac:dyDescent="0.3">
      <c r="A32" t="s">
        <v>35</v>
      </c>
      <c r="B32">
        <v>124941555.70012441</v>
      </c>
      <c r="C32">
        <v>10330004.263895549</v>
      </c>
      <c r="D32">
        <v>347654.05550967844</v>
      </c>
      <c r="E32">
        <v>3491381.9298393298</v>
      </c>
    </row>
    <row r="33" spans="1:5" x14ac:dyDescent="0.3">
      <c r="A33" t="s">
        <v>36</v>
      </c>
      <c r="B33">
        <v>1615885.2615541974</v>
      </c>
      <c r="C33">
        <v>193555.17045331385</v>
      </c>
      <c r="D33">
        <v>24598.774843980693</v>
      </c>
      <c r="E33">
        <v>608363.43241967552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8512-FAD1-49A9-97EA-B219508BE771}">
  <dimension ref="A1:M12"/>
  <sheetViews>
    <sheetView tabSelected="1" workbookViewId="0">
      <selection activeCell="L12" sqref="A8:L12"/>
    </sheetView>
  </sheetViews>
  <sheetFormatPr defaultColWidth="11.19921875" defaultRowHeight="15.6" x14ac:dyDescent="0.3"/>
  <cols>
    <col min="1" max="1" width="22.5" bestFit="1" customWidth="1"/>
    <col min="2" max="2" width="11.8984375" bestFit="1" customWidth="1"/>
    <col min="3" max="3" width="11.8984375" hidden="1" customWidth="1"/>
    <col min="4" max="4" width="11.8984375" bestFit="1" customWidth="1"/>
    <col min="5" max="5" width="11.8984375" hidden="1" customWidth="1"/>
    <col min="6" max="6" width="11.8984375" bestFit="1" customWidth="1"/>
    <col min="7" max="7" width="11.8984375" hidden="1" customWidth="1"/>
    <col min="8" max="8" width="11.8984375" bestFit="1" customWidth="1"/>
    <col min="9" max="9" width="11.8984375" hidden="1" customWidth="1"/>
    <col min="10" max="10" width="11.8984375" bestFit="1" customWidth="1"/>
    <col min="11" max="11" width="12" hidden="1" customWidth="1"/>
    <col min="12" max="12" width="11.8984375" bestFit="1" customWidth="1"/>
    <col min="13" max="13" width="12" hidden="1" customWidth="1"/>
  </cols>
  <sheetData>
    <row r="1" spans="1:13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 x14ac:dyDescent="0.3">
      <c r="A2" t="s">
        <v>1</v>
      </c>
      <c r="B2" s="2">
        <v>56158139.737048529</v>
      </c>
      <c r="C2" s="2">
        <v>992013.27011744538</v>
      </c>
      <c r="D2" s="2">
        <v>56158983.994445018</v>
      </c>
      <c r="E2" s="2">
        <v>991714.2498773376</v>
      </c>
      <c r="F2" s="2">
        <v>94618074.054152146</v>
      </c>
      <c r="G2" s="2">
        <v>946940.286385132</v>
      </c>
      <c r="H2" s="2">
        <v>94620362.080942839</v>
      </c>
      <c r="I2" s="2">
        <v>934837.96709459147</v>
      </c>
      <c r="J2" s="2">
        <v>124941555.70012441</v>
      </c>
      <c r="K2" s="2">
        <v>1615885.2615541974</v>
      </c>
      <c r="L2" s="2">
        <v>124941555.70012441</v>
      </c>
      <c r="M2">
        <v>1615885.2615541974</v>
      </c>
    </row>
    <row r="3" spans="1:13" x14ac:dyDescent="0.3">
      <c r="A3" t="s">
        <v>2</v>
      </c>
      <c r="B3" s="2">
        <v>12086033.33118535</v>
      </c>
      <c r="C3" s="2">
        <v>385869.54574472434</v>
      </c>
      <c r="D3" s="2">
        <v>12014054.172340434</v>
      </c>
      <c r="E3" s="2">
        <v>379141.91336291999</v>
      </c>
      <c r="F3" s="2">
        <v>12468822.336850354</v>
      </c>
      <c r="G3" s="2">
        <v>632978.26610737632</v>
      </c>
      <c r="H3" s="2">
        <v>12485430.489064889</v>
      </c>
      <c r="I3" s="2">
        <v>611539.78620315425</v>
      </c>
      <c r="J3" s="2">
        <v>10330004.263895549</v>
      </c>
      <c r="K3" s="2">
        <v>193555.17045331385</v>
      </c>
      <c r="L3" s="2">
        <v>10330004.263895549</v>
      </c>
      <c r="M3">
        <v>193555.17045331385</v>
      </c>
    </row>
    <row r="4" spans="1:13" x14ac:dyDescent="0.3">
      <c r="A4" t="s">
        <v>3</v>
      </c>
      <c r="B4" s="2">
        <v>438487.82189624984</v>
      </c>
      <c r="C4" s="2">
        <v>26069.771036322043</v>
      </c>
      <c r="D4" s="2">
        <v>438487.78875412961</v>
      </c>
      <c r="E4" s="2">
        <v>26069.763202284885</v>
      </c>
      <c r="F4" s="2">
        <v>464544.23259950028</v>
      </c>
      <c r="G4" s="2">
        <v>138320.97214975706</v>
      </c>
      <c r="H4" s="2">
        <v>461364.21931070334</v>
      </c>
      <c r="I4" s="2">
        <v>131418.85710329562</v>
      </c>
      <c r="J4" s="2">
        <v>347654.05550967844</v>
      </c>
      <c r="K4" s="2">
        <v>24598.774843980693</v>
      </c>
      <c r="L4" s="2">
        <v>347654.05550967844</v>
      </c>
      <c r="M4">
        <v>24598.774843980693</v>
      </c>
    </row>
    <row r="5" spans="1:13" x14ac:dyDescent="0.3">
      <c r="A5" t="s">
        <v>4</v>
      </c>
      <c r="B5" s="2">
        <v>3567710.6845233333</v>
      </c>
      <c r="C5" s="2">
        <v>584672.07084241533</v>
      </c>
      <c r="D5" s="2">
        <v>3569811.8511899998</v>
      </c>
      <c r="E5" s="2">
        <v>584924.8992708124</v>
      </c>
      <c r="F5" s="2">
        <v>3305703.0956205311</v>
      </c>
      <c r="G5" s="2">
        <v>578043.3723100716</v>
      </c>
      <c r="H5" s="2">
        <v>3303774.9455384775</v>
      </c>
      <c r="I5" s="2">
        <v>568726.17870596459</v>
      </c>
      <c r="J5" s="2">
        <v>3491381.9298393298</v>
      </c>
      <c r="K5" s="2">
        <v>608363.43241967552</v>
      </c>
      <c r="L5" s="2">
        <v>3491381.9298393298</v>
      </c>
      <c r="M5">
        <v>608363.43241967552</v>
      </c>
    </row>
    <row r="8" spans="1:13" x14ac:dyDescent="0.3">
      <c r="A8" t="s">
        <v>50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</row>
    <row r="9" spans="1:13" x14ac:dyDescent="0.3">
      <c r="A9" t="s">
        <v>1</v>
      </c>
      <c r="B9" s="1">
        <f>(B2-$B2)/$B2</f>
        <v>0</v>
      </c>
      <c r="C9" s="1">
        <f t="shared" ref="C9:L9" si="0">(C2-$B2)/$B2</f>
        <v>-0.98233536091540086</v>
      </c>
      <c r="D9" s="1">
        <f t="shared" si="0"/>
        <v>1.5033571276443299E-5</v>
      </c>
      <c r="E9" s="1">
        <f t="shared" si="0"/>
        <v>-0.98234068552624987</v>
      </c>
      <c r="F9" s="1">
        <f t="shared" si="0"/>
        <v>0.68485057548533623</v>
      </c>
      <c r="G9" s="1">
        <f t="shared" si="0"/>
        <v>-0.98313796912043327</v>
      </c>
      <c r="H9" s="1">
        <f t="shared" si="0"/>
        <v>0.68489131805268999</v>
      </c>
      <c r="I9" s="1">
        <f t="shared" si="0"/>
        <v>-0.98335347339723467</v>
      </c>
      <c r="J9" s="1">
        <f t="shared" si="0"/>
        <v>1.2248164965068853</v>
      </c>
      <c r="K9" s="1">
        <f t="shared" si="0"/>
        <v>-0.97122616117413574</v>
      </c>
      <c r="L9" s="1">
        <f t="shared" si="0"/>
        <v>1.2248164965068853</v>
      </c>
    </row>
    <row r="10" spans="1:13" x14ac:dyDescent="0.3">
      <c r="A10" t="s">
        <v>2</v>
      </c>
      <c r="B10" s="1">
        <f t="shared" ref="B10:L10" si="1">(B3-$B3)/$B3</f>
        <v>0</v>
      </c>
      <c r="C10" s="1">
        <f t="shared" si="1"/>
        <v>-0.96807310263251778</v>
      </c>
      <c r="D10" s="1">
        <f t="shared" si="1"/>
        <v>-5.9555651447021716E-3</v>
      </c>
      <c r="E10" s="1">
        <f t="shared" si="1"/>
        <v>-0.96862974782763278</v>
      </c>
      <c r="F10" s="1">
        <f t="shared" si="1"/>
        <v>3.1672013072916276E-2</v>
      </c>
      <c r="G10" s="1">
        <f t="shared" si="1"/>
        <v>-0.9476272943518933</v>
      </c>
      <c r="H10" s="1">
        <f t="shared" si="1"/>
        <v>3.3046173788796554E-2</v>
      </c>
      <c r="I10" s="1">
        <f t="shared" si="1"/>
        <v>-0.94940111702114793</v>
      </c>
      <c r="J10" s="1">
        <f t="shared" si="1"/>
        <v>-0.14529407781449308</v>
      </c>
      <c r="K10" s="1">
        <f t="shared" si="1"/>
        <v>-0.98398521953816831</v>
      </c>
      <c r="L10" s="1">
        <f t="shared" si="1"/>
        <v>-0.14529407781449308</v>
      </c>
    </row>
    <row r="11" spans="1:13" x14ac:dyDescent="0.3">
      <c r="A11" t="s">
        <v>3</v>
      </c>
      <c r="B11" s="1">
        <f t="shared" ref="B11:L11" si="2">(B4-$B4)/$B4</f>
        <v>0</v>
      </c>
      <c r="C11" s="1">
        <f t="shared" si="2"/>
        <v>-0.94054619140029294</v>
      </c>
      <c r="D11" s="1">
        <f t="shared" si="2"/>
        <v>-7.5582760964318687E-8</v>
      </c>
      <c r="E11" s="1">
        <f t="shared" si="2"/>
        <v>-0.94054620926632437</v>
      </c>
      <c r="F11" s="1">
        <f t="shared" si="2"/>
        <v>5.9423339491092235E-2</v>
      </c>
      <c r="G11" s="1">
        <f t="shared" si="2"/>
        <v>-0.68455002569607282</v>
      </c>
      <c r="H11" s="1">
        <f t="shared" si="2"/>
        <v>5.2171112336766932E-2</v>
      </c>
      <c r="I11" s="1">
        <f t="shared" si="2"/>
        <v>-0.70029074801901681</v>
      </c>
      <c r="J11" s="1">
        <f t="shared" si="2"/>
        <v>-0.20715231267714315</v>
      </c>
      <c r="K11" s="1">
        <f t="shared" si="2"/>
        <v>-0.94390089390030774</v>
      </c>
      <c r="L11" s="1">
        <f t="shared" si="2"/>
        <v>-0.20715231267714315</v>
      </c>
    </row>
    <row r="12" spans="1:13" x14ac:dyDescent="0.3">
      <c r="A12" t="s">
        <v>4</v>
      </c>
      <c r="B12" s="1">
        <f t="shared" ref="B12:L12" si="3">(B5-$B5)/$B5</f>
        <v>0</v>
      </c>
      <c r="C12" s="1">
        <f t="shared" si="3"/>
        <v>-0.83612122098949537</v>
      </c>
      <c r="D12" s="1">
        <f t="shared" si="3"/>
        <v>5.889397578624679E-4</v>
      </c>
      <c r="E12" s="1">
        <f t="shared" si="3"/>
        <v>-0.83605035525772686</v>
      </c>
      <c r="F12" s="1">
        <f t="shared" si="3"/>
        <v>-7.3438575061421471E-2</v>
      </c>
      <c r="G12" s="1">
        <f t="shared" si="3"/>
        <v>-0.83797919074054583</v>
      </c>
      <c r="H12" s="1">
        <f t="shared" si="3"/>
        <v>-7.3979019691760448E-2</v>
      </c>
      <c r="I12" s="1">
        <f t="shared" si="3"/>
        <v>-0.84059072357714182</v>
      </c>
      <c r="J12" s="1">
        <f t="shared" si="3"/>
        <v>-2.139432298003208E-2</v>
      </c>
      <c r="K12" s="1">
        <f t="shared" si="3"/>
        <v>-0.82948072693821684</v>
      </c>
      <c r="L12" s="1">
        <f t="shared" si="3"/>
        <v>-2.139432298003208E-2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UG-1</vt:lpstr>
      <vt:lpstr>UG-2</vt:lpstr>
      <vt:lpstr>SB-1</vt:lpstr>
      <vt:lpstr>SB-2</vt:lpstr>
      <vt:lpstr>MP-1</vt:lpstr>
      <vt:lpstr>MP-2</vt:lpstr>
      <vt:lpstr>Summary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2026-03-09T15:23:19Z</dcterms:modified>
</cp:coreProperties>
</file>