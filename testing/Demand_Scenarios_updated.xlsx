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"/>
    </mc:Choice>
  </mc:AlternateContent>
  <xr:revisionPtr revIDLastSave="0" documentId="13_ncr:1_{CDA36DBC-2B85-40E9-A15D-2434230DB416}" xr6:coauthVersionLast="47" xr6:coauthVersionMax="47" xr10:uidLastSave="{00000000-0000-0000-0000-000000000000}"/>
  <bookViews>
    <workbookView xWindow="-108" yWindow="-108" windowWidth="23256" windowHeight="12456" firstSheet="3" activeTab="6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Medium_Demand_calc" sheetId="73" r:id="rId4"/>
    <sheet name="Medium_Demand" sheetId="59" r:id="rId5"/>
    <sheet name="Pandemic_Effect" sheetId="74" r:id="rId6"/>
    <sheet name="Vaccine_Replacement_Effect" sheetId="75" r:id="rId7"/>
    <sheet name="Weighted_Avg_Demand_for_Scen." sheetId="76" r:id="rId8"/>
    <sheet name="M Pricing" sheetId="46" r:id="rId9"/>
    <sheet name="MR Pricing" sheetId="48" r:id="rId10"/>
    <sheet name="MMR Pricing" sheetId="47" r:id="rId11"/>
    <sheet name="HPV Pricing" sheetId="44" r:id="rId12"/>
    <sheet name="OPV Pricing" sheetId="49" r:id="rId13"/>
    <sheet name="IPV Pricing" sheetId="45" r:id="rId14"/>
    <sheet name="HepB Pricing" sheetId="43" r:id="rId15"/>
    <sheet name="Hexa Pricing" sheetId="42" r:id="rId16"/>
    <sheet name="Penta Pricing" sheetId="39" r:id="rId17"/>
    <sheet name="DTwP Pricing" sheetId="41" r:id="rId18"/>
    <sheet name="Td Pricing" sheetId="36" r:id="rId19"/>
    <sheet name="DT Pricing" sheetId="38" r:id="rId20"/>
    <sheet name="TT Pricing" sheetId="52" r:id="rId21"/>
    <sheet name="Hib Pricing" sheetId="60" r:id="rId22"/>
    <sheet name="DTwP-Hib Pricing" sheetId="61" r:id="rId23"/>
    <sheet name="Rotavirus Pricing" sheetId="68" r:id="rId24"/>
    <sheet name="PCV Pricing" sheetId="69" r:id="rId25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8" hidden="1">'Td Pricing'!$A$1:$H$20</definedName>
    <definedName name="GAVI_countries" localSheetId="24">#REF!</definedName>
    <definedName name="GAVI_countries" localSheetId="23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76" l="1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7" i="72"/>
  <c r="AG223" i="72"/>
  <c r="AG294" i="72"/>
  <c r="AG297" i="72"/>
  <c r="AF223" i="72"/>
  <c r="AF294" i="72"/>
  <c r="AF297" i="72"/>
  <c r="AE223" i="72"/>
  <c r="AE294" i="72"/>
  <c r="AE297" i="72"/>
  <c r="AD223" i="72"/>
  <c r="AD294" i="72"/>
  <c r="AD297" i="72"/>
  <c r="AC223" i="72"/>
  <c r="AC294" i="72"/>
  <c r="AC297" i="72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H296" i="72"/>
  <c r="AG296" i="72"/>
  <c r="AF296" i="72"/>
  <c r="AE296" i="72"/>
  <c r="AD296" i="72"/>
  <c r="AC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G295" i="72"/>
  <c r="AF295" i="72"/>
  <c r="AE295" i="72"/>
  <c r="AD295" i="72"/>
  <c r="AC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C207" i="72"/>
  <c r="AC230" i="72"/>
  <c r="AC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C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<sst xmlns="http://schemas.openxmlformats.org/spreadsheetml/2006/main" count="788" uniqueCount="182">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</sst>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3" sqref="A23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3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3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3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3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3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3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3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3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3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3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3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3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3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3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3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3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3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3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3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3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3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3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3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3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3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0" sqref="A10:XFD10"/>
    </sheetView>
  </sheetViews>
  <sheetFormatPr defaultRowHeight="14.4" x14ac:dyDescent="0.3"/>
  <cols>
    <col min="1" max="1" width="91.109375" customWidth="1"/>
    <col min="2" max="11" width="15.6640625" customWidth="1"/>
  </cols>
  <sheetData>
    <row r="1" spans="1:13" x14ac:dyDescent="0.3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3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3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3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3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3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3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3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3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3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3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3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3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3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3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3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3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3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3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3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3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3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3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3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3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3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3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3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3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AD1" activePane="topRight" state="frozen"/>
      <selection pane="topRight" activeCell="AD215" sqref="AD215:AH215"/>
    </sheetView>
  </sheetViews>
  <sheetFormatPr defaultColWidth="9.109375" defaultRowHeight="14.4" x14ac:dyDescent="0.3"/>
  <cols>
    <col min="1" max="1" width="9.109375" style="7"/>
    <col min="2" max="2" width="94.6640625" style="7" bestFit="1" customWidth="1"/>
    <col min="3" max="3" width="28" style="7" bestFit="1" customWidth="1"/>
    <col min="4" max="23" width="16" style="7" hidden="1" customWidth="1"/>
    <col min="24" max="24" width="16.88671875" style="7" hidden="1" customWidth="1"/>
    <col min="25" max="26" width="16" style="7" customWidth="1"/>
    <col min="27" max="34" width="18" style="7" customWidth="1"/>
    <col min="35" max="35" width="12" style="7" bestFit="1" customWidth="1"/>
    <col min="36" max="16384" width="9.109375" style="7"/>
  </cols>
  <sheetData>
    <row r="1" spans="2:34" x14ac:dyDescent="0.3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3">
      <c r="B2" s="71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3">
      <c r="B3" s="71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3">
      <c r="B4" s="71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3">
      <c r="B5" s="71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3">
      <c r="B6" s="71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3">
      <c r="B7" s="71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3">
      <c r="B8" s="71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3">
      <c r="B9" s="71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3">
      <c r="B10" s="71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3">
      <c r="B11" s="71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3">
      <c r="B12" s="71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3">
      <c r="B13" s="71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3">
      <c r="B14" s="71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3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3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3">
      <c r="B17" s="71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3">
      <c r="B18" s="71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3">
      <c r="B19" s="71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3">
      <c r="B20" s="71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3">
      <c r="B21" s="71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3">
      <c r="B22" s="71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3">
      <c r="B23" s="71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3">
      <c r="B24" s="71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3">
      <c r="B25" s="71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3">
      <c r="B26" s="71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3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3">
      <c r="B28" s="71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3">
      <c r="B29" s="71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3">
      <c r="B30" s="71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3">
      <c r="B31" s="71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3">
      <c r="B32" s="71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3">
      <c r="B33" s="71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3">
      <c r="B34" s="71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3">
      <c r="B35" s="71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3">
      <c r="B36" s="71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3">
      <c r="B37" s="71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3">
      <c r="B38" s="71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3">
      <c r="B39" s="71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3">
      <c r="B40" s="71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3">
      <c r="B41" s="71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3">
      <c r="B42" s="71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3">
      <c r="B43" s="71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3">
      <c r="B44" s="71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3">
      <c r="B45" s="71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3">
      <c r="B46" s="71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3">
      <c r="B47" s="71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3">
      <c r="B48" s="71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3">
      <c r="B49" s="71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3">
      <c r="B50" s="71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3">
      <c r="B51" s="71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3">
      <c r="B52" s="71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3">
      <c r="B53" s="71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3">
      <c r="B54" s="71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3">
      <c r="B55" s="71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3">
      <c r="B56" s="71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3">
      <c r="B57" s="71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3">
      <c r="B58" s="71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3">
      <c r="B59" s="71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3">
      <c r="B60" s="71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3">
      <c r="B61" s="71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3">
      <c r="B62" s="71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3">
      <c r="B63" s="71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3">
      <c r="B64" s="71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3">
      <c r="B65" s="71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3">
      <c r="B66" s="71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3">
      <c r="B67" s="71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3">
      <c r="B68" s="71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3">
      <c r="B69" s="71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3">
      <c r="B70" s="71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3">
      <c r="B71" s="71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3">
      <c r="B72" s="71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3">
      <c r="B73" s="71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3">
      <c r="B74" s="71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3">
      <c r="B75" s="71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3">
      <c r="B76" s="71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3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3">
      <c r="B78" s="71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3">
      <c r="B79" s="71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3">
      <c r="B80" s="71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3">
      <c r="B81" s="71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3">
      <c r="B82" s="71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3">
      <c r="B83" s="71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3">
      <c r="B84" s="71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3">
      <c r="B85" s="71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3">
      <c r="B86" s="71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3">
      <c r="B87" s="71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3">
      <c r="B88" s="71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3">
      <c r="B89" s="71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3">
      <c r="B90" s="72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3">
      <c r="B91" s="73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3">
      <c r="B92" s="73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3">
      <c r="B93" s="73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3">
      <c r="B94" s="74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3">
      <c r="B95" s="71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3">
      <c r="B96" s="71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3">
      <c r="B97" s="71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3">
      <c r="B98" s="71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3">
      <c r="B99" s="71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3">
      <c r="B100" s="71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3">
      <c r="B101" s="71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3">
      <c r="B102" s="71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3">
      <c r="B103" s="71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3">
      <c r="B104" s="71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3">
      <c r="B105" s="71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3">
      <c r="B106" s="71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3">
      <c r="B107" s="71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3">
      <c r="B108" s="71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3">
      <c r="B109" s="71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3">
      <c r="B110" s="71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3">
      <c r="B111" s="71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3">
      <c r="B112" s="71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3">
      <c r="B113" s="71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3">
      <c r="B114" s="71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3">
      <c r="B115" s="71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3">
      <c r="B116" s="71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3">
      <c r="B117" s="71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3">
      <c r="B118" s="71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3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3">
      <c r="B120" s="71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3">
      <c r="B121" s="71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3">
      <c r="B122" s="71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3">
      <c r="B123" s="71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3">
      <c r="B124" s="71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3">
      <c r="B125" s="71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3">
      <c r="B126" s="71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3">
      <c r="B127" s="71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3">
      <c r="B128" s="71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3">
      <c r="B129" s="71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3">
      <c r="B130" s="71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3">
      <c r="B131" s="71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3">
      <c r="B132" s="71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3">
      <c r="B133" s="71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3">
      <c r="B134" s="71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3">
      <c r="B135" s="71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3">
      <c r="B136" s="71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3">
      <c r="B137" s="71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3">
      <c r="B138" s="71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3">
      <c r="B139" s="71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3">
      <c r="B140" s="71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3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3">
      <c r="B142" s="71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3">
      <c r="B143" s="71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3">
      <c r="B144" s="71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3">
      <c r="B145" s="71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3">
      <c r="B146" s="71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3">
      <c r="B147" s="71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62929823.448526457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3">
      <c r="B148" s="71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158068844.99062547</v>
      </c>
      <c r="AD148" s="10">
        <v>161280061.74315369</v>
      </c>
      <c r="AE148" s="10">
        <v>167954803.5285427</v>
      </c>
      <c r="AF148" s="10">
        <v>161983944.08305517</v>
      </c>
      <c r="AG148" s="10">
        <v>162367383.17818081</v>
      </c>
      <c r="AH148" s="10">
        <v>162941685.62800577</v>
      </c>
    </row>
    <row r="149" spans="2:34" hidden="1" x14ac:dyDescent="0.3">
      <c r="B149" s="71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3">
      <c r="B150" s="71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3">
      <c r="B151" s="71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3">
      <c r="B152" s="71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3">
      <c r="B153" s="71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3">
      <c r="B154" s="71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3">
      <c r="B155" s="71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3">
      <c r="B156" s="71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3">
      <c r="B157" s="71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3">
      <c r="B158" s="71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3">
      <c r="B159" s="71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3">
      <c r="B160" s="71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3">
      <c r="B161" s="71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3">
      <c r="B162" s="71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3">
      <c r="B163" s="71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3">
      <c r="B164" s="71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3">
      <c r="B165" s="71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3">
      <c r="B166" s="71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3">
      <c r="B167" s="71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3">
      <c r="B168" s="71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3">
      <c r="B169" s="71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3">
      <c r="B170" s="71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3">
      <c r="B171" s="71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3">
      <c r="B172" s="71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3">
      <c r="B173" s="71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3">
      <c r="B174" s="71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3">
      <c r="B175" s="71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3">
      <c r="B176" s="71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3">
      <c r="B177" s="71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3">
      <c r="B178" s="71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3">
      <c r="B179" s="71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3">
      <c r="B180" s="71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3">
      <c r="B181" s="71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3">
      <c r="B182" s="71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3">
      <c r="B183" s="71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3">
      <c r="B184" s="71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3">
      <c r="B185" s="71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3">
      <c r="B186" s="71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3">
      <c r="B187" s="71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3">
      <c r="B188" s="71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3">
      <c r="B189" s="71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3">
      <c r="B190" s="71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3">
      <c r="B191" s="71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3">
      <c r="B192" s="71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3">
      <c r="B193" s="71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3">
      <c r="B194" s="71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3">
      <c r="B195" s="71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3">
      <c r="B196" s="71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3">
      <c r="B197" s="71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3">
      <c r="B198" s="71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3">
      <c r="B199" s="71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3">
      <c r="B200" s="71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3">
      <c r="B201" s="71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3">
      <c r="B202" s="71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3">
      <c r="B203" s="71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3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3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3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3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 t="shared" si="0"/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3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3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3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3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3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3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3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3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3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3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3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3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3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3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3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3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220998668.43915194</v>
      </c>
      <c r="AD223" s="12">
        <f t="shared" si="16"/>
        <v>219106581.71571612</v>
      </c>
      <c r="AE223" s="12">
        <f t="shared" si="16"/>
        <v>222271116.40640509</v>
      </c>
      <c r="AF223" s="12">
        <f t="shared" si="16"/>
        <v>217335571.50486726</v>
      </c>
      <c r="AG223" s="12">
        <f t="shared" si="16"/>
        <v>218764570.77513307</v>
      </c>
      <c r="AH223" s="12">
        <f t="shared" si="16"/>
        <v>220234251.13688153</v>
      </c>
    </row>
    <row r="224" spans="1:34" x14ac:dyDescent="0.3">
      <c r="Y224" s="12"/>
    </row>
    <row r="225" spans="2:34" x14ac:dyDescent="0.3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3">
      <c r="B226" s="7" t="s">
        <v>169</v>
      </c>
      <c r="C226" s="7">
        <v>0.9</v>
      </c>
      <c r="U226" s="12"/>
      <c r="Y226" s="12"/>
    </row>
    <row r="227" spans="2:34" x14ac:dyDescent="0.3">
      <c r="B227" s="7" t="s">
        <v>170</v>
      </c>
      <c r="C227" s="7">
        <v>0.7</v>
      </c>
    </row>
    <row r="228" spans="2:34" x14ac:dyDescent="0.3">
      <c r="AD228" s="38"/>
      <c r="AE228" s="38"/>
      <c r="AF228" s="38"/>
      <c r="AG228" s="38"/>
      <c r="AH228" s="38"/>
    </row>
    <row r="229" spans="2:34" ht="15" thickBot="1" x14ac:dyDescent="0.35">
      <c r="C229" s="7" t="s">
        <v>171</v>
      </c>
      <c r="AD229" s="39"/>
      <c r="AE229" s="39"/>
      <c r="AF229" s="39"/>
      <c r="AG229" s="39"/>
      <c r="AH229" s="39"/>
    </row>
    <row r="230" spans="2:34" s="41" customFormat="1" ht="15" thickBot="1" x14ac:dyDescent="0.35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3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" thickBot="1" x14ac:dyDescent="0.35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" thickBot="1" x14ac:dyDescent="0.35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3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" thickBot="1" x14ac:dyDescent="0.35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" thickBot="1" x14ac:dyDescent="0.35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3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" thickBot="1" x14ac:dyDescent="0.35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" thickBot="1" x14ac:dyDescent="0.35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3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3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" thickBot="1" x14ac:dyDescent="0.35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" thickBot="1" x14ac:dyDescent="0.35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3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3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" thickBot="1" x14ac:dyDescent="0.35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" thickBot="1" x14ac:dyDescent="0.35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3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3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" thickBot="1" x14ac:dyDescent="0.35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" thickBot="1" x14ac:dyDescent="0.35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3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" thickBot="1" x14ac:dyDescent="0.35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" thickBot="1" x14ac:dyDescent="0.35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" thickBot="1" x14ac:dyDescent="0.35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" thickBot="1" x14ac:dyDescent="0.35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3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3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3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3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" thickBot="1" x14ac:dyDescent="0.35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" thickBot="1" x14ac:dyDescent="0.35">
      <c r="B262" s="43" t="s">
        <v>18</v>
      </c>
    </row>
    <row r="263" spans="2:34" ht="15" thickBot="1" x14ac:dyDescent="0.35">
      <c r="B263" s="45"/>
    </row>
    <row r="264" spans="2:34" s="41" customFormat="1" ht="15" thickBot="1" x14ac:dyDescent="0.35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3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3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3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" thickBot="1" x14ac:dyDescent="0.35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" thickBot="1" x14ac:dyDescent="0.35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3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3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3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3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3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3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3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" thickBot="1" x14ac:dyDescent="0.35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" thickBot="1" x14ac:dyDescent="0.35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3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3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3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" thickBot="1" x14ac:dyDescent="0.35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" thickBot="1" x14ac:dyDescent="0.35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3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" thickBot="1" x14ac:dyDescent="0.35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" thickBot="1" x14ac:dyDescent="0.35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3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3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" thickBot="1" x14ac:dyDescent="0.35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" thickBot="1" x14ac:dyDescent="0.35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3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3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" thickBot="1" x14ac:dyDescent="0.35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" thickBot="1" x14ac:dyDescent="0.35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243098535.28306717</v>
      </c>
      <c r="AD294" s="48">
        <f t="shared" si="81"/>
        <v>241017239.88728777</v>
      </c>
      <c r="AE294" s="48">
        <f t="shared" si="81"/>
        <v>244498228.04704562</v>
      </c>
      <c r="AF294" s="48">
        <f t="shared" si="81"/>
        <v>239069128.65535399</v>
      </c>
      <c r="AG294" s="48">
        <f t="shared" si="81"/>
        <v>240641027.85264641</v>
      </c>
      <c r="AH294" s="48">
        <f t="shared" si="81"/>
        <v>242257676.2505697</v>
      </c>
    </row>
    <row r="295" spans="2:34" x14ac:dyDescent="0.3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166469649.16123077</v>
      </c>
      <c r="AD295" s="12">
        <f t="shared" si="82"/>
        <v>165044414.2706427</v>
      </c>
      <c r="AE295" s="12">
        <f t="shared" si="82"/>
        <v>167428134.42352036</v>
      </c>
      <c r="AF295" s="12">
        <f t="shared" si="82"/>
        <v>163710381.57920977</v>
      </c>
      <c r="AG295" s="12">
        <f t="shared" si="82"/>
        <v>164786790.81213829</v>
      </c>
      <c r="AH295" s="12">
        <f t="shared" si="82"/>
        <v>165893843.51941183</v>
      </c>
    </row>
    <row r="296" spans="2:34" x14ac:dyDescent="0.3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7927126.1505347984</v>
      </c>
      <c r="AD296" s="12">
        <f t="shared" si="83"/>
        <v>7859257.8224115577</v>
      </c>
      <c r="AE296" s="12">
        <f t="shared" si="83"/>
        <v>7972768.3058819221</v>
      </c>
      <c r="AF296" s="12">
        <f t="shared" si="83"/>
        <v>7795732.456152847</v>
      </c>
      <c r="AG296" s="12">
        <f t="shared" si="83"/>
        <v>7846990.0386732519</v>
      </c>
      <c r="AH296" s="12">
        <f t="shared" si="83"/>
        <v>7899706.834257707</v>
      </c>
    </row>
    <row r="297" spans="2:34" x14ac:dyDescent="0.3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68701759.971301585</v>
      </c>
      <c r="AD297" s="12">
        <f t="shared" si="84"/>
        <v>68113567.794233501</v>
      </c>
      <c r="AE297" s="12">
        <f t="shared" si="84"/>
        <v>69097325.317643315</v>
      </c>
      <c r="AF297" s="12">
        <f t="shared" si="84"/>
        <v>67563014.619991347</v>
      </c>
      <c r="AG297" s="12">
        <f t="shared" si="84"/>
        <v>68007247.001834854</v>
      </c>
      <c r="AH297" s="12">
        <f t="shared" si="84"/>
        <v>68464125.896900132</v>
      </c>
    </row>
    <row r="302" spans="2:34" x14ac:dyDescent="0.3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28:B30"/>
    <mergeCell ref="B2:B6"/>
    <mergeCell ref="B7:B10"/>
    <mergeCell ref="B11:B14"/>
    <mergeCell ref="B17:B21"/>
    <mergeCell ref="B22:B2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B2" sqref="B2:K4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2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3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3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3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3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3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3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3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3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3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3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3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3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3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3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3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3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3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3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3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3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3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3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3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3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3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3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3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3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3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3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3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3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3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3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3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3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3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3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3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3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3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3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K13"/>
  <sheetViews>
    <sheetView workbookViewId="0">
      <selection activeCell="D6" sqref="D6"/>
    </sheetView>
  </sheetViews>
  <sheetFormatPr defaultRowHeight="14.4" x14ac:dyDescent="0.3"/>
  <cols>
    <col min="1" max="1" width="11.88671875" bestFit="1" customWidth="1"/>
    <col min="2" max="11" width="12" bestFit="1" customWidth="1"/>
  </cols>
  <sheetData>
    <row r="1" spans="1:11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1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</row>
    <row r="3" spans="1:11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1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1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1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1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1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1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1" x14ac:dyDescent="0.3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1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1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1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M12" sqref="M12"/>
    </sheetView>
  </sheetViews>
  <sheetFormatPr defaultRowHeight="14.4" x14ac:dyDescent="0.3"/>
  <cols>
    <col min="1" max="1" width="11.88671875" bestFit="1" customWidth="1"/>
    <col min="2" max="11" width="12" bestFit="1" customWidth="1"/>
    <col min="13" max="15" width="10" bestFit="1" customWidth="1"/>
  </cols>
  <sheetData>
    <row r="1" spans="1:15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3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tabSelected="1" workbookViewId="0">
      <selection activeCell="M15" sqref="M15"/>
    </sheetView>
  </sheetViews>
  <sheetFormatPr defaultRowHeight="14.4" x14ac:dyDescent="0.3"/>
  <cols>
    <col min="1" max="1" width="11.88671875" bestFit="1" customWidth="1"/>
    <col min="2" max="6" width="12" bestFit="1" customWidth="1"/>
    <col min="7" max="11" width="13.6640625" bestFit="1" customWidth="1"/>
  </cols>
  <sheetData>
    <row r="1" spans="1:14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3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3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3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3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3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3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3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3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3">
      <c r="A10" s="50" t="s">
        <v>79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3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3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3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3">
      <c r="G15" s="69"/>
      <c r="H15" s="69"/>
      <c r="I15" s="69"/>
      <c r="J15" s="69"/>
      <c r="K15" s="69"/>
    </row>
    <row r="16" spans="1:14" x14ac:dyDescent="0.3">
      <c r="G16" s="67"/>
      <c r="H16" s="67"/>
      <c r="I16" s="67"/>
      <c r="J16" s="67"/>
      <c r="K16" s="67"/>
    </row>
    <row r="17" spans="7:11" x14ac:dyDescent="0.3">
      <c r="G17" s="67"/>
      <c r="H17" s="67"/>
      <c r="I17" s="67"/>
      <c r="J17" s="67"/>
      <c r="K17" s="67"/>
    </row>
    <row r="22" spans="7:11" x14ac:dyDescent="0.3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4.4" x14ac:dyDescent="0.3"/>
  <cols>
    <col min="2" max="11" width="12" bestFit="1" customWidth="1"/>
    <col min="13" max="13" width="13.5546875" bestFit="1" customWidth="1"/>
  </cols>
  <sheetData>
    <row r="1" spans="1:18" x14ac:dyDescent="0.3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3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3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3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3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3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3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3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3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3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3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3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3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4.4" x14ac:dyDescent="0.3"/>
  <cols>
    <col min="1" max="1" width="33.4414062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3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3">
      <c r="B6" s="15"/>
      <c r="C6" s="15"/>
    </row>
    <row r="7" spans="1:11" x14ac:dyDescent="0.3">
      <c r="B7" s="15"/>
      <c r="C7" s="15"/>
    </row>
    <row r="8" spans="1:11" x14ac:dyDescent="0.3">
      <c r="B8" s="14"/>
      <c r="C8" s="14"/>
    </row>
    <row r="9" spans="1:11" x14ac:dyDescent="0.3">
      <c r="C9" s="13"/>
    </row>
    <row r="23" spans="2:2" x14ac:dyDescent="0.3">
      <c r="B23" s="13"/>
    </row>
    <row r="24" spans="2:2" x14ac:dyDescent="0.3">
      <c r="B24" s="16"/>
    </row>
    <row r="25" spans="2:2" x14ac:dyDescent="0.3">
      <c r="B25" s="16"/>
    </row>
  </sheetData>
  <phoneticPr fontId="6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4.4" x14ac:dyDescent="0.3"/>
  <cols>
    <col min="1" max="1" width="34.109375" bestFit="1" customWidth="1"/>
  </cols>
  <sheetData>
    <row r="1" spans="1:11" x14ac:dyDescent="0.3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3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3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E10" sqref="E10"/>
    </sheetView>
  </sheetViews>
  <sheetFormatPr defaultRowHeight="14.4" x14ac:dyDescent="0.3"/>
  <cols>
    <col min="1" max="1" width="39.5546875" bestFit="1" customWidth="1"/>
    <col min="4" max="5" width="12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3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3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4.4" x14ac:dyDescent="0.3"/>
  <cols>
    <col min="1" max="1" width="38.886718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3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3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A2" sqref="A2"/>
    </sheetView>
  </sheetViews>
  <sheetFormatPr defaultRowHeight="14.4" x14ac:dyDescent="0.3"/>
  <cols>
    <col min="1" max="1" width="38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3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3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3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3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3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3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3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3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4.4" x14ac:dyDescent="0.3"/>
  <cols>
    <col min="1" max="1" width="16.88671875" bestFit="1" customWidth="1"/>
    <col min="6" max="6" width="12" bestFit="1" customWidth="1"/>
  </cols>
  <sheetData>
    <row r="1" spans="1:11" x14ac:dyDescent="0.3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3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3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3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3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3">
      <c r="A18" s="20"/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4.4" x14ac:dyDescent="0.3"/>
  <cols>
    <col min="1" max="1" width="25.77734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3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3">
      <c r="B4" s="19"/>
      <c r="C4" s="19"/>
    </row>
    <row r="5" spans="1:11" x14ac:dyDescent="0.3">
      <c r="B5" s="19"/>
      <c r="C5" s="19"/>
    </row>
    <row r="6" spans="1:11" x14ac:dyDescent="0.3">
      <c r="B6" s="19"/>
      <c r="C6" s="19"/>
    </row>
    <row r="7" spans="1:11" x14ac:dyDescent="0.3">
      <c r="B7" s="19"/>
      <c r="C7" s="19"/>
    </row>
    <row r="10" spans="1:11" x14ac:dyDescent="0.3">
      <c r="B10" s="19"/>
      <c r="C10" s="19"/>
    </row>
    <row r="30" spans="2:3" x14ac:dyDescent="0.3">
      <c r="B30" s="19"/>
      <c r="C30" s="19"/>
    </row>
    <row r="31" spans="2:3" x14ac:dyDescent="0.3">
      <c r="B31" s="19"/>
      <c r="C31" s="19"/>
    </row>
    <row r="32" spans="2:3" x14ac:dyDescent="0.3">
      <c r="B32" s="19"/>
      <c r="C32" s="19"/>
    </row>
    <row r="33" spans="2:3" x14ac:dyDescent="0.3">
      <c r="B33" s="19"/>
      <c r="C33" s="19"/>
    </row>
    <row r="34" spans="2:3" x14ac:dyDescent="0.3">
      <c r="B34" s="19"/>
      <c r="C34" s="19"/>
    </row>
    <row r="35" spans="2:3" x14ac:dyDescent="0.3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4.4" x14ac:dyDescent="0.3"/>
  <cols>
    <col min="1" max="1" width="13.332031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4.4" x14ac:dyDescent="0.3"/>
  <cols>
    <col min="1" max="1" width="18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3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3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3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3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3">
      <c r="H8" s="27"/>
    </row>
    <row r="33" spans="1:5" x14ac:dyDescent="0.3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3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4.4" x14ac:dyDescent="0.3"/>
  <cols>
    <col min="1" max="1" width="36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3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4.4" x14ac:dyDescent="0.3"/>
  <cols>
    <col min="1" max="1" width="14" bestFit="1" customWidth="1"/>
    <col min="2" max="2" width="13.44140625" bestFit="1" customWidth="1"/>
    <col min="3" max="8" width="12.1093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3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3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4.4" x14ac:dyDescent="0.3"/>
  <cols>
    <col min="1" max="1" width="24.109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3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3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3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3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3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4.4" x14ac:dyDescent="0.3"/>
  <cols>
    <col min="1" max="1" width="14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A3" sqref="A3:A4"/>
    </sheetView>
  </sheetViews>
  <sheetFormatPr defaultRowHeight="14.4" x14ac:dyDescent="0.3"/>
  <cols>
    <col min="1" max="1" width="40.664062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3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3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4.4" x14ac:dyDescent="0.3"/>
  <cols>
    <col min="1" max="1" width="35.5546875" bestFit="1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3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3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3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vaccine-producer list</vt:lpstr>
      <vt:lpstr>vaccine-antigen list</vt:lpstr>
      <vt:lpstr>total_capacity_calcs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Fatih Çengil</cp:lastModifiedBy>
  <cp:revision/>
  <dcterms:created xsi:type="dcterms:W3CDTF">2023-08-30T20:34:45Z</dcterms:created>
  <dcterms:modified xsi:type="dcterms:W3CDTF">2024-01-05T08:14:31Z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