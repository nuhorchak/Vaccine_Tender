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thcn\Desktop\Vaccine_Tender_Scheduling_Problem\Julia_Files\L-shaped method\Using_deterministic_model_from_IISE_paper\"/>
    </mc:Choice>
  </mc:AlternateContent>
  <xr:revisionPtr revIDLastSave="0" documentId="13_ncr:1_{9A8C5EF7-1DC1-4414-8B5C-1C3FEA8D3B64}" xr6:coauthVersionLast="47" xr6:coauthVersionMax="47" xr10:uidLastSave="{00000000-0000-0000-0000-000000000000}"/>
  <bookViews>
    <workbookView xWindow="-108" yWindow="-108" windowWidth="23256" windowHeight="12456" firstSheet="10" activeTab="27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Demand_data_trend" sheetId="77" r:id="rId4"/>
    <sheet name="Demand_data_trend_v2" sheetId="78" r:id="rId5"/>
    <sheet name="Demand_data_trend_predictions" sheetId="79" r:id="rId6"/>
    <sheet name="Medium_Demand_calc" sheetId="73" r:id="rId7"/>
    <sheet name="Medium_Demand" sheetId="59" r:id="rId8"/>
    <sheet name="Pandemic_Effect" sheetId="74" r:id="rId9"/>
    <sheet name="Vaccine_Replacement_Effect" sheetId="75" r:id="rId10"/>
    <sheet name="Weighted_Avg_Demand_for_Scen." sheetId="76" r:id="rId11"/>
    <sheet name="M Pricing" sheetId="46" r:id="rId12"/>
    <sheet name="MR Pricing" sheetId="48" r:id="rId13"/>
    <sheet name="MMR Pricing" sheetId="47" r:id="rId14"/>
    <sheet name="HPV Pricing" sheetId="44" r:id="rId15"/>
    <sheet name="OPV Pricing" sheetId="49" r:id="rId16"/>
    <sheet name="IPV Pricing" sheetId="45" r:id="rId17"/>
    <sheet name="HepB Pricing" sheetId="43" r:id="rId18"/>
    <sheet name="Hexa Pricing" sheetId="42" r:id="rId19"/>
    <sheet name="Penta Pricing" sheetId="39" r:id="rId20"/>
    <sheet name="DTwP Pricing" sheetId="41" r:id="rId21"/>
    <sheet name="Td Pricing" sheetId="36" r:id="rId22"/>
    <sheet name="DT Pricing" sheetId="38" r:id="rId23"/>
    <sheet name="TT Pricing" sheetId="52" r:id="rId24"/>
    <sheet name="Hib Pricing" sheetId="60" r:id="rId25"/>
    <sheet name="DTwP-Hib Pricing" sheetId="61" r:id="rId26"/>
    <sheet name="Rotavirus Pricing" sheetId="68" r:id="rId27"/>
    <sheet name="PCV Pricing" sheetId="69" r:id="rId28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21" hidden="1">'Td Pricing'!$A$1:$H$20</definedName>
    <definedName name="GAVI_countries" localSheetId="27">#REF!</definedName>
    <definedName name="GAVI_countries" localSheetId="26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77" l="1"/>
  <c r="A56" i="77" s="1"/>
  <c r="A74" i="77" s="1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G36" i="79"/>
  <c r="F36" i="79"/>
  <c r="E36" i="79"/>
  <c r="D36" i="79"/>
  <c r="C36" i="79"/>
  <c r="B36" i="79"/>
  <c r="B54" i="79" s="1"/>
  <c r="A72" i="79" s="1"/>
  <c r="A90" i="79" s="1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C35" i="79"/>
  <c r="B35" i="79"/>
  <c r="B53" i="79" s="1"/>
  <c r="A71" i="79" s="1"/>
  <c r="A89" i="79" s="1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G34" i="79"/>
  <c r="F34" i="79"/>
  <c r="E34" i="79"/>
  <c r="D34" i="79"/>
  <c r="C34" i="79"/>
  <c r="B34" i="79"/>
  <c r="B52" i="79" s="1"/>
  <c r="A70" i="79" s="1"/>
  <c r="A88" i="79" s="1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G33" i="79"/>
  <c r="F33" i="79"/>
  <c r="E33" i="79"/>
  <c r="D33" i="79"/>
  <c r="C33" i="79"/>
  <c r="B33" i="79"/>
  <c r="B51" i="79" s="1"/>
  <c r="A69" i="79" s="1"/>
  <c r="A87" i="79" s="1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G32" i="79"/>
  <c r="F32" i="79"/>
  <c r="E32" i="79"/>
  <c r="D32" i="79"/>
  <c r="C32" i="79"/>
  <c r="B32" i="79"/>
  <c r="B50" i="79" s="1"/>
  <c r="A68" i="79" s="1"/>
  <c r="A86" i="79" s="1"/>
  <c r="Y31" i="79"/>
  <c r="X31" i="79"/>
  <c r="W31" i="79"/>
  <c r="V31" i="79"/>
  <c r="U31" i="79"/>
  <c r="T31" i="79"/>
  <c r="S31" i="79"/>
  <c r="R31" i="79"/>
  <c r="Q31" i="79"/>
  <c r="P31" i="79"/>
  <c r="O31" i="79"/>
  <c r="N31" i="79"/>
  <c r="M31" i="79"/>
  <c r="L31" i="79"/>
  <c r="K31" i="79"/>
  <c r="J31" i="79"/>
  <c r="I31" i="79"/>
  <c r="H31" i="79"/>
  <c r="G31" i="79"/>
  <c r="F31" i="79"/>
  <c r="E31" i="79"/>
  <c r="D31" i="79"/>
  <c r="C31" i="79"/>
  <c r="B31" i="79"/>
  <c r="B49" i="79" s="1"/>
  <c r="A67" i="79" s="1"/>
  <c r="A85" i="79" s="1"/>
  <c r="Y30" i="79"/>
  <c r="X30" i="79"/>
  <c r="W30" i="79"/>
  <c r="V30" i="79"/>
  <c r="U30" i="79"/>
  <c r="T30" i="79"/>
  <c r="S30" i="79"/>
  <c r="R30" i="79"/>
  <c r="Q30" i="79"/>
  <c r="P30" i="79"/>
  <c r="O30" i="79"/>
  <c r="N30" i="79"/>
  <c r="M30" i="79"/>
  <c r="L30" i="79"/>
  <c r="K30" i="79"/>
  <c r="J30" i="79"/>
  <c r="I30" i="79"/>
  <c r="H30" i="79"/>
  <c r="G30" i="79"/>
  <c r="F30" i="79"/>
  <c r="E30" i="79"/>
  <c r="D30" i="79"/>
  <c r="C30" i="79"/>
  <c r="B30" i="79"/>
  <c r="B48" i="79" s="1"/>
  <c r="A66" i="79" s="1"/>
  <c r="A84" i="79" s="1"/>
  <c r="Y29" i="79"/>
  <c r="X29" i="79"/>
  <c r="W29" i="79"/>
  <c r="V29" i="79"/>
  <c r="U29" i="79"/>
  <c r="T29" i="79"/>
  <c r="S29" i="79"/>
  <c r="R29" i="79"/>
  <c r="Q29" i="79"/>
  <c r="P29" i="79"/>
  <c r="O29" i="79"/>
  <c r="N29" i="79"/>
  <c r="M29" i="79"/>
  <c r="L29" i="79"/>
  <c r="K29" i="79"/>
  <c r="J29" i="79"/>
  <c r="I29" i="79"/>
  <c r="H29" i="79"/>
  <c r="G29" i="79"/>
  <c r="F29" i="79"/>
  <c r="E29" i="79"/>
  <c r="D29" i="79"/>
  <c r="C29" i="79"/>
  <c r="B29" i="79"/>
  <c r="B47" i="79" s="1"/>
  <c r="A65" i="79" s="1"/>
  <c r="A83" i="79" s="1"/>
  <c r="Y28" i="79"/>
  <c r="X28" i="79"/>
  <c r="W28" i="79"/>
  <c r="V28" i="79"/>
  <c r="U28" i="79"/>
  <c r="T28" i="79"/>
  <c r="S28" i="79"/>
  <c r="R28" i="79"/>
  <c r="Q28" i="79"/>
  <c r="P28" i="79"/>
  <c r="O28" i="79"/>
  <c r="N28" i="79"/>
  <c r="M28" i="79"/>
  <c r="L28" i="79"/>
  <c r="K28" i="79"/>
  <c r="J28" i="79"/>
  <c r="I28" i="79"/>
  <c r="H28" i="79"/>
  <c r="G28" i="79"/>
  <c r="F28" i="79"/>
  <c r="E28" i="79"/>
  <c r="D28" i="79"/>
  <c r="C28" i="79"/>
  <c r="B28" i="79"/>
  <c r="B46" i="79" s="1"/>
  <c r="A64" i="79" s="1"/>
  <c r="A82" i="79" s="1"/>
  <c r="Y27" i="79"/>
  <c r="X27" i="79"/>
  <c r="W27" i="79"/>
  <c r="V27" i="79"/>
  <c r="U27" i="79"/>
  <c r="T27" i="79"/>
  <c r="S27" i="79"/>
  <c r="R27" i="79"/>
  <c r="Q27" i="79"/>
  <c r="P27" i="79"/>
  <c r="O27" i="79"/>
  <c r="N27" i="79"/>
  <c r="M27" i="79"/>
  <c r="L27" i="79"/>
  <c r="K27" i="79"/>
  <c r="J27" i="79"/>
  <c r="I27" i="79"/>
  <c r="H27" i="79"/>
  <c r="G27" i="79"/>
  <c r="F27" i="79"/>
  <c r="E27" i="79"/>
  <c r="D27" i="79"/>
  <c r="C27" i="79"/>
  <c r="B27" i="79"/>
  <c r="B45" i="79" s="1"/>
  <c r="A63" i="79" s="1"/>
  <c r="A81" i="79" s="1"/>
  <c r="Y26" i="79"/>
  <c r="X26" i="79"/>
  <c r="W26" i="79"/>
  <c r="V26" i="79"/>
  <c r="U26" i="79"/>
  <c r="T26" i="79"/>
  <c r="S26" i="79"/>
  <c r="R26" i="79"/>
  <c r="Q26" i="79"/>
  <c r="P26" i="79"/>
  <c r="O26" i="79"/>
  <c r="N26" i="79"/>
  <c r="M26" i="79"/>
  <c r="L26" i="79"/>
  <c r="K26" i="79"/>
  <c r="J26" i="79"/>
  <c r="I26" i="79"/>
  <c r="H26" i="79"/>
  <c r="G26" i="79"/>
  <c r="F26" i="79"/>
  <c r="E26" i="79"/>
  <c r="D26" i="79"/>
  <c r="C26" i="79"/>
  <c r="B26" i="79"/>
  <c r="B44" i="79" s="1"/>
  <c r="A62" i="79" s="1"/>
  <c r="A80" i="79" s="1"/>
  <c r="Y25" i="79"/>
  <c r="X25" i="79"/>
  <c r="W25" i="79"/>
  <c r="V25" i="79"/>
  <c r="U25" i="79"/>
  <c r="T25" i="79"/>
  <c r="S25" i="79"/>
  <c r="R25" i="79"/>
  <c r="Q25" i="79"/>
  <c r="P25" i="79"/>
  <c r="O25" i="79"/>
  <c r="N25" i="79"/>
  <c r="M25" i="79"/>
  <c r="L25" i="79"/>
  <c r="K25" i="79"/>
  <c r="J25" i="79"/>
  <c r="I25" i="79"/>
  <c r="H25" i="79"/>
  <c r="G25" i="79"/>
  <c r="F25" i="79"/>
  <c r="E25" i="79"/>
  <c r="D25" i="79"/>
  <c r="C25" i="79"/>
  <c r="B25" i="79"/>
  <c r="B43" i="79" s="1"/>
  <c r="A61" i="79" s="1"/>
  <c r="A79" i="79" s="1"/>
  <c r="Y24" i="79"/>
  <c r="X24" i="79"/>
  <c r="W24" i="79"/>
  <c r="V24" i="79"/>
  <c r="U24" i="79"/>
  <c r="T24" i="79"/>
  <c r="S24" i="79"/>
  <c r="R24" i="79"/>
  <c r="Q24" i="79"/>
  <c r="P24" i="79"/>
  <c r="O24" i="79"/>
  <c r="N24" i="79"/>
  <c r="M24" i="79"/>
  <c r="L24" i="79"/>
  <c r="K24" i="79"/>
  <c r="J24" i="79"/>
  <c r="I24" i="79"/>
  <c r="H24" i="79"/>
  <c r="G24" i="79"/>
  <c r="F24" i="79"/>
  <c r="E24" i="79"/>
  <c r="D24" i="79"/>
  <c r="C24" i="79"/>
  <c r="B24" i="79"/>
  <c r="B42" i="79" s="1"/>
  <c r="A60" i="79" s="1"/>
  <c r="A78" i="79" s="1"/>
  <c r="Y23" i="79"/>
  <c r="X23" i="79"/>
  <c r="W23" i="79"/>
  <c r="V23" i="79"/>
  <c r="U23" i="79"/>
  <c r="T23" i="79"/>
  <c r="S23" i="79"/>
  <c r="R23" i="79"/>
  <c r="Q23" i="79"/>
  <c r="P23" i="79"/>
  <c r="O23" i="79"/>
  <c r="N23" i="79"/>
  <c r="M23" i="79"/>
  <c r="L23" i="79"/>
  <c r="K23" i="79"/>
  <c r="J23" i="79"/>
  <c r="I23" i="79"/>
  <c r="H23" i="79"/>
  <c r="G23" i="79"/>
  <c r="F23" i="79"/>
  <c r="E23" i="79"/>
  <c r="D23" i="79"/>
  <c r="C23" i="79"/>
  <c r="B23" i="79"/>
  <c r="B41" i="79" s="1"/>
  <c r="A59" i="79" s="1"/>
  <c r="A77" i="79" s="1"/>
  <c r="Y22" i="79"/>
  <c r="X22" i="79"/>
  <c r="W22" i="79"/>
  <c r="V22" i="79"/>
  <c r="U22" i="79"/>
  <c r="T22" i="79"/>
  <c r="S22" i="79"/>
  <c r="R22" i="79"/>
  <c r="Q22" i="79"/>
  <c r="P22" i="79"/>
  <c r="O22" i="79"/>
  <c r="N22" i="79"/>
  <c r="M22" i="79"/>
  <c r="L22" i="79"/>
  <c r="K22" i="79"/>
  <c r="J22" i="79"/>
  <c r="I22" i="79"/>
  <c r="H22" i="79"/>
  <c r="G22" i="79"/>
  <c r="F22" i="79"/>
  <c r="E22" i="79"/>
  <c r="D22" i="79"/>
  <c r="C22" i="79"/>
  <c r="B22" i="79"/>
  <c r="B40" i="79" s="1"/>
  <c r="A58" i="79" s="1"/>
  <c r="A76" i="79" s="1"/>
  <c r="Y21" i="79"/>
  <c r="X21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H21" i="79"/>
  <c r="G21" i="79"/>
  <c r="F21" i="79"/>
  <c r="E21" i="79"/>
  <c r="D21" i="79"/>
  <c r="C21" i="79"/>
  <c r="B21" i="79"/>
  <c r="B39" i="79" s="1"/>
  <c r="A57" i="79" s="1"/>
  <c r="A75" i="79" s="1"/>
  <c r="Y20" i="79"/>
  <c r="X20" i="79"/>
  <c r="W20" i="79"/>
  <c r="V20" i="79"/>
  <c r="U20" i="79"/>
  <c r="T20" i="79"/>
  <c r="S20" i="79"/>
  <c r="R20" i="79"/>
  <c r="Q20" i="79"/>
  <c r="P20" i="79"/>
  <c r="O20" i="79"/>
  <c r="N20" i="79"/>
  <c r="M20" i="79"/>
  <c r="L20" i="79"/>
  <c r="K20" i="79"/>
  <c r="J20" i="79"/>
  <c r="I20" i="79"/>
  <c r="H20" i="79"/>
  <c r="G20" i="79"/>
  <c r="F20" i="79"/>
  <c r="E20" i="79"/>
  <c r="D20" i="79"/>
  <c r="C20" i="79"/>
  <c r="B20" i="79"/>
  <c r="B38" i="79" s="1"/>
  <c r="A56" i="79" s="1"/>
  <c r="A74" i="79" s="1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D36" i="78"/>
  <c r="C36" i="78"/>
  <c r="B36" i="78"/>
  <c r="B54" i="78" s="1"/>
  <c r="A72" i="78" s="1"/>
  <c r="A90" i="78" s="1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5" i="78"/>
  <c r="C35" i="78"/>
  <c r="B35" i="78"/>
  <c r="B53" i="78" s="1"/>
  <c r="A71" i="78" s="1"/>
  <c r="A89" i="78" s="1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H34" i="78"/>
  <c r="G34" i="78"/>
  <c r="F34" i="78"/>
  <c r="E34" i="78"/>
  <c r="D34" i="78"/>
  <c r="C34" i="78"/>
  <c r="B34" i="78"/>
  <c r="B52" i="78" s="1"/>
  <c r="A70" i="78" s="1"/>
  <c r="A88" i="78" s="1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E33" i="78"/>
  <c r="D33" i="78"/>
  <c r="C33" i="78"/>
  <c r="B33" i="78"/>
  <c r="B51" i="78" s="1"/>
  <c r="A69" i="78" s="1"/>
  <c r="A87" i="78" s="1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H32" i="78"/>
  <c r="G32" i="78"/>
  <c r="F32" i="78"/>
  <c r="E32" i="78"/>
  <c r="D32" i="78"/>
  <c r="C32" i="78"/>
  <c r="B32" i="78"/>
  <c r="B50" i="78" s="1"/>
  <c r="A68" i="78" s="1"/>
  <c r="A86" i="78" s="1"/>
  <c r="Y31" i="78"/>
  <c r="X31" i="78"/>
  <c r="W31" i="78"/>
  <c r="V31" i="78"/>
  <c r="U31" i="78"/>
  <c r="T31" i="78"/>
  <c r="S31" i="78"/>
  <c r="R31" i="78"/>
  <c r="Q31" i="78"/>
  <c r="P31" i="78"/>
  <c r="O31" i="78"/>
  <c r="N31" i="78"/>
  <c r="M31" i="78"/>
  <c r="L31" i="78"/>
  <c r="K31" i="78"/>
  <c r="J31" i="78"/>
  <c r="I31" i="78"/>
  <c r="H31" i="78"/>
  <c r="G31" i="78"/>
  <c r="F31" i="78"/>
  <c r="E31" i="78"/>
  <c r="D31" i="78"/>
  <c r="C31" i="78"/>
  <c r="B31" i="78"/>
  <c r="B49" i="78" s="1"/>
  <c r="A67" i="78" s="1"/>
  <c r="A85" i="78" s="1"/>
  <c r="Y30" i="78"/>
  <c r="X30" i="78"/>
  <c r="W30" i="78"/>
  <c r="V30" i="78"/>
  <c r="U30" i="78"/>
  <c r="T30" i="78"/>
  <c r="S30" i="78"/>
  <c r="R30" i="78"/>
  <c r="Q30" i="78"/>
  <c r="P30" i="78"/>
  <c r="O30" i="78"/>
  <c r="N30" i="78"/>
  <c r="M30" i="78"/>
  <c r="L30" i="78"/>
  <c r="K30" i="78"/>
  <c r="J30" i="78"/>
  <c r="I30" i="78"/>
  <c r="H30" i="78"/>
  <c r="G30" i="78"/>
  <c r="F30" i="78"/>
  <c r="E30" i="78"/>
  <c r="D30" i="78"/>
  <c r="C30" i="78"/>
  <c r="B30" i="78"/>
  <c r="B48" i="78" s="1"/>
  <c r="A66" i="78" s="1"/>
  <c r="A84" i="78" s="1"/>
  <c r="Y29" i="78"/>
  <c r="X29" i="78"/>
  <c r="W29" i="78"/>
  <c r="V29" i="78"/>
  <c r="U29" i="78"/>
  <c r="T29" i="78"/>
  <c r="S29" i="78"/>
  <c r="R29" i="78"/>
  <c r="Q29" i="78"/>
  <c r="P29" i="78"/>
  <c r="O29" i="78"/>
  <c r="N29" i="78"/>
  <c r="M29" i="78"/>
  <c r="L29" i="78"/>
  <c r="K29" i="78"/>
  <c r="J29" i="78"/>
  <c r="I29" i="78"/>
  <c r="H29" i="78"/>
  <c r="G29" i="78"/>
  <c r="F29" i="78"/>
  <c r="E29" i="78"/>
  <c r="D29" i="78"/>
  <c r="C29" i="78"/>
  <c r="B29" i="78"/>
  <c r="B47" i="78" s="1"/>
  <c r="A65" i="78" s="1"/>
  <c r="A83" i="78" s="1"/>
  <c r="Y28" i="78"/>
  <c r="X28" i="78"/>
  <c r="W28" i="78"/>
  <c r="V28" i="78"/>
  <c r="U28" i="78"/>
  <c r="T28" i="78"/>
  <c r="S28" i="78"/>
  <c r="R28" i="78"/>
  <c r="Q28" i="78"/>
  <c r="P28" i="78"/>
  <c r="O28" i="78"/>
  <c r="N28" i="78"/>
  <c r="M28" i="78"/>
  <c r="L28" i="78"/>
  <c r="K28" i="78"/>
  <c r="J28" i="78"/>
  <c r="I28" i="78"/>
  <c r="H28" i="78"/>
  <c r="G28" i="78"/>
  <c r="F28" i="78"/>
  <c r="E28" i="78"/>
  <c r="D28" i="78"/>
  <c r="C28" i="78"/>
  <c r="B28" i="78"/>
  <c r="B46" i="78" s="1"/>
  <c r="A64" i="78" s="1"/>
  <c r="A82" i="78" s="1"/>
  <c r="Y27" i="78"/>
  <c r="X27" i="78"/>
  <c r="W27" i="78"/>
  <c r="V27" i="78"/>
  <c r="U27" i="78"/>
  <c r="T27" i="78"/>
  <c r="S27" i="78"/>
  <c r="R27" i="78"/>
  <c r="Q27" i="78"/>
  <c r="P27" i="78"/>
  <c r="O27" i="78"/>
  <c r="N27" i="78"/>
  <c r="M27" i="78"/>
  <c r="L27" i="78"/>
  <c r="K27" i="78"/>
  <c r="J27" i="78"/>
  <c r="I27" i="78"/>
  <c r="H27" i="78"/>
  <c r="G27" i="78"/>
  <c r="F27" i="78"/>
  <c r="E27" i="78"/>
  <c r="D27" i="78"/>
  <c r="C27" i="78"/>
  <c r="B27" i="78"/>
  <c r="B45" i="78" s="1"/>
  <c r="A63" i="78" s="1"/>
  <c r="A81" i="78" s="1"/>
  <c r="Y26" i="78"/>
  <c r="X26" i="78"/>
  <c r="W26" i="78"/>
  <c r="V26" i="78"/>
  <c r="U26" i="78"/>
  <c r="T26" i="78"/>
  <c r="S26" i="78"/>
  <c r="R26" i="78"/>
  <c r="Q26" i="78"/>
  <c r="P26" i="78"/>
  <c r="O26" i="78"/>
  <c r="N26" i="78"/>
  <c r="M26" i="78"/>
  <c r="L26" i="78"/>
  <c r="K26" i="78"/>
  <c r="J26" i="78"/>
  <c r="I26" i="78"/>
  <c r="H26" i="78"/>
  <c r="G26" i="78"/>
  <c r="F26" i="78"/>
  <c r="E26" i="78"/>
  <c r="D26" i="78"/>
  <c r="C26" i="78"/>
  <c r="B26" i="78"/>
  <c r="B44" i="78" s="1"/>
  <c r="A62" i="78" s="1"/>
  <c r="A80" i="78" s="1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K25" i="78"/>
  <c r="J25" i="78"/>
  <c r="I25" i="78"/>
  <c r="H25" i="78"/>
  <c r="G25" i="78"/>
  <c r="F25" i="78"/>
  <c r="E25" i="78"/>
  <c r="D25" i="78"/>
  <c r="C25" i="78"/>
  <c r="B25" i="78"/>
  <c r="B43" i="78" s="1"/>
  <c r="A61" i="78" s="1"/>
  <c r="A79" i="78" s="1"/>
  <c r="Y24" i="78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K24" i="78"/>
  <c r="J24" i="78"/>
  <c r="I24" i="78"/>
  <c r="H24" i="78"/>
  <c r="G24" i="78"/>
  <c r="F24" i="78"/>
  <c r="E24" i="78"/>
  <c r="D24" i="78"/>
  <c r="C24" i="78"/>
  <c r="B24" i="78"/>
  <c r="B42" i="78" s="1"/>
  <c r="A60" i="78" s="1"/>
  <c r="A78" i="78" s="1"/>
  <c r="Y23" i="78"/>
  <c r="X23" i="78"/>
  <c r="W23" i="78"/>
  <c r="V23" i="78"/>
  <c r="U23" i="78"/>
  <c r="T23" i="78"/>
  <c r="S23" i="78"/>
  <c r="R23" i="78"/>
  <c r="Q23" i="78"/>
  <c r="P23" i="78"/>
  <c r="O23" i="78"/>
  <c r="N23" i="78"/>
  <c r="M23" i="78"/>
  <c r="L23" i="78"/>
  <c r="K23" i="78"/>
  <c r="J23" i="78"/>
  <c r="I23" i="78"/>
  <c r="H23" i="78"/>
  <c r="G23" i="78"/>
  <c r="F23" i="78"/>
  <c r="E23" i="78"/>
  <c r="D23" i="78"/>
  <c r="C23" i="78"/>
  <c r="B23" i="78"/>
  <c r="B41" i="78" s="1"/>
  <c r="A59" i="78" s="1"/>
  <c r="A77" i="78" s="1"/>
  <c r="Y22" i="78"/>
  <c r="X22" i="78"/>
  <c r="W22" i="78"/>
  <c r="V22" i="78"/>
  <c r="U22" i="78"/>
  <c r="T22" i="78"/>
  <c r="S22" i="78"/>
  <c r="R22" i="78"/>
  <c r="Q22" i="78"/>
  <c r="P22" i="78"/>
  <c r="O22" i="78"/>
  <c r="N22" i="78"/>
  <c r="M22" i="78"/>
  <c r="L22" i="78"/>
  <c r="K22" i="78"/>
  <c r="J22" i="78"/>
  <c r="I22" i="78"/>
  <c r="H22" i="78"/>
  <c r="G22" i="78"/>
  <c r="F22" i="78"/>
  <c r="E22" i="78"/>
  <c r="D22" i="78"/>
  <c r="C22" i="78"/>
  <c r="B22" i="78"/>
  <c r="B40" i="78" s="1"/>
  <c r="A58" i="78" s="1"/>
  <c r="A76" i="78" s="1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H21" i="78"/>
  <c r="G21" i="78"/>
  <c r="F21" i="78"/>
  <c r="E21" i="78"/>
  <c r="D21" i="78"/>
  <c r="C21" i="78"/>
  <c r="B21" i="78"/>
  <c r="B39" i="78" s="1"/>
  <c r="A57" i="78" s="1"/>
  <c r="A75" i="78" s="1"/>
  <c r="Y20" i="78"/>
  <c r="X20" i="78"/>
  <c r="W20" i="78"/>
  <c r="V20" i="78"/>
  <c r="U20" i="78"/>
  <c r="T20" i="78"/>
  <c r="S20" i="78"/>
  <c r="R20" i="78"/>
  <c r="Q20" i="78"/>
  <c r="P20" i="78"/>
  <c r="O20" i="78"/>
  <c r="N20" i="78"/>
  <c r="M20" i="78"/>
  <c r="L20" i="78"/>
  <c r="K20" i="78"/>
  <c r="J20" i="78"/>
  <c r="I20" i="78"/>
  <c r="H20" i="78"/>
  <c r="G20" i="78"/>
  <c r="F20" i="78"/>
  <c r="E20" i="78"/>
  <c r="D20" i="78"/>
  <c r="C20" i="78"/>
  <c r="B20" i="78"/>
  <c r="B38" i="78" s="1"/>
  <c r="A56" i="78" s="1"/>
  <c r="A74" i="78" s="1"/>
  <c r="Y21" i="77"/>
  <c r="Y22" i="77"/>
  <c r="Y23" i="77"/>
  <c r="Y24" i="77"/>
  <c r="Y25" i="77"/>
  <c r="Y26" i="77"/>
  <c r="Y27" i="77"/>
  <c r="Y28" i="77"/>
  <c r="Y29" i="77"/>
  <c r="Y30" i="77"/>
  <c r="Y31" i="77"/>
  <c r="Y32" i="77"/>
  <c r="Y33" i="77"/>
  <c r="Y34" i="77"/>
  <c r="Y35" i="77"/>
  <c r="Y36" i="77"/>
  <c r="Y20" i="77"/>
  <c r="AC207" i="72"/>
  <c r="AC230" i="72" s="1"/>
  <c r="B21" i="77"/>
  <c r="B22" i="77"/>
  <c r="B40" i="77" s="1"/>
  <c r="A58" i="77" s="1"/>
  <c r="A76" i="77" s="1"/>
  <c r="B23" i="77"/>
  <c r="B41" i="77" s="1"/>
  <c r="A59" i="77" s="1"/>
  <c r="A77" i="77" s="1"/>
  <c r="B24" i="77"/>
  <c r="B42" i="77" s="1"/>
  <c r="A60" i="77" s="1"/>
  <c r="A78" i="77" s="1"/>
  <c r="B25" i="77"/>
  <c r="B43" i="77" s="1"/>
  <c r="A61" i="77" s="1"/>
  <c r="A79" i="77" s="1"/>
  <c r="B26" i="77"/>
  <c r="B44" i="77" s="1"/>
  <c r="A62" i="77" s="1"/>
  <c r="A80" i="77" s="1"/>
  <c r="B27" i="77"/>
  <c r="B45" i="77" s="1"/>
  <c r="A63" i="77" s="1"/>
  <c r="A81" i="77" s="1"/>
  <c r="B28" i="77"/>
  <c r="B46" i="77" s="1"/>
  <c r="A64" i="77" s="1"/>
  <c r="A82" i="77" s="1"/>
  <c r="B29" i="77"/>
  <c r="B30" i="77"/>
  <c r="B48" i="77" s="1"/>
  <c r="A66" i="77" s="1"/>
  <c r="A84" i="77" s="1"/>
  <c r="B31" i="77"/>
  <c r="B49" i="77" s="1"/>
  <c r="A67" i="77" s="1"/>
  <c r="A85" i="77" s="1"/>
  <c r="B32" i="77"/>
  <c r="B50" i="77" s="1"/>
  <c r="A68" i="77" s="1"/>
  <c r="A86" i="77" s="1"/>
  <c r="B33" i="77"/>
  <c r="B51" i="77" s="1"/>
  <c r="A69" i="77" s="1"/>
  <c r="A87" i="77" s="1"/>
  <c r="B34" i="77"/>
  <c r="B52" i="77" s="1"/>
  <c r="A70" i="77" s="1"/>
  <c r="A88" i="77" s="1"/>
  <c r="B35" i="77"/>
  <c r="B53" i="77" s="1"/>
  <c r="A71" i="77" s="1"/>
  <c r="A89" i="77" s="1"/>
  <c r="B36" i="77"/>
  <c r="B54" i="77" s="1"/>
  <c r="A72" i="77" s="1"/>
  <c r="A90" i="77" s="1"/>
  <c r="B20" i="77"/>
  <c r="C20" i="77"/>
  <c r="D20" i="77"/>
  <c r="E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T20" i="77"/>
  <c r="U20" i="77"/>
  <c r="V20" i="77"/>
  <c r="W20" i="77"/>
  <c r="X20" i="77"/>
  <c r="C21" i="77"/>
  <c r="D21" i="77"/>
  <c r="E21" i="77"/>
  <c r="F21" i="77"/>
  <c r="G21" i="77"/>
  <c r="H21" i="77"/>
  <c r="I21" i="77"/>
  <c r="B39" i="77" s="1"/>
  <c r="A57" i="77" s="1"/>
  <c r="A75" i="77" s="1"/>
  <c r="J21" i="77"/>
  <c r="K21" i="77"/>
  <c r="L21" i="77"/>
  <c r="M21" i="77"/>
  <c r="N21" i="77"/>
  <c r="O21" i="77"/>
  <c r="P21" i="77"/>
  <c r="Q21" i="77"/>
  <c r="R21" i="77"/>
  <c r="S21" i="77"/>
  <c r="T21" i="77"/>
  <c r="U21" i="77"/>
  <c r="V21" i="77"/>
  <c r="W21" i="77"/>
  <c r="X21" i="77"/>
  <c r="C22" i="77"/>
  <c r="D22" i="77"/>
  <c r="E22" i="77"/>
  <c r="F22" i="77"/>
  <c r="G22" i="77"/>
  <c r="H22" i="77"/>
  <c r="I22" i="77"/>
  <c r="J22" i="77"/>
  <c r="K22" i="77"/>
  <c r="L22" i="77"/>
  <c r="M22" i="77"/>
  <c r="N22" i="77"/>
  <c r="O22" i="77"/>
  <c r="P22" i="77"/>
  <c r="Q22" i="77"/>
  <c r="R22" i="77"/>
  <c r="S22" i="77"/>
  <c r="T22" i="77"/>
  <c r="U22" i="77"/>
  <c r="V22" i="77"/>
  <c r="W22" i="77"/>
  <c r="X22" i="77"/>
  <c r="C23" i="77"/>
  <c r="D23" i="77"/>
  <c r="E23" i="77"/>
  <c r="F23" i="77"/>
  <c r="G23" i="77"/>
  <c r="H23" i="77"/>
  <c r="I23" i="77"/>
  <c r="J23" i="77"/>
  <c r="K23" i="77"/>
  <c r="L23" i="77"/>
  <c r="M23" i="77"/>
  <c r="N23" i="77"/>
  <c r="O23" i="77"/>
  <c r="P23" i="77"/>
  <c r="Q23" i="77"/>
  <c r="R23" i="77"/>
  <c r="S23" i="77"/>
  <c r="T23" i="77"/>
  <c r="U23" i="77"/>
  <c r="V23" i="77"/>
  <c r="W23" i="77"/>
  <c r="X23" i="77"/>
  <c r="C24" i="77"/>
  <c r="D24" i="77"/>
  <c r="E24" i="77"/>
  <c r="F24" i="77"/>
  <c r="G24" i="77"/>
  <c r="H24" i="77"/>
  <c r="I24" i="77"/>
  <c r="J24" i="77"/>
  <c r="K24" i="77"/>
  <c r="L24" i="77"/>
  <c r="M24" i="77"/>
  <c r="N24" i="77"/>
  <c r="O24" i="77"/>
  <c r="P24" i="77"/>
  <c r="Q24" i="77"/>
  <c r="R24" i="77"/>
  <c r="S24" i="77"/>
  <c r="T24" i="77"/>
  <c r="U24" i="77"/>
  <c r="V24" i="77"/>
  <c r="W24" i="77"/>
  <c r="X24" i="77"/>
  <c r="C25" i="77"/>
  <c r="D25" i="77"/>
  <c r="E25" i="77"/>
  <c r="F25" i="77"/>
  <c r="G25" i="77"/>
  <c r="H25" i="77"/>
  <c r="I25" i="77"/>
  <c r="J25" i="77"/>
  <c r="K25" i="77"/>
  <c r="L25" i="77"/>
  <c r="M25" i="77"/>
  <c r="N25" i="77"/>
  <c r="O25" i="77"/>
  <c r="P25" i="77"/>
  <c r="Q25" i="77"/>
  <c r="R25" i="77"/>
  <c r="S25" i="77"/>
  <c r="T25" i="77"/>
  <c r="U25" i="77"/>
  <c r="V25" i="77"/>
  <c r="W25" i="77"/>
  <c r="X25" i="77"/>
  <c r="C26" i="77"/>
  <c r="D26" i="77"/>
  <c r="E26" i="77"/>
  <c r="F26" i="77"/>
  <c r="G26" i="77"/>
  <c r="H26" i="77"/>
  <c r="I26" i="77"/>
  <c r="J26" i="77"/>
  <c r="K26" i="77"/>
  <c r="L26" i="77"/>
  <c r="M26" i="77"/>
  <c r="N26" i="77"/>
  <c r="O26" i="77"/>
  <c r="P26" i="77"/>
  <c r="Q26" i="77"/>
  <c r="R26" i="77"/>
  <c r="S26" i="77"/>
  <c r="T26" i="77"/>
  <c r="U26" i="77"/>
  <c r="V26" i="77"/>
  <c r="W26" i="77"/>
  <c r="X26" i="77"/>
  <c r="C27" i="77"/>
  <c r="D27" i="77"/>
  <c r="E27" i="77"/>
  <c r="F27" i="77"/>
  <c r="G27" i="77"/>
  <c r="H27" i="77"/>
  <c r="I27" i="77"/>
  <c r="J27" i="77"/>
  <c r="K27" i="77"/>
  <c r="L27" i="77"/>
  <c r="M27" i="77"/>
  <c r="N27" i="77"/>
  <c r="O27" i="77"/>
  <c r="P27" i="77"/>
  <c r="Q27" i="77"/>
  <c r="R27" i="77"/>
  <c r="S27" i="77"/>
  <c r="T27" i="77"/>
  <c r="U27" i="77"/>
  <c r="V27" i="77"/>
  <c r="W27" i="77"/>
  <c r="X27" i="77"/>
  <c r="C28" i="77"/>
  <c r="D28" i="77"/>
  <c r="E28" i="77"/>
  <c r="F28" i="77"/>
  <c r="G28" i="77"/>
  <c r="H28" i="77"/>
  <c r="I28" i="77"/>
  <c r="J28" i="77"/>
  <c r="K28" i="77"/>
  <c r="L28" i="77"/>
  <c r="M28" i="77"/>
  <c r="N28" i="77"/>
  <c r="O28" i="77"/>
  <c r="P28" i="77"/>
  <c r="Q28" i="77"/>
  <c r="R28" i="77"/>
  <c r="S28" i="77"/>
  <c r="T28" i="77"/>
  <c r="U28" i="77"/>
  <c r="V28" i="77"/>
  <c r="W28" i="77"/>
  <c r="X28" i="77"/>
  <c r="C29" i="77"/>
  <c r="D29" i="77"/>
  <c r="E29" i="77"/>
  <c r="F29" i="77"/>
  <c r="G29" i="77"/>
  <c r="H29" i="77"/>
  <c r="I29" i="77"/>
  <c r="B47" i="77" s="1"/>
  <c r="A65" i="77" s="1"/>
  <c r="A83" i="77" s="1"/>
  <c r="J29" i="77"/>
  <c r="K29" i="77"/>
  <c r="L29" i="77"/>
  <c r="M29" i="77"/>
  <c r="N29" i="77"/>
  <c r="O29" i="77"/>
  <c r="P29" i="77"/>
  <c r="Q29" i="77"/>
  <c r="R29" i="77"/>
  <c r="S29" i="77"/>
  <c r="T29" i="77"/>
  <c r="U29" i="77"/>
  <c r="V29" i="77"/>
  <c r="W29" i="77"/>
  <c r="X29" i="77"/>
  <c r="C30" i="77"/>
  <c r="D30" i="77"/>
  <c r="E30" i="77"/>
  <c r="F30" i="77"/>
  <c r="G30" i="77"/>
  <c r="H30" i="77"/>
  <c r="I30" i="77"/>
  <c r="J30" i="77"/>
  <c r="K30" i="77"/>
  <c r="L30" i="77"/>
  <c r="M30" i="77"/>
  <c r="N30" i="77"/>
  <c r="O30" i="77"/>
  <c r="P30" i="77"/>
  <c r="Q30" i="77"/>
  <c r="R30" i="77"/>
  <c r="S30" i="77"/>
  <c r="T30" i="77"/>
  <c r="U30" i="77"/>
  <c r="V30" i="77"/>
  <c r="W30" i="77"/>
  <c r="X30" i="77"/>
  <c r="C31" i="77"/>
  <c r="D31" i="77"/>
  <c r="E31" i="77"/>
  <c r="F31" i="77"/>
  <c r="G31" i="77"/>
  <c r="H31" i="77"/>
  <c r="I31" i="77"/>
  <c r="J31" i="77"/>
  <c r="K31" i="77"/>
  <c r="L31" i="77"/>
  <c r="M31" i="77"/>
  <c r="N31" i="77"/>
  <c r="O31" i="77"/>
  <c r="P31" i="77"/>
  <c r="Q31" i="77"/>
  <c r="R31" i="77"/>
  <c r="S31" i="77"/>
  <c r="T31" i="77"/>
  <c r="U31" i="77"/>
  <c r="V31" i="77"/>
  <c r="W31" i="77"/>
  <c r="X31" i="77"/>
  <c r="C32" i="77"/>
  <c r="D32" i="77"/>
  <c r="E32" i="77"/>
  <c r="F32" i="77"/>
  <c r="G32" i="77"/>
  <c r="H32" i="77"/>
  <c r="I32" i="77"/>
  <c r="J32" i="77"/>
  <c r="K32" i="77"/>
  <c r="L32" i="77"/>
  <c r="M32" i="77"/>
  <c r="N32" i="77"/>
  <c r="O32" i="77"/>
  <c r="P32" i="77"/>
  <c r="Q32" i="77"/>
  <c r="R32" i="77"/>
  <c r="S32" i="77"/>
  <c r="T32" i="77"/>
  <c r="U32" i="77"/>
  <c r="V32" i="77"/>
  <c r="W32" i="77"/>
  <c r="X32" i="77"/>
  <c r="C33" i="77"/>
  <c r="D33" i="77"/>
  <c r="E33" i="77"/>
  <c r="F33" i="77"/>
  <c r="G33" i="77"/>
  <c r="H33" i="77"/>
  <c r="I33" i="77"/>
  <c r="J33" i="77"/>
  <c r="K33" i="77"/>
  <c r="L33" i="77"/>
  <c r="M33" i="77"/>
  <c r="N33" i="77"/>
  <c r="O33" i="77"/>
  <c r="P33" i="77"/>
  <c r="Q33" i="77"/>
  <c r="R33" i="77"/>
  <c r="S33" i="77"/>
  <c r="T33" i="77"/>
  <c r="U33" i="77"/>
  <c r="V33" i="77"/>
  <c r="W33" i="77"/>
  <c r="X33" i="77"/>
  <c r="C34" i="77"/>
  <c r="D34" i="77"/>
  <c r="E34" i="77"/>
  <c r="F34" i="77"/>
  <c r="G34" i="77"/>
  <c r="H34" i="77"/>
  <c r="I34" i="77"/>
  <c r="J34" i="77"/>
  <c r="K34" i="77"/>
  <c r="L34" i="77"/>
  <c r="M34" i="77"/>
  <c r="N34" i="77"/>
  <c r="O34" i="77"/>
  <c r="P34" i="77"/>
  <c r="Q34" i="77"/>
  <c r="R34" i="77"/>
  <c r="S34" i="77"/>
  <c r="T34" i="77"/>
  <c r="U34" i="77"/>
  <c r="V34" i="77"/>
  <c r="W34" i="77"/>
  <c r="X34" i="77"/>
  <c r="C35" i="77"/>
  <c r="D35" i="77"/>
  <c r="E35" i="77"/>
  <c r="F35" i="77"/>
  <c r="G35" i="77"/>
  <c r="H35" i="77"/>
  <c r="I35" i="77"/>
  <c r="J35" i="77"/>
  <c r="K35" i="77"/>
  <c r="L35" i="77"/>
  <c r="M35" i="77"/>
  <c r="N35" i="77"/>
  <c r="O35" i="77"/>
  <c r="P35" i="77"/>
  <c r="Q35" i="77"/>
  <c r="R35" i="77"/>
  <c r="S35" i="77"/>
  <c r="T35" i="77"/>
  <c r="U35" i="77"/>
  <c r="V35" i="77"/>
  <c r="W35" i="77"/>
  <c r="X35" i="77"/>
  <c r="C36" i="77"/>
  <c r="D36" i="77"/>
  <c r="E36" i="77"/>
  <c r="F36" i="77"/>
  <c r="G36" i="77"/>
  <c r="H36" i="77"/>
  <c r="I36" i="77"/>
  <c r="J36" i="77"/>
  <c r="K36" i="77"/>
  <c r="L36" i="77"/>
  <c r="M36" i="77"/>
  <c r="N36" i="77"/>
  <c r="O36" i="77"/>
  <c r="P36" i="77"/>
  <c r="Q36" i="77"/>
  <c r="R36" i="77"/>
  <c r="S36" i="77"/>
  <c r="T36" i="77"/>
  <c r="U36" i="77"/>
  <c r="V36" i="77"/>
  <c r="W36" i="77"/>
  <c r="X36" i="77"/>
  <c r="R4" i="76"/>
  <c r="R3" i="76"/>
  <c r="R2" i="76"/>
  <c r="M3" i="76"/>
  <c r="M4" i="76"/>
  <c r="M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6" i="72" s="1"/>
  <c r="AH297" i="72"/>
  <c r="AG223" i="72"/>
  <c r="AG294" i="72" s="1"/>
  <c r="AF223" i="72"/>
  <c r="AF294" i="72" s="1"/>
  <c r="AE223" i="72"/>
  <c r="AE294" i="72"/>
  <c r="AE297" i="72"/>
  <c r="AD223" i="72"/>
  <c r="AD294" i="72"/>
  <c r="AD297" i="72" s="1"/>
  <c r="AC223" i="72"/>
  <c r="AC294" i="72" s="1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AG295" i="72" l="1"/>
  <c r="AG296" i="72"/>
  <c r="AG297" i="72"/>
  <c r="AF297" i="72"/>
  <c r="AF295" i="72"/>
  <c r="AF296" i="72"/>
  <c r="AC297" i="72"/>
  <c r="AC295" i="72"/>
  <c r="AC296" i="72"/>
  <c r="AC231" i="72"/>
  <c r="AC23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<sst xmlns="http://schemas.openxmlformats.org/spreadsheetml/2006/main" count="1077" uniqueCount="199">
  <si>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</si>
  <si>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</si>
  <si>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</si>
  <si>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</si>
  <si>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</si>
  <si>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</si>
  <si>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</si>
  <si>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</si>
  <si>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</si>
  <si>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</si>
  <si>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</si>
  <si>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</si>
  <si>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</si>
  <si>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</si>
  <si>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</si>
  <si>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</si>
  <si>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</si>
  <si>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</si>
  <si>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</si>
  <si>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</si>
  <si>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</si>
  <si>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</si>
  <si>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</si>
  <si>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</si>
  <si>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</si>
  <si>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</si>
  <si>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</si>
  <si>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</si>
  <si>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</si>
  <si>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</si>
  <si>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</si>
  <si>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</si>
  <si>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</si>
  <si>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</si>
  <si>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</si>
  <si>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</si>
  <si>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</si>
  <si>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</si>
  <si>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</si>
  <si>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</si>
  <si>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</si>
  <si>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</si>
  <si>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</si>
  <si>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</si>
  <si>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</si>
  <si>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</si>
  <si>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</si>
  <si>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</si>
  <si>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</si>
  <si>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</si>
  <si>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</si>
  <si>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</si>
  <si>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</si>
  <si>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</si>
  <si>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</si>
  <si>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</si>
  <si>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</si>
  <si>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</si>
  <si>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</si>
  <si>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</si>
  <si>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</si>
  <si>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</si>
  <si>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</si>
  <si>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</si>
  <si>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</si>
  <si>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</si>
  <si>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</si>
  <si>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</si>
  <si>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</si>
  <si>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</si>
  <si>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</si>
  <si>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</si>
  <si>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</si>
  <si>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</si>
  <si>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</si>
  <si>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</si>
  <si>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</si>
  <si>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</si>
  <si>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</si>
  <si>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</si>
  <si>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</si>
  <si>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</si>
  <si>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</si>
  <si>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</si>
  <si>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</si>
  <si>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</si>
  <si>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</si>
  <si>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</si>
  <si>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</si>
  <si>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</si>
  <si>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</si>
  <si>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</si>
  <si>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</si>
  <si>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</si>
  <si>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</si>
  <si>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</si>
  <si>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</si>
  <si>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</si>
  <si>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</si>
  <si>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</si>
  <si>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</si>
  <si>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</si>
  <si>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</si>
  <si>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</si>
  <si>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</si>
  <si>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</si>
  <si>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</si>
  <si>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</si>
  <si>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</si>
  <si>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</si>
  <si>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</si>
  <si>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</si>
  <si>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</si>
  <si>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</si>
  <si>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</si>
  <si>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</si>
  <si>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</si>
  <si>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</si>
  <si>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</si>
  <si>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</si>
  <si>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</si>
  <si>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</si>
  <si>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</si>
  <si>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</si>
  <si>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</si>
  <si>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</si>
  <si>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</si>
  <si>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</si>
  <si>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</si>
  <si>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</si>
  <si>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</si>
  <si>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</si>
  <si>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</si>
  <si>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</si>
  <si>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</si>
  <si>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</si>
  <si>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</si>
  <si>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</si>
  <si>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</si>
  <si>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</si>
  <si>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</si>
  <si>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</si>
  <si>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</si>
  <si>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</si>
  <si>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</si>
  <si>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</si>
  <si>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</si>
  <si>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</si>
  <si>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</si>
  <si>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</si>
  <si>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</si>
  <si>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</si>
  <si>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</si>
  <si>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</si>
  <si>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</si>
  <si>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</si>
  <si>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</si>
  <si>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</si>
  <si>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</si>
  <si>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</si>
  <si>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</si>
  <si>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</si>
  <si>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</si>
  <si>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</si>
  <si>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</si>
  <si>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</si>
  <si>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</si>
  <si>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</si>
  <si>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</si>
  <si>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</si>
  <si>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</si>
  <si>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</si>
  <si>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</si>
  <si>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</si>
  <si>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</si>
  <si>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</si>
  <si>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</si>
  <si>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</si>
  <si>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</si>
  <si>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</si>
  <si>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</si>
  <si>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</si>
  <si>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R^2</t>
  </si>
  <si>
    <t>MMR-based</t>
  </si>
  <si>
    <t>Hexa-based</t>
  </si>
  <si>
    <t>Single Antigen</t>
  </si>
  <si>
    <t>if  R-squared value &lt; 0.3 this value is generally considered a None or Very weak effect size,
if R-squared value 0.3 &lt; r &lt; 0.5 this value is generally considered a weak or low effect size,
if R-squared value 0.5 &lt; r &lt; 0.7 this value is generally considered a Moderate effect size,
if R-squared value r &gt; 0.7 this value is generally considered strong effect size,</t>
  </si>
  <si>
    <t>Ref: Source: Moore, D. S., Notz, W. I, &amp; Flinger, M. A. (2013). The basic practice of statistics (6th ed.). New York, NY: W. H. Freeman and Company. Page (138).</t>
  </si>
  <si>
    <t>HPV - 2000-14</t>
  </si>
  <si>
    <t>HPV - 2015-23</t>
  </si>
  <si>
    <t>IPV - 2000-13</t>
  </si>
  <si>
    <t>IPV - 2014-23</t>
  </si>
  <si>
    <t>MR - 2000-13</t>
  </si>
  <si>
    <t>MR - 2014-23</t>
  </si>
  <si>
    <t>Very Weak</t>
  </si>
  <si>
    <t>Weak</t>
  </si>
  <si>
    <t>Moderate</t>
  </si>
  <si>
    <t>Strong</t>
  </si>
  <si>
    <t>Historical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</si>
</sst>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2" fontId="0" fillId="13" borderId="0" xfId="0" applyNumberFormat="1" applyFill="1"/>
    <xf numFmtId="2" fontId="0" fillId="2" borderId="0" xfId="0" applyNumberFormat="1" applyFill="1"/>
    <xf numFmtId="2" fontId="0" fillId="6" borderId="0" xfId="0" applyNumberFormat="1" applyFill="1"/>
    <xf numFmtId="1" fontId="0" fillId="0" borderId="0" xfId="0" applyNumberFormat="1" applyAlignment="1">
      <alignment wrapText="1"/>
    </xf>
    <xf numFmtId="2" fontId="0" fillId="14" borderId="0" xfId="0" applyNumberFormat="1" applyFill="1"/>
    <xf numFmtId="1" fontId="0" fillId="0" borderId="0" xfId="0" applyNumberFormat="1" applyAlignment="1">
      <alignment horizont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  <xf numFmtId="1" fontId="2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22" sqref="A22"/>
    </sheetView>
  </sheetViews>
  <sheetFormatPr defaultRowHeight="14.4" x14ac:dyDescent="0.3"/>
  <cols>
    <col min="1" max="1" width="91.109375" customWidth="1"/>
    <col min="2" max="18" width="15.6640625" customWidth="1"/>
    <col min="20" max="20" width="11.33203125" customWidth="1"/>
  </cols>
  <sheetData>
    <row r="1" spans="1:20" ht="57.6" x14ac:dyDescent="0.3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3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3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3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3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3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3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3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3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3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3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3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3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3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3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3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3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3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3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4.4" x14ac:dyDescent="0.3"/>
  <cols>
    <col min="1" max="1" width="91.109375" customWidth="1"/>
    <col min="2" max="11" width="15.6640625" customWidth="1"/>
  </cols>
  <sheetData>
    <row r="1" spans="1:13" x14ac:dyDescent="0.3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3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3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3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3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3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3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3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3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3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3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3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3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3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3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09375" defaultRowHeight="14.4" x14ac:dyDescent="0.3"/>
  <cols>
    <col min="1" max="1" width="9.109375" style="7"/>
    <col min="2" max="2" width="94.6640625" style="7" bestFit="1" customWidth="1"/>
    <col min="3" max="3" width="28" style="7" bestFit="1" customWidth="1"/>
    <col min="4" max="23" width="16" style="7" customWidth="1"/>
    <col min="24" max="24" width="16.88671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09375" style="7"/>
  </cols>
  <sheetData>
    <row r="1" spans="2:34" x14ac:dyDescent="0.3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3">
      <c r="B2" s="79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3">
      <c r="B3" s="79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3">
      <c r="B4" s="79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3">
      <c r="B5" s="79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3">
      <c r="B6" s="79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3">
      <c r="B7" s="79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3">
      <c r="B8" s="79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3">
      <c r="B9" s="79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3">
      <c r="B10" s="79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3">
      <c r="B11" s="79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3">
      <c r="B12" s="79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3">
      <c r="B13" s="79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3">
      <c r="B14" s="79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3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3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3">
      <c r="B17" s="79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3">
      <c r="B18" s="79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3">
      <c r="B19" s="79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3">
      <c r="B20" s="79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3">
      <c r="B21" s="79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3">
      <c r="B22" s="79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3">
      <c r="B23" s="79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3">
      <c r="B24" s="79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3">
      <c r="B25" s="79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3">
      <c r="B26" s="79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3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3">
      <c r="B28" s="79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3">
      <c r="B29" s="79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3">
      <c r="B30" s="79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3">
      <c r="B31" s="79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3">
      <c r="B32" s="79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3">
      <c r="B33" s="79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3">
      <c r="B34" s="79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3">
      <c r="B35" s="79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3">
      <c r="B36" s="79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3">
      <c r="B37" s="79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3">
      <c r="B38" s="79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3">
      <c r="B39" s="79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3">
      <c r="B40" s="79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3">
      <c r="B41" s="79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3">
      <c r="B42" s="79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3">
      <c r="B43" s="79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3">
      <c r="B44" s="79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3">
      <c r="B45" s="79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3">
      <c r="B46" s="79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3">
      <c r="B47" s="79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3">
      <c r="B48" s="79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3">
      <c r="B49" s="79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3">
      <c r="B50" s="79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3">
      <c r="B51" s="79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3">
      <c r="B52" s="79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3">
      <c r="B53" s="79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3">
      <c r="B54" s="79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3">
      <c r="B55" s="79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3">
      <c r="B56" s="79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3">
      <c r="B57" s="79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3">
      <c r="B58" s="79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3">
      <c r="B59" s="79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3">
      <c r="B60" s="79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3">
      <c r="B61" s="79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3">
      <c r="B62" s="79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3">
      <c r="B63" s="79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3">
      <c r="B64" s="79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3">
      <c r="B65" s="79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3">
      <c r="B66" s="79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3">
      <c r="B67" s="79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3">
      <c r="B68" s="79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3">
      <c r="B69" s="79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3">
      <c r="B70" s="79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3">
      <c r="B71" s="79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3">
      <c r="B72" s="79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3">
      <c r="B73" s="79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3">
      <c r="B74" s="79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3">
      <c r="B75" s="79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3">
      <c r="B76" s="79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3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3">
      <c r="B78" s="79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3">
      <c r="B79" s="79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3">
      <c r="B80" s="79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3">
      <c r="B81" s="79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3">
      <c r="B82" s="79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3">
      <c r="B83" s="79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3">
      <c r="B84" s="79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3">
      <c r="B85" s="79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3">
      <c r="B86" s="79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3">
      <c r="B87" s="79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3">
      <c r="B88" s="79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3">
      <c r="B89" s="79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3">
      <c r="B90" s="80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3">
      <c r="B91" s="81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3">
      <c r="B92" s="81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3">
      <c r="B93" s="81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3">
      <c r="B94" s="82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3">
      <c r="B95" s="79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3">
      <c r="B96" s="79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3">
      <c r="B97" s="79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3">
      <c r="B98" s="79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3">
      <c r="B99" s="79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3">
      <c r="B100" s="79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3">
      <c r="B101" s="79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3">
      <c r="B102" s="79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3">
      <c r="B103" s="79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3">
      <c r="B104" s="79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3">
      <c r="B105" s="79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3">
      <c r="B106" s="79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3">
      <c r="B107" s="79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3">
      <c r="B108" s="79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3">
      <c r="B109" s="79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3">
      <c r="B110" s="79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3">
      <c r="B111" s="79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3">
      <c r="B112" s="79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3">
      <c r="B113" s="79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3">
      <c r="B114" s="79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3">
      <c r="B115" s="79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3">
      <c r="B116" s="79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3">
      <c r="B117" s="79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3">
      <c r="B118" s="79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3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3">
      <c r="B120" s="79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3">
      <c r="B121" s="79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3">
      <c r="B122" s="79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3">
      <c r="B123" s="79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3">
      <c r="B124" s="79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3">
      <c r="B125" s="79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3">
      <c r="B126" s="79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3">
      <c r="B127" s="79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3">
      <c r="B128" s="79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3">
      <c r="B129" s="79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3">
      <c r="B130" s="79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3">
      <c r="B131" s="79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3">
      <c r="B132" s="79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3">
      <c r="B133" s="79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3">
      <c r="B134" s="79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3">
      <c r="B135" s="79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3">
      <c r="B136" s="79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3">
      <c r="B137" s="79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3">
      <c r="B138" s="79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3">
      <c r="B139" s="79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3">
      <c r="B140" s="79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3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3">
      <c r="B142" s="79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3">
      <c r="B143" s="79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3">
      <c r="B144" s="79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3">
      <c r="B145" s="79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3">
      <c r="B146" s="79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3">
      <c r="B147" s="79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3">
      <c r="B148" s="79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3">
      <c r="B149" s="79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3">
      <c r="B150" s="79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3">
      <c r="B151" s="79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3">
      <c r="B152" s="79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3">
      <c r="B153" s="79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3">
      <c r="B154" s="79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3">
      <c r="B155" s="79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3">
      <c r="B156" s="79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3">
      <c r="B157" s="79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3">
      <c r="B158" s="79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3">
      <c r="B159" s="79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3">
      <c r="B160" s="79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3">
      <c r="B161" s="79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3">
      <c r="B162" s="79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3">
      <c r="B163" s="79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3">
      <c r="B164" s="79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3">
      <c r="B165" s="79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3">
      <c r="B166" s="79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3">
      <c r="B167" s="79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3">
      <c r="B168" s="79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3">
      <c r="B169" s="79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3">
      <c r="B170" s="79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3">
      <c r="B171" s="79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3">
      <c r="B172" s="79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3">
      <c r="B173" s="79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3">
      <c r="B174" s="79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3">
      <c r="B175" s="79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3">
      <c r="B176" s="79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3">
      <c r="B177" s="79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3">
      <c r="B178" s="79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3">
      <c r="B179" s="79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3">
      <c r="B180" s="79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3">
      <c r="B181" s="79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3">
      <c r="B182" s="79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3">
      <c r="B183" s="79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3">
      <c r="B184" s="79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3">
      <c r="B185" s="79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3">
      <c r="B186" s="79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3">
      <c r="B187" s="79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3">
      <c r="B188" s="79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3">
      <c r="B189" s="79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3">
      <c r="B190" s="79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3">
      <c r="B191" s="79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3">
      <c r="B192" s="79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3">
      <c r="B193" s="79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3">
      <c r="B194" s="79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3">
      <c r="B195" s="79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3">
      <c r="B196" s="79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3">
      <c r="B197" s="79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3">
      <c r="B198" s="79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3">
      <c r="B199" s="79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3">
      <c r="B200" s="79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3">
      <c r="B201" s="79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3">
      <c r="B202" s="79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3">
      <c r="B203" s="79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3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3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3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3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3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3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3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3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3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3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3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3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3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3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3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3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3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3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3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3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3">
      <c r="Y224" s="12"/>
    </row>
    <row r="225" spans="2:34" x14ac:dyDescent="0.3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3">
      <c r="B226" s="7" t="s">
        <v>169</v>
      </c>
      <c r="C226" s="7">
        <v>0.9</v>
      </c>
      <c r="U226" s="12"/>
      <c r="Y226" s="12"/>
    </row>
    <row r="227" spans="2:34" x14ac:dyDescent="0.3">
      <c r="B227" s="7" t="s">
        <v>170</v>
      </c>
      <c r="C227" s="7">
        <v>0.7</v>
      </c>
    </row>
    <row r="228" spans="2:34" x14ac:dyDescent="0.3">
      <c r="AD228" s="38"/>
      <c r="AE228" s="38"/>
      <c r="AF228" s="38"/>
      <c r="AG228" s="38"/>
      <c r="AH228" s="38"/>
    </row>
    <row r="229" spans="2:34" ht="15" thickBot="1" x14ac:dyDescent="0.35">
      <c r="C229" s="7" t="s">
        <v>171</v>
      </c>
      <c r="AD229" s="39"/>
      <c r="AE229" s="39"/>
      <c r="AF229" s="39"/>
      <c r="AG229" s="39"/>
      <c r="AH229" s="39"/>
    </row>
    <row r="230" spans="2:34" s="41" customFormat="1" ht="15" thickBot="1" x14ac:dyDescent="0.35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3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" thickBot="1" x14ac:dyDescent="0.35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" thickBot="1" x14ac:dyDescent="0.35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3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" thickBot="1" x14ac:dyDescent="0.35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" thickBot="1" x14ac:dyDescent="0.35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3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" thickBot="1" x14ac:dyDescent="0.35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" thickBot="1" x14ac:dyDescent="0.35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3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3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" thickBot="1" x14ac:dyDescent="0.35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" thickBot="1" x14ac:dyDescent="0.35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3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3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" thickBot="1" x14ac:dyDescent="0.35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" thickBot="1" x14ac:dyDescent="0.35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3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3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" thickBot="1" x14ac:dyDescent="0.35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" thickBot="1" x14ac:dyDescent="0.35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3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" thickBot="1" x14ac:dyDescent="0.35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" thickBot="1" x14ac:dyDescent="0.35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" thickBot="1" x14ac:dyDescent="0.35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" thickBot="1" x14ac:dyDescent="0.35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3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3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3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3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" thickBot="1" x14ac:dyDescent="0.35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" thickBot="1" x14ac:dyDescent="0.35">
      <c r="B262" s="43" t="s">
        <v>18</v>
      </c>
    </row>
    <row r="263" spans="2:34" ht="15" thickBot="1" x14ac:dyDescent="0.35">
      <c r="B263" s="45"/>
    </row>
    <row r="264" spans="2:34" s="41" customFormat="1" ht="15" thickBot="1" x14ac:dyDescent="0.35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3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3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3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" thickBot="1" x14ac:dyDescent="0.35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" thickBot="1" x14ac:dyDescent="0.35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3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3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3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3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3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3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3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" thickBot="1" x14ac:dyDescent="0.35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" thickBot="1" x14ac:dyDescent="0.35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3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3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3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" thickBot="1" x14ac:dyDescent="0.35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" thickBot="1" x14ac:dyDescent="0.35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3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" thickBot="1" x14ac:dyDescent="0.35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" thickBot="1" x14ac:dyDescent="0.35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3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3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" thickBot="1" x14ac:dyDescent="0.35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" thickBot="1" x14ac:dyDescent="0.35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3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3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" thickBot="1" x14ac:dyDescent="0.35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" thickBot="1" x14ac:dyDescent="0.35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243098535.28306666</v>
      </c>
      <c r="AD294" s="48">
        <f t="shared" si="81"/>
        <v>241017239.88728809</v>
      </c>
      <c r="AE294" s="48">
        <f t="shared" si="81"/>
        <v>244498228.04704562</v>
      </c>
      <c r="AF294" s="48">
        <f t="shared" si="81"/>
        <v>239069128.65535381</v>
      </c>
      <c r="AG294" s="48">
        <f t="shared" si="81"/>
        <v>240641027.85264659</v>
      </c>
      <c r="AH294" s="48">
        <f t="shared" si="81"/>
        <v>242257676.25056997</v>
      </c>
    </row>
    <row r="295" spans="2:34" x14ac:dyDescent="0.3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3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3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3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BE0A-0635-4203-802C-82AE212B2A62}">
  <dimension ref="A1:Y109"/>
  <sheetViews>
    <sheetView topLeftCell="A61" workbookViewId="0">
      <selection activeCell="A56" sqref="A56"/>
    </sheetView>
  </sheetViews>
  <sheetFormatPr defaultRowHeight="14.4" x14ac:dyDescent="0.3"/>
  <cols>
    <col min="1" max="1" width="9" style="71" bestFit="1" customWidth="1"/>
    <col min="2" max="9" width="14.6640625" style="71" bestFit="1" customWidth="1"/>
    <col min="10" max="10" width="76.44140625" style="71" customWidth="1"/>
    <col min="11" max="25" width="14.6640625" style="71" bestFit="1" customWidth="1"/>
  </cols>
  <sheetData>
    <row r="1" spans="1:25" x14ac:dyDescent="0.3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3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3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3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3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3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3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3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3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3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3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3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3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3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3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3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3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3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3">
      <c r="A20" s="7" t="s">
        <v>139</v>
      </c>
      <c r="B20" s="71" t="str">
        <f>+"["&amp;ROUND(B2,0)&amp;","</f>
        <v>[78580259,</v>
      </c>
      <c r="C20" s="71" t="str">
        <f t="shared" ref="C20:X29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3">
      <c r="A21" s="7" t="s">
        <v>82</v>
      </c>
      <c r="B21" s="71" t="str">
        <f t="shared" ref="B21:B36" si="1">+"["&amp;ROUND(B3,0)&amp;","</f>
        <v>[16708549,</v>
      </c>
      <c r="C21" s="71" t="str">
        <f t="shared" ref="C21:Q21" si="2">+ROUND(C3,0)&amp;","</f>
        <v>16708884,</v>
      </c>
      <c r="D21" s="71" t="str">
        <f t="shared" si="2"/>
        <v>16621239,</v>
      </c>
      <c r="E21" s="71" t="str">
        <f t="shared" si="2"/>
        <v>16912299,</v>
      </c>
      <c r="F21" s="71" t="str">
        <f t="shared" si="2"/>
        <v>17990793,</v>
      </c>
      <c r="G21" s="71" t="str">
        <f t="shared" si="2"/>
        <v>32224595,</v>
      </c>
      <c r="H21" s="71" t="str">
        <f t="shared" si="2"/>
        <v>36010296,</v>
      </c>
      <c r="I21" s="71" t="str">
        <f t="shared" si="2"/>
        <v>35638479,</v>
      </c>
      <c r="J21" s="71" t="str">
        <f t="shared" si="2"/>
        <v>21093263,</v>
      </c>
      <c r="K21" s="71" t="str">
        <f t="shared" si="2"/>
        <v>22353125,</v>
      </c>
      <c r="L21" s="71" t="str">
        <f t="shared" si="2"/>
        <v>22384691,</v>
      </c>
      <c r="M21" s="71" t="str">
        <f t="shared" si="2"/>
        <v>21083590,</v>
      </c>
      <c r="N21" s="71" t="str">
        <f t="shared" si="2"/>
        <v>4248061,</v>
      </c>
      <c r="O21" s="71" t="str">
        <f t="shared" si="2"/>
        <v>15084549,</v>
      </c>
      <c r="P21" s="71" t="str">
        <f t="shared" si="2"/>
        <v>24102254,</v>
      </c>
      <c r="Q21" s="71" t="str">
        <f t="shared" si="2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3">+ROUND(Y3,0)&amp;"]"</f>
        <v>278835991]</v>
      </c>
    </row>
    <row r="22" spans="1:25" x14ac:dyDescent="0.3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3"/>
        <v>25785425]</v>
      </c>
    </row>
    <row r="23" spans="1:25" x14ac:dyDescent="0.3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3"/>
        <v>6823078]</v>
      </c>
    </row>
    <row r="24" spans="1:25" x14ac:dyDescent="0.3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3"/>
        <v>267449255]</v>
      </c>
    </row>
    <row r="25" spans="1:25" x14ac:dyDescent="0.3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3"/>
        <v>6541568]</v>
      </c>
    </row>
    <row r="26" spans="1:25" x14ac:dyDescent="0.3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3"/>
        <v>65841842]</v>
      </c>
    </row>
    <row r="27" spans="1:25" x14ac:dyDescent="0.3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3"/>
        <v>5854585]</v>
      </c>
    </row>
    <row r="28" spans="1:25" x14ac:dyDescent="0.3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3"/>
        <v>280768151]</v>
      </c>
    </row>
    <row r="29" spans="1:25" x14ac:dyDescent="0.3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ref="C29:X36" si="4">+ROUND(L11,0)&amp;","</f>
        <v>0,</v>
      </c>
      <c r="M29" s="71" t="str">
        <f t="shared" si="4"/>
        <v>0,</v>
      </c>
      <c r="N29" s="71" t="str">
        <f t="shared" si="4"/>
        <v>0,</v>
      </c>
      <c r="O29" s="71" t="str">
        <f t="shared" si="4"/>
        <v>0,</v>
      </c>
      <c r="P29" s="71" t="str">
        <f t="shared" si="4"/>
        <v>0,</v>
      </c>
      <c r="Q29" s="71" t="str">
        <f t="shared" si="4"/>
        <v>14725,</v>
      </c>
      <c r="R29" s="71" t="str">
        <f t="shared" si="4"/>
        <v>213958,</v>
      </c>
      <c r="S29" s="71" t="str">
        <f t="shared" si="4"/>
        <v>0,</v>
      </c>
      <c r="T29" s="71" t="str">
        <f t="shared" si="4"/>
        <v>896286,</v>
      </c>
      <c r="U29" s="71" t="str">
        <f t="shared" si="4"/>
        <v>160010,</v>
      </c>
      <c r="V29" s="71" t="str">
        <f t="shared" si="4"/>
        <v>0,</v>
      </c>
      <c r="W29" s="71" t="str">
        <f t="shared" si="4"/>
        <v>0,</v>
      </c>
      <c r="X29" s="71" t="str">
        <f t="shared" si="4"/>
        <v>0,</v>
      </c>
      <c r="Y29" s="71" t="str">
        <f t="shared" si="3"/>
        <v>0]</v>
      </c>
    </row>
    <row r="30" spans="1:25" x14ac:dyDescent="0.3">
      <c r="A30" s="7" t="s">
        <v>79</v>
      </c>
      <c r="B30" s="71" t="str">
        <f t="shared" si="1"/>
        <v>[0,</v>
      </c>
      <c r="C30" s="71" t="str">
        <f t="shared" si="4"/>
        <v>0,</v>
      </c>
      <c r="D30" s="71" t="str">
        <f t="shared" si="4"/>
        <v>0,</v>
      </c>
      <c r="E30" s="71" t="str">
        <f t="shared" si="4"/>
        <v>0,</v>
      </c>
      <c r="F30" s="71" t="str">
        <f t="shared" si="4"/>
        <v>0,</v>
      </c>
      <c r="G30" s="71" t="str">
        <f t="shared" si="4"/>
        <v>0,</v>
      </c>
      <c r="H30" s="71" t="str">
        <f t="shared" si="4"/>
        <v>538569,</v>
      </c>
      <c r="I30" s="71" t="str">
        <f t="shared" si="4"/>
        <v>572238,</v>
      </c>
      <c r="J30" s="71" t="str">
        <f t="shared" si="4"/>
        <v>1564054,</v>
      </c>
      <c r="K30" s="71" t="str">
        <f t="shared" si="4"/>
        <v>1802423,</v>
      </c>
      <c r="L30" s="71" t="str">
        <f t="shared" si="4"/>
        <v>1596326,</v>
      </c>
      <c r="M30" s="71" t="str">
        <f t="shared" si="4"/>
        <v>1432203,</v>
      </c>
      <c r="N30" s="71" t="str">
        <f t="shared" si="4"/>
        <v>1193206,</v>
      </c>
      <c r="O30" s="71" t="str">
        <f t="shared" si="4"/>
        <v>1051750,</v>
      </c>
      <c r="P30" s="71" t="str">
        <f t="shared" si="4"/>
        <v>838164,</v>
      </c>
      <c r="Q30" s="71" t="str">
        <f t="shared" si="4"/>
        <v>14134727,</v>
      </c>
      <c r="R30" s="71" t="str">
        <f t="shared" si="4"/>
        <v>45560280,</v>
      </c>
      <c r="S30" s="71" t="str">
        <f t="shared" si="4"/>
        <v>51668556,</v>
      </c>
      <c r="T30" s="71" t="str">
        <f t="shared" si="4"/>
        <v>65056521,</v>
      </c>
      <c r="U30" s="71" t="str">
        <f t="shared" si="4"/>
        <v>82074179,</v>
      </c>
      <c r="V30" s="71" t="str">
        <f t="shared" si="4"/>
        <v>79857578,</v>
      </c>
      <c r="W30" s="71" t="str">
        <f t="shared" si="4"/>
        <v>83779047,</v>
      </c>
      <c r="X30" s="71" t="str">
        <f t="shared" si="4"/>
        <v>111910967,</v>
      </c>
      <c r="Y30" s="71" t="str">
        <f t="shared" si="3"/>
        <v>130818258]</v>
      </c>
    </row>
    <row r="31" spans="1:25" x14ac:dyDescent="0.3">
      <c r="A31" s="7" t="s">
        <v>175</v>
      </c>
      <c r="B31" s="71" t="str">
        <f t="shared" si="1"/>
        <v>[0,</v>
      </c>
      <c r="C31" s="71" t="str">
        <f t="shared" si="4"/>
        <v>0,</v>
      </c>
      <c r="D31" s="71" t="str">
        <f t="shared" si="4"/>
        <v>0,</v>
      </c>
      <c r="E31" s="71" t="str">
        <f t="shared" si="4"/>
        <v>0,</v>
      </c>
      <c r="F31" s="71" t="str">
        <f t="shared" si="4"/>
        <v>0,</v>
      </c>
      <c r="G31" s="71" t="str">
        <f t="shared" si="4"/>
        <v>0,</v>
      </c>
      <c r="H31" s="71" t="str">
        <f t="shared" si="4"/>
        <v>0,</v>
      </c>
      <c r="I31" s="71" t="str">
        <f t="shared" si="4"/>
        <v>0,</v>
      </c>
      <c r="J31" s="71" t="str">
        <f t="shared" si="4"/>
        <v>0,</v>
      </c>
      <c r="K31" s="71" t="str">
        <f t="shared" si="4"/>
        <v>0,</v>
      </c>
      <c r="L31" s="71" t="str">
        <f t="shared" si="4"/>
        <v>0,</v>
      </c>
      <c r="M31" s="71" t="str">
        <f t="shared" si="4"/>
        <v>0,</v>
      </c>
      <c r="N31" s="71" t="str">
        <f t="shared" si="4"/>
        <v>0,</v>
      </c>
      <c r="O31" s="71" t="str">
        <f t="shared" si="4"/>
        <v>0,</v>
      </c>
      <c r="P31" s="71" t="str">
        <f t="shared" si="4"/>
        <v>0,</v>
      </c>
      <c r="Q31" s="71" t="str">
        <f t="shared" si="4"/>
        <v>0,</v>
      </c>
      <c r="R31" s="71" t="str">
        <f t="shared" si="4"/>
        <v>320876850,</v>
      </c>
      <c r="S31" s="71" t="str">
        <f t="shared" si="4"/>
        <v>459080986,</v>
      </c>
      <c r="T31" s="71" t="str">
        <f t="shared" si="4"/>
        <v>455559619,</v>
      </c>
      <c r="U31" s="71" t="str">
        <f t="shared" si="4"/>
        <v>463818185,</v>
      </c>
      <c r="V31" s="71" t="str">
        <f t="shared" si="4"/>
        <v>445823504,</v>
      </c>
      <c r="W31" s="71" t="str">
        <f t="shared" si="4"/>
        <v>438402962,</v>
      </c>
      <c r="X31" s="71" t="str">
        <f t="shared" si="4"/>
        <v>470271315,</v>
      </c>
      <c r="Y31" s="71" t="str">
        <f t="shared" si="3"/>
        <v>477813507]</v>
      </c>
    </row>
    <row r="32" spans="1:25" x14ac:dyDescent="0.3">
      <c r="A32" s="7" t="s">
        <v>5</v>
      </c>
      <c r="B32" s="71" t="str">
        <f t="shared" si="1"/>
        <v>[0,</v>
      </c>
      <c r="C32" s="71" t="str">
        <f t="shared" si="4"/>
        <v>0,</v>
      </c>
      <c r="D32" s="71" t="str">
        <f t="shared" si="4"/>
        <v>0,</v>
      </c>
      <c r="E32" s="71" t="str">
        <f t="shared" si="4"/>
        <v>0,</v>
      </c>
      <c r="F32" s="71" t="str">
        <f t="shared" si="4"/>
        <v>0,</v>
      </c>
      <c r="G32" s="71" t="str">
        <f t="shared" si="4"/>
        <v>0,</v>
      </c>
      <c r="H32" s="71" t="str">
        <f t="shared" si="4"/>
        <v>0,</v>
      </c>
      <c r="I32" s="71" t="str">
        <f t="shared" si="4"/>
        <v>0,</v>
      </c>
      <c r="J32" s="71" t="str">
        <f t="shared" si="4"/>
        <v>9437,</v>
      </c>
      <c r="K32" s="71" t="str">
        <f t="shared" si="4"/>
        <v>15033,</v>
      </c>
      <c r="L32" s="71" t="str">
        <f t="shared" si="4"/>
        <v>7008,</v>
      </c>
      <c r="M32" s="71" t="str">
        <f t="shared" si="4"/>
        <v>15318,</v>
      </c>
      <c r="N32" s="71" t="str">
        <f t="shared" si="4"/>
        <v>60837,</v>
      </c>
      <c r="O32" s="71" t="str">
        <f t="shared" si="4"/>
        <v>181341,</v>
      </c>
      <c r="P32" s="71" t="str">
        <f t="shared" si="4"/>
        <v>349925,</v>
      </c>
      <c r="Q32" s="71" t="str">
        <f t="shared" si="4"/>
        <v>514654,</v>
      </c>
      <c r="R32" s="71" t="str">
        <f t="shared" si="4"/>
        <v>1545657,</v>
      </c>
      <c r="S32" s="71" t="str">
        <f t="shared" si="4"/>
        <v>2487801,</v>
      </c>
      <c r="T32" s="71" t="str">
        <f t="shared" si="4"/>
        <v>6959717,</v>
      </c>
      <c r="U32" s="71" t="str">
        <f t="shared" si="4"/>
        <v>10275961,</v>
      </c>
      <c r="V32" s="71" t="str">
        <f t="shared" si="4"/>
        <v>12011982,</v>
      </c>
      <c r="W32" s="71" t="str">
        <f t="shared" si="4"/>
        <v>18988210,</v>
      </c>
      <c r="X32" s="71" t="str">
        <f t="shared" si="4"/>
        <v>18779835,</v>
      </c>
      <c r="Y32" s="71" t="str">
        <f t="shared" si="3"/>
        <v>27459977]</v>
      </c>
    </row>
    <row r="33" spans="1:25" x14ac:dyDescent="0.3">
      <c r="A33" s="7" t="s">
        <v>78</v>
      </c>
      <c r="B33" s="71" t="str">
        <f t="shared" si="1"/>
        <v>[20888758,</v>
      </c>
      <c r="C33" s="71" t="str">
        <f t="shared" si="4"/>
        <v>23446088,</v>
      </c>
      <c r="D33" s="71" t="str">
        <f t="shared" si="4"/>
        <v>67753163,</v>
      </c>
      <c r="E33" s="71" t="str">
        <f t="shared" si="4"/>
        <v>74823327,</v>
      </c>
      <c r="F33" s="71" t="str">
        <f t="shared" si="4"/>
        <v>82156425,</v>
      </c>
      <c r="G33" s="71" t="str">
        <f t="shared" si="4"/>
        <v>85718420,</v>
      </c>
      <c r="H33" s="71" t="str">
        <f t="shared" si="4"/>
        <v>83892403,</v>
      </c>
      <c r="I33" s="71" t="str">
        <f t="shared" si="4"/>
        <v>85888544,</v>
      </c>
      <c r="J33" s="71" t="str">
        <f t="shared" si="4"/>
        <v>102825622,</v>
      </c>
      <c r="K33" s="71" t="str">
        <f t="shared" si="4"/>
        <v>115113934,</v>
      </c>
      <c r="L33" s="71" t="str">
        <f t="shared" si="4"/>
        <v>110872800,</v>
      </c>
      <c r="M33" s="71" t="str">
        <f t="shared" si="4"/>
        <v>157250571,</v>
      </c>
      <c r="N33" s="71" t="str">
        <f t="shared" si="4"/>
        <v>123609468,</v>
      </c>
      <c r="O33" s="71" t="str">
        <f t="shared" si="4"/>
        <v>123120222,</v>
      </c>
      <c r="P33" s="71" t="str">
        <f t="shared" si="4"/>
        <v>119703177,</v>
      </c>
      <c r="Q33" s="71" t="str">
        <f t="shared" si="4"/>
        <v>72453270,</v>
      </c>
      <c r="R33" s="71" t="str">
        <f t="shared" si="4"/>
        <v>49638967,</v>
      </c>
      <c r="S33" s="71" t="str">
        <f t="shared" si="4"/>
        <v>52064037,</v>
      </c>
      <c r="T33" s="71" t="str">
        <f t="shared" si="4"/>
        <v>56898910,</v>
      </c>
      <c r="U33" s="71" t="str">
        <f t="shared" si="4"/>
        <v>59897866,</v>
      </c>
      <c r="V33" s="71" t="str">
        <f t="shared" si="4"/>
        <v>60273717,</v>
      </c>
      <c r="W33" s="71" t="str">
        <f t="shared" si="4"/>
        <v>59502552,</v>
      </c>
      <c r="X33" s="71" t="str">
        <f t="shared" si="4"/>
        <v>66824756,</v>
      </c>
      <c r="Y33" s="71" t="str">
        <f t="shared" si="3"/>
        <v>70949629]</v>
      </c>
    </row>
    <row r="34" spans="1:25" x14ac:dyDescent="0.3">
      <c r="A34" s="7" t="s">
        <v>105</v>
      </c>
      <c r="B34" s="71" t="str">
        <f t="shared" si="1"/>
        <v>[804260,</v>
      </c>
      <c r="C34" s="71" t="str">
        <f t="shared" si="4"/>
        <v>814410,</v>
      </c>
      <c r="D34" s="71" t="str">
        <f t="shared" si="4"/>
        <v>791282,</v>
      </c>
      <c r="E34" s="71" t="str">
        <f t="shared" si="4"/>
        <v>745680,</v>
      </c>
      <c r="F34" s="71" t="str">
        <f t="shared" si="4"/>
        <v>797608,</v>
      </c>
      <c r="G34" s="71" t="str">
        <f t="shared" si="4"/>
        <v>793505,</v>
      </c>
      <c r="H34" s="71" t="str">
        <f t="shared" si="4"/>
        <v>807322,</v>
      </c>
      <c r="I34" s="71" t="str">
        <f t="shared" si="4"/>
        <v>15497985,</v>
      </c>
      <c r="J34" s="71" t="str">
        <f t="shared" si="4"/>
        <v>23015254,</v>
      </c>
      <c r="K34" s="71" t="str">
        <f t="shared" si="4"/>
        <v>29554013,</v>
      </c>
      <c r="L34" s="71" t="str">
        <f t="shared" si="4"/>
        <v>28143333,</v>
      </c>
      <c r="M34" s="71" t="str">
        <f t="shared" si="4"/>
        <v>27963364,</v>
      </c>
      <c r="N34" s="71" t="str">
        <f t="shared" si="4"/>
        <v>287271,</v>
      </c>
      <c r="O34" s="71" t="str">
        <f t="shared" si="4"/>
        <v>295912,</v>
      </c>
      <c r="P34" s="71" t="str">
        <f t="shared" si="4"/>
        <v>313517,</v>
      </c>
      <c r="Q34" s="71" t="str">
        <f t="shared" si="4"/>
        <v>300998,</v>
      </c>
      <c r="R34" s="71" t="str">
        <f t="shared" si="4"/>
        <v>430152,</v>
      </c>
      <c r="S34" s="71" t="str">
        <f t="shared" si="4"/>
        <v>1240330,</v>
      </c>
      <c r="T34" s="71" t="str">
        <f t="shared" si="4"/>
        <v>1797782,</v>
      </c>
      <c r="U34" s="71" t="str">
        <f t="shared" si="4"/>
        <v>1041960,</v>
      </c>
      <c r="V34" s="71" t="str">
        <f t="shared" si="4"/>
        <v>903156,</v>
      </c>
      <c r="W34" s="71" t="str">
        <f t="shared" si="4"/>
        <v>927638,</v>
      </c>
      <c r="X34" s="71" t="str">
        <f t="shared" si="4"/>
        <v>777067,</v>
      </c>
      <c r="Y34" s="71" t="str">
        <f t="shared" si="3"/>
        <v>630153]</v>
      </c>
    </row>
    <row r="35" spans="1:25" x14ac:dyDescent="0.3">
      <c r="A35" s="7" t="s">
        <v>161</v>
      </c>
      <c r="B35" s="71" t="str">
        <f t="shared" si="1"/>
        <v>[0,</v>
      </c>
      <c r="C35" s="71" t="str">
        <f t="shared" si="4"/>
        <v>0,</v>
      </c>
      <c r="D35" s="71" t="str">
        <f t="shared" si="4"/>
        <v>0,</v>
      </c>
      <c r="E35" s="71" t="str">
        <f t="shared" si="4"/>
        <v>0,</v>
      </c>
      <c r="F35" s="71" t="str">
        <f t="shared" si="4"/>
        <v>0,</v>
      </c>
      <c r="G35" s="71" t="str">
        <f t="shared" si="4"/>
        <v>0,</v>
      </c>
      <c r="H35" s="71" t="str">
        <f t="shared" si="4"/>
        <v>3029896,</v>
      </c>
      <c r="I35" s="71" t="str">
        <f t="shared" si="4"/>
        <v>7758596,</v>
      </c>
      <c r="J35" s="71" t="str">
        <f t="shared" si="4"/>
        <v>1545856,</v>
      </c>
      <c r="K35" s="71" t="str">
        <f t="shared" si="4"/>
        <v>4340800,</v>
      </c>
      <c r="L35" s="71" t="str">
        <f t="shared" si="4"/>
        <v>3509131,</v>
      </c>
      <c r="M35" s="71" t="str">
        <f t="shared" si="4"/>
        <v>5934021,</v>
      </c>
      <c r="N35" s="71" t="str">
        <f t="shared" si="4"/>
        <v>11771289,</v>
      </c>
      <c r="O35" s="71" t="str">
        <f t="shared" si="4"/>
        <v>21235066,</v>
      </c>
      <c r="P35" s="71" t="str">
        <f t="shared" si="4"/>
        <v>35141119,</v>
      </c>
      <c r="Q35" s="71" t="str">
        <f t="shared" si="4"/>
        <v>44497769,</v>
      </c>
      <c r="R35" s="71" t="str">
        <f t="shared" si="4"/>
        <v>55341924,</v>
      </c>
      <c r="S35" s="71" t="str">
        <f t="shared" si="4"/>
        <v>66664537,</v>
      </c>
      <c r="T35" s="71" t="str">
        <f t="shared" si="4"/>
        <v>93092909,</v>
      </c>
      <c r="U35" s="71" t="str">
        <f t="shared" si="4"/>
        <v>126525666,</v>
      </c>
      <c r="V35" s="71" t="str">
        <f t="shared" si="4"/>
        <v>142261312,</v>
      </c>
      <c r="W35" s="71" t="str">
        <f t="shared" si="4"/>
        <v>142479003,</v>
      </c>
      <c r="X35" s="71" t="str">
        <f t="shared" si="4"/>
        <v>166422083,</v>
      </c>
      <c r="Y35" s="71" t="str">
        <f t="shared" si="3"/>
        <v>173751395]</v>
      </c>
    </row>
    <row r="36" spans="1:25" x14ac:dyDescent="0.3">
      <c r="A36" s="7" t="s">
        <v>6</v>
      </c>
      <c r="B36" s="71" t="str">
        <f t="shared" si="1"/>
        <v>[0,</v>
      </c>
      <c r="C36" s="71" t="str">
        <f t="shared" si="4"/>
        <v>0,</v>
      </c>
      <c r="D36" s="71" t="str">
        <f t="shared" si="4"/>
        <v>0,</v>
      </c>
      <c r="E36" s="71" t="str">
        <f t="shared" si="4"/>
        <v>0,</v>
      </c>
      <c r="F36" s="71" t="str">
        <f t="shared" si="4"/>
        <v>0,</v>
      </c>
      <c r="G36" s="71" t="str">
        <f t="shared" si="4"/>
        <v>0,</v>
      </c>
      <c r="H36" s="71" t="str">
        <f t="shared" si="4"/>
        <v>0,</v>
      </c>
      <c r="I36" s="71" t="str">
        <f t="shared" si="4"/>
        <v>6301,</v>
      </c>
      <c r="J36" s="71" t="str">
        <f t="shared" si="4"/>
        <v>1716888,</v>
      </c>
      <c r="K36" s="71" t="str">
        <f t="shared" si="4"/>
        <v>1579536,</v>
      </c>
      <c r="L36" s="71" t="str">
        <f t="shared" si="4"/>
        <v>9327524,</v>
      </c>
      <c r="M36" s="71" t="str">
        <f t="shared" si="4"/>
        <v>23147609,</v>
      </c>
      <c r="N36" s="71" t="str">
        <f t="shared" si="4"/>
        <v>41170015,</v>
      </c>
      <c r="O36" s="71" t="str">
        <f t="shared" si="4"/>
        <v>66222136,</v>
      </c>
      <c r="P36" s="71" t="str">
        <f t="shared" si="4"/>
        <v>89756384,</v>
      </c>
      <c r="Q36" s="71" t="str">
        <f t="shared" si="4"/>
        <v>107603981,</v>
      </c>
      <c r="R36" s="71" t="str">
        <f t="shared" si="4"/>
        <v>127327221,</v>
      </c>
      <c r="S36" s="71" t="str">
        <f t="shared" si="4"/>
        <v>136528866,</v>
      </c>
      <c r="T36" s="71" t="str">
        <f t="shared" si="4"/>
        <v>145562505,</v>
      </c>
      <c r="U36" s="71" t="str">
        <f t="shared" si="4"/>
        <v>141811833,</v>
      </c>
      <c r="V36" s="71" t="str">
        <f t="shared" si="4"/>
        <v>160800233,</v>
      </c>
      <c r="W36" s="71" t="str">
        <f t="shared" si="4"/>
        <v>186996097,</v>
      </c>
      <c r="X36" s="71" t="str">
        <f t="shared" si="4"/>
        <v>209165466,</v>
      </c>
      <c r="Y36" s="71" t="str">
        <f t="shared" si="3"/>
        <v>205938451]</v>
      </c>
    </row>
    <row r="38" spans="1:25" x14ac:dyDescent="0.3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3">
      <c r="A39" s="7" t="s">
        <v>82</v>
      </c>
      <c r="B39" s="71" t="str">
        <f t="shared" ref="B39:B54" si="5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3">
      <c r="A40" s="7" t="s">
        <v>7</v>
      </c>
      <c r="B40" s="71" t="str">
        <f t="shared" si="5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3">
      <c r="A41" s="7" t="s">
        <v>86</v>
      </c>
      <c r="B41" s="71" t="str">
        <f t="shared" si="5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3">
      <c r="A42" s="7" t="s">
        <v>84</v>
      </c>
      <c r="B42" s="71" t="str">
        <f t="shared" si="5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3">
      <c r="A43" s="7" t="s">
        <v>73</v>
      </c>
      <c r="B43" s="71" t="str">
        <f t="shared" si="5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3">
      <c r="A44" s="7" t="s">
        <v>74</v>
      </c>
      <c r="B44" s="71" t="str">
        <f t="shared" si="5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3">
      <c r="A45" s="7" t="s">
        <v>77</v>
      </c>
      <c r="B45" s="71" t="str">
        <f t="shared" si="5"/>
        <v>[4569987,2613786,2314795,4993057,6731550,5829501,2388879,2682334,5503855,6149963,2755123,3016434,2770512,2616818,0,0,0,0,0,2577182,2545601,5826577,5816636,5854585],</v>
      </c>
    </row>
    <row r="46" spans="1:25" x14ac:dyDescent="0.3">
      <c r="A46" s="7" t="s">
        <v>1</v>
      </c>
      <c r="B46" s="71" t="str">
        <f t="shared" si="5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3">
      <c r="A47" s="7" t="s">
        <v>142</v>
      </c>
      <c r="B47" s="71" t="str">
        <f t="shared" si="5"/>
        <v>[77148,78898,77949,0,0,0,0,0,0,0,0,0,0,0,0,14725,213958,0,896286,160010,0,0,0,0],</v>
      </c>
    </row>
    <row r="48" spans="1:25" x14ac:dyDescent="0.3">
      <c r="A48" s="7" t="s">
        <v>79</v>
      </c>
      <c r="B48" s="71" t="str">
        <f t="shared" si="5"/>
        <v>[0,0,0,0,0,0,538569,572238,1564054,1802423,1596326,1432203,1193206,1051750,838164,14134727,45560280,51668556,65056521,82074179,79857578,83779047,111910967,130818258],</v>
      </c>
    </row>
    <row r="49" spans="1:2" x14ac:dyDescent="0.3">
      <c r="A49" s="7" t="s">
        <v>175</v>
      </c>
      <c r="B49" s="71" t="str">
        <f t="shared" si="5"/>
        <v>[0,0,0,0,0,0,0,0,0,0,0,0,0,0,0,0,320876850,459080986,455559619,463818185,445823504,438402962,470271315,477813507],</v>
      </c>
    </row>
    <row r="50" spans="1:2" x14ac:dyDescent="0.3">
      <c r="A50" s="7" t="s">
        <v>5</v>
      </c>
      <c r="B50" s="71" t="str">
        <f t="shared" si="5"/>
        <v>[0,0,0,0,0,0,0,0,9437,15033,7008,15318,60837,181341,349925,514654,1545657,2487801,6959717,10275961,12011982,18988210,18779835,27459977],</v>
      </c>
    </row>
    <row r="51" spans="1:2" x14ac:dyDescent="0.3">
      <c r="A51" s="7" t="s">
        <v>78</v>
      </c>
      <c r="B51" s="71" t="str">
        <f t="shared" si="5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3">
      <c r="A52" s="7" t="s">
        <v>105</v>
      </c>
      <c r="B52" s="71" t="str">
        <f t="shared" si="5"/>
        <v>[804260,814410,791282,745680,797608,793505,807322,15497985,23015254,29554013,28143333,27963364,287271,295912,313517,300998,430152,1240330,1797782,1041960,903156,927638,777067,630153],</v>
      </c>
    </row>
    <row r="53" spans="1:2" x14ac:dyDescent="0.3">
      <c r="A53" s="7" t="s">
        <v>161</v>
      </c>
      <c r="B53" s="71" t="str">
        <f t="shared" si="5"/>
        <v>[0,0,0,0,0,0,3029896,7758596,1545856,4340800,3509131,5934021,11771289,21235066,35141119,44497769,55341924,66664537,93092909,126525666,142261312,142479003,166422083,173751395],</v>
      </c>
    </row>
    <row r="54" spans="1:2" x14ac:dyDescent="0.3">
      <c r="A54" s="7" t="s">
        <v>6</v>
      </c>
      <c r="B54" s="71" t="str">
        <f t="shared" si="5"/>
        <v>[0,0,0,0,0,0,0,6301,1716888,1579536,9327524,23147609,41170015,66222136,89756384,107603981,127327221,136528866,145562505,141811833,160800233,186996097,209165466,205938451],</v>
      </c>
    </row>
    <row r="56" spans="1:2" x14ac:dyDescent="0.3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3">
      <c r="A57" s="71" t="str">
        <f t="shared" ref="A57:A72" si="6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3">
      <c r="A58" s="71" t="str">
        <f t="shared" si="6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3">
      <c r="A59" s="71" t="str">
        <f t="shared" si="6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3">
      <c r="A60" s="71" t="str">
        <f t="shared" si="6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3">
      <c r="A61" s="71" t="str">
        <f t="shared" si="6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3">
      <c r="A62" s="71" t="str">
        <f t="shared" si="6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3">
      <c r="A63" s="71" t="str">
        <f t="shared" si="6"/>
        <v>"DTwP-Hib": [4569987,2613786,2314795,4993057,6731550,5829501,2388879,2682334,5503855,6149963,2755123,3016434,2770512,2616818,0,0,0,0,0,2577182,2545601,5826577,5816636,5854585],</v>
      </c>
    </row>
    <row r="64" spans="1:2" x14ac:dyDescent="0.3">
      <c r="A64" s="71" t="str">
        <f t="shared" si="6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3">
      <c r="A65" s="71" t="str">
        <f t="shared" si="6"/>
        <v>"Hexa": [77148,78898,77949,0,0,0,0,0,0,0,0,0,0,0,0,14725,213958,0,896286,160010,0,0,0,0],</v>
      </c>
    </row>
    <row r="66" spans="1:1" x14ac:dyDescent="0.3">
      <c r="A66" s="71" t="str">
        <f t="shared" si="6"/>
        <v>"IPV": [0,0,0,0,0,0,538569,572238,1564054,1802423,1596326,1432203,1193206,1051750,838164,14134727,45560280,51668556,65056521,82074179,79857578,83779047,111910967,130818258],</v>
      </c>
    </row>
    <row r="67" spans="1:1" x14ac:dyDescent="0.3">
      <c r="A67" s="71" t="str">
        <f t="shared" si="6"/>
        <v>"OPV": [0,0,0,0,0,0,0,0,0,0,0,0,0,0,0,0,320876850,459080986,455559619,463818185,445823504,438402962,470271315,477813507],</v>
      </c>
    </row>
    <row r="68" spans="1:1" x14ac:dyDescent="0.3">
      <c r="A68" s="71" t="str">
        <f t="shared" si="6"/>
        <v>"HPV": [0,0,0,0,0,0,0,0,9437,15033,7008,15318,60837,181341,349925,514654,1545657,2487801,6959717,10275961,12011982,18988210,18779835,27459977],</v>
      </c>
    </row>
    <row r="69" spans="1:1" x14ac:dyDescent="0.3">
      <c r="A69" s="71" t="str">
        <f t="shared" si="6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3">
      <c r="A70" s="71" t="str">
        <f t="shared" si="6"/>
        <v>"Hib": [804260,814410,791282,745680,797608,793505,807322,15497985,23015254,29554013,28143333,27963364,287271,295912,313517,300998,430152,1240330,1797782,1041960,903156,927638,777067,630153],</v>
      </c>
    </row>
    <row r="71" spans="1:1" x14ac:dyDescent="0.3">
      <c r="A71" s="71" t="str">
        <f t="shared" si="6"/>
        <v>"Rotavirus": [0,0,0,0,0,0,3029896,7758596,1545856,4340800,3509131,5934021,11771289,21235066,35141119,44497769,55341924,66664537,93092909,126525666,142261312,142479003,166422083,173751395],</v>
      </c>
    </row>
    <row r="72" spans="1:1" x14ac:dyDescent="0.3">
      <c r="A72" s="71" t="str">
        <f t="shared" si="6"/>
        <v>"PCV": [0,0,0,0,0,0,0,6301,1716888,1579536,9327524,23147609,41170015,66222136,89756384,107603981,127327221,136528866,145562505,141811833,160800233,186996097,209165466,205938451],</v>
      </c>
    </row>
    <row r="74" spans="1:1" x14ac:dyDescent="0.3">
      <c r="A74" s="71" t="str">
        <f t="shared" ref="A74:A90" si="7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3">
      <c r="A75" s="71" t="str">
        <f t="shared" si="7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3">
      <c r="A76" s="71" t="str">
        <f t="shared" si="7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3">
      <c r="A77" s="71" t="str">
        <f t="shared" si="7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3">
      <c r="A78" s="71" t="str">
        <f t="shared" si="7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3">
      <c r="A79" s="71" t="str">
        <f t="shared" si="7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3">
      <c r="A80" s="71" t="str">
        <f t="shared" si="7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3">
      <c r="A81" s="71" t="str">
        <f t="shared" si="7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3">
      <c r="A82" s="71" t="str">
        <f t="shared" si="7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3">
      <c r="A83" s="71" t="str">
        <f t="shared" si="7"/>
        <v xml:space="preserve">"Hexa": [77148,78898,77949,0,0,0,0,0,0,0,0,0,0,0,0,14725,213958,0,896286,160010,0,0,0,0],: </v>
      </c>
    </row>
    <row r="84" spans="1:10" x14ac:dyDescent="0.3">
      <c r="A84" s="71" t="str">
        <f t="shared" si="7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3">
      <c r="A85" s="71" t="str">
        <f t="shared" si="7"/>
        <v xml:space="preserve">"OPV": [0,0,0,0,0,0,0,0,0,0,0,0,0,0,0,0,320876850,459080986,455559619,463818185,445823504,438402962,470271315,477813507],: </v>
      </c>
    </row>
    <row r="86" spans="1:10" x14ac:dyDescent="0.3">
      <c r="A86" s="71" t="str">
        <f t="shared" si="7"/>
        <v xml:space="preserve">"HPV": [0,0,0,0,0,0,0,0,9437,15033,7008,15318,60837,181341,349925,514654,1545657,2487801,6959717,10275961,12011982,18988210,18779835,27459977],: </v>
      </c>
    </row>
    <row r="87" spans="1:10" x14ac:dyDescent="0.3">
      <c r="A87" s="71" t="str">
        <f t="shared" si="7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3">
      <c r="A88" s="71" t="str">
        <f t="shared" si="7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3">
      <c r="A89" s="71" t="str">
        <f t="shared" si="7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3">
      <c r="A90" s="71" t="str">
        <f t="shared" si="7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3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57.6" x14ac:dyDescent="0.3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5</v>
      </c>
      <c r="H93" s="74">
        <v>0.566218725991401</v>
      </c>
      <c r="J93" s="76" t="s">
        <v>186</v>
      </c>
    </row>
    <row r="94" spans="1:10" x14ac:dyDescent="0.3">
      <c r="A94" s="7" t="s">
        <v>82</v>
      </c>
      <c r="B94" s="74">
        <v>0.60176670378566299</v>
      </c>
      <c r="C94" s="7" t="s">
        <v>82</v>
      </c>
      <c r="D94" s="74">
        <v>0.60176670378566299</v>
      </c>
      <c r="E94" s="7" t="s">
        <v>84</v>
      </c>
      <c r="F94" s="74">
        <v>0.52495778815762095</v>
      </c>
      <c r="G94" s="7" t="s">
        <v>161</v>
      </c>
      <c r="H94" s="75">
        <v>0.78385614450002705</v>
      </c>
    </row>
    <row r="95" spans="1:10" x14ac:dyDescent="0.3">
      <c r="A95" s="7" t="s">
        <v>7</v>
      </c>
      <c r="B95" s="73">
        <v>3.5671476343220798E-3</v>
      </c>
      <c r="C95" s="7" t="s">
        <v>7</v>
      </c>
      <c r="D95" s="73">
        <v>3.5671476343220798E-3</v>
      </c>
      <c r="E95" s="7" t="s">
        <v>73</v>
      </c>
      <c r="F95" s="74">
        <v>0.658732446387158</v>
      </c>
      <c r="G95" s="7" t="s">
        <v>6</v>
      </c>
      <c r="H95" s="75">
        <v>0.88316128259450699</v>
      </c>
      <c r="J95" s="71" t="s">
        <v>187</v>
      </c>
    </row>
    <row r="96" spans="1:10" x14ac:dyDescent="0.3">
      <c r="A96" s="7" t="s">
        <v>86</v>
      </c>
      <c r="B96" s="73">
        <v>2.8222915579930501E-2</v>
      </c>
      <c r="E96" s="7" t="s">
        <v>74</v>
      </c>
      <c r="F96" s="75">
        <v>0.92235049618967202</v>
      </c>
    </row>
    <row r="97" spans="1:6" x14ac:dyDescent="0.3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3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3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3">
      <c r="A100" s="7" t="s">
        <v>77</v>
      </c>
      <c r="B100" s="73">
        <v>3.55220047548402E-2</v>
      </c>
      <c r="E100" s="7" t="s">
        <v>79</v>
      </c>
      <c r="F100" s="75">
        <v>0.71135552976522598</v>
      </c>
    </row>
    <row r="101" spans="1:6" x14ac:dyDescent="0.3">
      <c r="A101" s="7" t="s">
        <v>1</v>
      </c>
      <c r="B101" s="75">
        <v>0.94736317707128803</v>
      </c>
      <c r="E101" s="7" t="s">
        <v>175</v>
      </c>
      <c r="F101" s="74">
        <v>0.68208483127570896</v>
      </c>
    </row>
    <row r="102" spans="1:6" x14ac:dyDescent="0.3">
      <c r="A102" s="7" t="s">
        <v>142</v>
      </c>
      <c r="B102" s="73">
        <v>3.40198639357304E-2</v>
      </c>
      <c r="E102" s="7" t="s">
        <v>78</v>
      </c>
      <c r="F102" s="73">
        <v>6.62294170170607E-5</v>
      </c>
    </row>
    <row r="103" spans="1:6" x14ac:dyDescent="0.3">
      <c r="A103" s="7" t="s">
        <v>79</v>
      </c>
      <c r="B103" s="75">
        <v>0.71135552976522598</v>
      </c>
      <c r="E103" s="7" t="s">
        <v>105</v>
      </c>
      <c r="F103" s="73">
        <v>2.51408842676289E-2</v>
      </c>
    </row>
    <row r="104" spans="1:6" x14ac:dyDescent="0.3">
      <c r="A104" s="7" t="s">
        <v>175</v>
      </c>
      <c r="B104" s="74">
        <v>0.68208483127570896</v>
      </c>
    </row>
    <row r="105" spans="1:6" x14ac:dyDescent="0.3">
      <c r="A105" s="7" t="s">
        <v>78</v>
      </c>
      <c r="B105" s="73">
        <v>6.62294170170607E-5</v>
      </c>
    </row>
    <row r="106" spans="1:6" x14ac:dyDescent="0.3">
      <c r="A106" s="7" t="s">
        <v>105</v>
      </c>
      <c r="B106" s="73">
        <v>2.51408842676289E-2</v>
      </c>
    </row>
    <row r="107" spans="1:6" x14ac:dyDescent="0.3">
      <c r="A107" s="7" t="s">
        <v>5</v>
      </c>
      <c r="B107" s="74">
        <v>0.566218725991401</v>
      </c>
    </row>
    <row r="108" spans="1:6" x14ac:dyDescent="0.3">
      <c r="A108" s="7" t="s">
        <v>161</v>
      </c>
      <c r="B108" s="75">
        <v>0.78385614450002705</v>
      </c>
    </row>
    <row r="109" spans="1:6" x14ac:dyDescent="0.3">
      <c r="A109" s="7" t="s">
        <v>6</v>
      </c>
      <c r="B109" s="75">
        <v>0.88316128259450699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FA8E-06C2-4975-AAF4-172A7FB3A152}">
  <dimension ref="A1:Y110"/>
  <sheetViews>
    <sheetView topLeftCell="A93" workbookViewId="0">
      <selection activeCell="J102" sqref="J102"/>
    </sheetView>
  </sheetViews>
  <sheetFormatPr defaultRowHeight="14.4" x14ac:dyDescent="0.3"/>
  <cols>
    <col min="1" max="1" width="9" style="71" bestFit="1" customWidth="1"/>
    <col min="2" max="9" width="14.6640625" style="71" bestFit="1" customWidth="1"/>
    <col min="10" max="10" width="76.44140625" style="71" customWidth="1"/>
    <col min="11" max="25" width="14.6640625" style="71" bestFit="1" customWidth="1"/>
  </cols>
  <sheetData>
    <row r="1" spans="1:25" x14ac:dyDescent="0.3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3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3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3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3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3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3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3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3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3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3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3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3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3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3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3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3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3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3">
      <c r="A20" s="7" t="s">
        <v>139</v>
      </c>
      <c r="B20" s="71" t="str">
        <f>+"["&amp;ROUND(B2,0)&amp;","</f>
        <v>[78580259,</v>
      </c>
      <c r="C20" s="71" t="str">
        <f t="shared" ref="C20:X31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3">
      <c r="A21" s="7" t="s">
        <v>82</v>
      </c>
      <c r="B21" s="71" t="str">
        <f t="shared" ref="B21:B36" si="1">+"["&amp;ROUND(B3,0)&amp;","</f>
        <v>[16708549,</v>
      </c>
      <c r="C21" s="71" t="str">
        <f t="shared" si="0"/>
        <v>16708884,</v>
      </c>
      <c r="D21" s="71" t="str">
        <f t="shared" si="0"/>
        <v>16621239,</v>
      </c>
      <c r="E21" s="71" t="str">
        <f t="shared" si="0"/>
        <v>16912299,</v>
      </c>
      <c r="F21" s="71" t="str">
        <f t="shared" si="0"/>
        <v>17990793,</v>
      </c>
      <c r="G21" s="71" t="str">
        <f t="shared" si="0"/>
        <v>32224595,</v>
      </c>
      <c r="H21" s="71" t="str">
        <f t="shared" si="0"/>
        <v>36010296,</v>
      </c>
      <c r="I21" s="71" t="str">
        <f t="shared" si="0"/>
        <v>35638479,</v>
      </c>
      <c r="J21" s="71" t="str">
        <f t="shared" si="0"/>
        <v>21093263,</v>
      </c>
      <c r="K21" s="71" t="str">
        <f t="shared" si="0"/>
        <v>22353125,</v>
      </c>
      <c r="L21" s="71" t="str">
        <f t="shared" si="0"/>
        <v>22384691,</v>
      </c>
      <c r="M21" s="71" t="str">
        <f t="shared" si="0"/>
        <v>21083590,</v>
      </c>
      <c r="N21" s="71" t="str">
        <f t="shared" si="0"/>
        <v>4248061,</v>
      </c>
      <c r="O21" s="71" t="str">
        <f t="shared" si="0"/>
        <v>15084549,</v>
      </c>
      <c r="P21" s="71" t="str">
        <f t="shared" si="0"/>
        <v>24102254,</v>
      </c>
      <c r="Q21" s="71" t="str">
        <f t="shared" si="0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2">+ROUND(Y3,0)&amp;"]"</f>
        <v>278835991]</v>
      </c>
    </row>
    <row r="22" spans="1:25" x14ac:dyDescent="0.3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2"/>
        <v>25785425]</v>
      </c>
    </row>
    <row r="23" spans="1:25" x14ac:dyDescent="0.3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2"/>
        <v>6823078]</v>
      </c>
    </row>
    <row r="24" spans="1:25" x14ac:dyDescent="0.3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2"/>
        <v>267449255]</v>
      </c>
    </row>
    <row r="25" spans="1:25" x14ac:dyDescent="0.3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2"/>
        <v>6541568]</v>
      </c>
    </row>
    <row r="26" spans="1:25" x14ac:dyDescent="0.3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2"/>
        <v>65841842]</v>
      </c>
    </row>
    <row r="27" spans="1:25" x14ac:dyDescent="0.3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2"/>
        <v>5854585]</v>
      </c>
    </row>
    <row r="28" spans="1:25" x14ac:dyDescent="0.3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2"/>
        <v>280768151]</v>
      </c>
    </row>
    <row r="29" spans="1:25" x14ac:dyDescent="0.3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si="0"/>
        <v>0,</v>
      </c>
      <c r="M29" s="71" t="str">
        <f t="shared" si="0"/>
        <v>0,</v>
      </c>
      <c r="N29" s="71" t="str">
        <f t="shared" si="0"/>
        <v>0,</v>
      </c>
      <c r="O29" s="71" t="str">
        <f t="shared" si="0"/>
        <v>0,</v>
      </c>
      <c r="P29" s="71" t="str">
        <f t="shared" si="0"/>
        <v>0,</v>
      </c>
      <c r="Q29" s="71" t="str">
        <f t="shared" si="0"/>
        <v>14725,</v>
      </c>
      <c r="R29" s="71" t="str">
        <f t="shared" si="0"/>
        <v>213958,</v>
      </c>
      <c r="S29" s="71" t="str">
        <f t="shared" si="0"/>
        <v>0,</v>
      </c>
      <c r="T29" s="71" t="str">
        <f t="shared" si="0"/>
        <v>896286,</v>
      </c>
      <c r="U29" s="71" t="str">
        <f t="shared" si="0"/>
        <v>160010,</v>
      </c>
      <c r="V29" s="71" t="str">
        <f t="shared" si="0"/>
        <v>0,</v>
      </c>
      <c r="W29" s="71" t="str">
        <f t="shared" si="0"/>
        <v>0,</v>
      </c>
      <c r="X29" s="71" t="str">
        <f t="shared" si="0"/>
        <v>0,</v>
      </c>
      <c r="Y29" s="71" t="str">
        <f t="shared" si="2"/>
        <v>0]</v>
      </c>
    </row>
    <row r="30" spans="1:25" x14ac:dyDescent="0.3">
      <c r="A30" s="7" t="s">
        <v>79</v>
      </c>
      <c r="B30" s="71" t="str">
        <f t="shared" si="1"/>
        <v>[0,</v>
      </c>
      <c r="C30" s="71" t="str">
        <f t="shared" si="0"/>
        <v>0,</v>
      </c>
      <c r="D30" s="71" t="str">
        <f t="shared" si="0"/>
        <v>0,</v>
      </c>
      <c r="E30" s="71" t="str">
        <f t="shared" si="0"/>
        <v>0,</v>
      </c>
      <c r="F30" s="71" t="str">
        <f t="shared" si="0"/>
        <v>0,</v>
      </c>
      <c r="G30" s="71" t="str">
        <f t="shared" si="0"/>
        <v>0,</v>
      </c>
      <c r="H30" s="71" t="str">
        <f t="shared" si="0"/>
        <v>538569,</v>
      </c>
      <c r="I30" s="71" t="str">
        <f t="shared" si="0"/>
        <v>572238,</v>
      </c>
      <c r="J30" s="71" t="str">
        <f t="shared" si="0"/>
        <v>1564054,</v>
      </c>
      <c r="K30" s="71" t="str">
        <f t="shared" si="0"/>
        <v>1802423,</v>
      </c>
      <c r="L30" s="71" t="str">
        <f t="shared" si="0"/>
        <v>1596326,</v>
      </c>
      <c r="M30" s="71" t="str">
        <f t="shared" si="0"/>
        <v>1432203,</v>
      </c>
      <c r="N30" s="71" t="str">
        <f t="shared" si="0"/>
        <v>1193206,</v>
      </c>
      <c r="O30" s="71" t="str">
        <f t="shared" si="0"/>
        <v>1051750,</v>
      </c>
      <c r="P30" s="71" t="str">
        <f t="shared" si="0"/>
        <v>838164,</v>
      </c>
      <c r="Q30" s="71" t="str">
        <f t="shared" si="0"/>
        <v>14134727,</v>
      </c>
      <c r="R30" s="71" t="str">
        <f t="shared" si="0"/>
        <v>45560280,</v>
      </c>
      <c r="S30" s="71" t="str">
        <f t="shared" si="0"/>
        <v>51668556,</v>
      </c>
      <c r="T30" s="71" t="str">
        <f t="shared" si="0"/>
        <v>65056521,</v>
      </c>
      <c r="U30" s="71" t="str">
        <f t="shared" si="0"/>
        <v>82074179,</v>
      </c>
      <c r="V30" s="71" t="str">
        <f t="shared" si="0"/>
        <v>79857578,</v>
      </c>
      <c r="W30" s="71" t="str">
        <f t="shared" si="0"/>
        <v>83779047,</v>
      </c>
      <c r="X30" s="71" t="str">
        <f t="shared" si="0"/>
        <v>111910967,</v>
      </c>
      <c r="Y30" s="71" t="str">
        <f t="shared" si="2"/>
        <v>130818258]</v>
      </c>
    </row>
    <row r="31" spans="1:25" x14ac:dyDescent="0.3">
      <c r="A31" s="7" t="s">
        <v>175</v>
      </c>
      <c r="B31" s="71" t="str">
        <f t="shared" si="1"/>
        <v>[0,</v>
      </c>
      <c r="C31" s="71" t="str">
        <f t="shared" si="0"/>
        <v>0,</v>
      </c>
      <c r="D31" s="71" t="str">
        <f t="shared" si="0"/>
        <v>0,</v>
      </c>
      <c r="E31" s="71" t="str">
        <f t="shared" si="0"/>
        <v>0,</v>
      </c>
      <c r="F31" s="71" t="str">
        <f t="shared" si="0"/>
        <v>0,</v>
      </c>
      <c r="G31" s="71" t="str">
        <f t="shared" si="0"/>
        <v>0,</v>
      </c>
      <c r="H31" s="71" t="str">
        <f t="shared" si="0"/>
        <v>0,</v>
      </c>
      <c r="I31" s="71" t="str">
        <f t="shared" si="0"/>
        <v>0,</v>
      </c>
      <c r="J31" s="71" t="str">
        <f t="shared" si="0"/>
        <v>0,</v>
      </c>
      <c r="K31" s="71" t="str">
        <f t="shared" si="0"/>
        <v>0,</v>
      </c>
      <c r="L31" s="71" t="str">
        <f t="shared" si="0"/>
        <v>0,</v>
      </c>
      <c r="M31" s="71" t="str">
        <f t="shared" si="0"/>
        <v>0,</v>
      </c>
      <c r="N31" s="71" t="str">
        <f t="shared" si="0"/>
        <v>0,</v>
      </c>
      <c r="O31" s="71" t="str">
        <f t="shared" si="0"/>
        <v>0,</v>
      </c>
      <c r="P31" s="71" t="str">
        <f t="shared" ref="C31:X36" si="3">+ROUND(P13,0)&amp;","</f>
        <v>0,</v>
      </c>
      <c r="Q31" s="71" t="str">
        <f t="shared" si="3"/>
        <v>0,</v>
      </c>
      <c r="R31" s="71" t="str">
        <f t="shared" si="3"/>
        <v>320876850,</v>
      </c>
      <c r="S31" s="71" t="str">
        <f t="shared" si="3"/>
        <v>459080986,</v>
      </c>
      <c r="T31" s="71" t="str">
        <f t="shared" si="3"/>
        <v>455559619,</v>
      </c>
      <c r="U31" s="71" t="str">
        <f t="shared" si="3"/>
        <v>463818185,</v>
      </c>
      <c r="V31" s="71" t="str">
        <f t="shared" si="3"/>
        <v>445823504,</v>
      </c>
      <c r="W31" s="71" t="str">
        <f t="shared" si="3"/>
        <v>438402962,</v>
      </c>
      <c r="X31" s="71" t="str">
        <f t="shared" si="3"/>
        <v>470271315,</v>
      </c>
      <c r="Y31" s="71" t="str">
        <f t="shared" si="2"/>
        <v>477813507]</v>
      </c>
    </row>
    <row r="32" spans="1:25" x14ac:dyDescent="0.3">
      <c r="A32" s="7" t="s">
        <v>5</v>
      </c>
      <c r="B32" s="71" t="str">
        <f t="shared" si="1"/>
        <v>[0,</v>
      </c>
      <c r="C32" s="71" t="str">
        <f t="shared" si="3"/>
        <v>0,</v>
      </c>
      <c r="D32" s="71" t="str">
        <f t="shared" si="3"/>
        <v>0,</v>
      </c>
      <c r="E32" s="71" t="str">
        <f t="shared" si="3"/>
        <v>0,</v>
      </c>
      <c r="F32" s="71" t="str">
        <f t="shared" si="3"/>
        <v>0,</v>
      </c>
      <c r="G32" s="71" t="str">
        <f t="shared" si="3"/>
        <v>0,</v>
      </c>
      <c r="H32" s="71" t="str">
        <f t="shared" si="3"/>
        <v>0,</v>
      </c>
      <c r="I32" s="71" t="str">
        <f t="shared" si="3"/>
        <v>0,</v>
      </c>
      <c r="J32" s="71" t="str">
        <f t="shared" si="3"/>
        <v>9437,</v>
      </c>
      <c r="K32" s="71" t="str">
        <f t="shared" si="3"/>
        <v>15033,</v>
      </c>
      <c r="L32" s="71" t="str">
        <f t="shared" si="3"/>
        <v>7008,</v>
      </c>
      <c r="M32" s="71" t="str">
        <f t="shared" si="3"/>
        <v>15318,</v>
      </c>
      <c r="N32" s="71" t="str">
        <f t="shared" si="3"/>
        <v>60837,</v>
      </c>
      <c r="O32" s="71" t="str">
        <f t="shared" si="3"/>
        <v>181341,</v>
      </c>
      <c r="P32" s="71" t="str">
        <f t="shared" si="3"/>
        <v>349925,</v>
      </c>
      <c r="Q32" s="71" t="str">
        <f t="shared" si="3"/>
        <v>514654,</v>
      </c>
      <c r="R32" s="71" t="str">
        <f t="shared" si="3"/>
        <v>1545657,</v>
      </c>
      <c r="S32" s="71" t="str">
        <f t="shared" si="3"/>
        <v>2487801,</v>
      </c>
      <c r="T32" s="71" t="str">
        <f t="shared" si="3"/>
        <v>6959717,</v>
      </c>
      <c r="U32" s="71" t="str">
        <f t="shared" si="3"/>
        <v>10275961,</v>
      </c>
      <c r="V32" s="71" t="str">
        <f t="shared" si="3"/>
        <v>12011982,</v>
      </c>
      <c r="W32" s="71" t="str">
        <f t="shared" si="3"/>
        <v>18988210,</v>
      </c>
      <c r="X32" s="71" t="str">
        <f t="shared" si="3"/>
        <v>18779835,</v>
      </c>
      <c r="Y32" s="71" t="str">
        <f t="shared" si="2"/>
        <v>27459977]</v>
      </c>
    </row>
    <row r="33" spans="1:25" x14ac:dyDescent="0.3">
      <c r="A33" s="7" t="s">
        <v>78</v>
      </c>
      <c r="B33" s="71" t="str">
        <f t="shared" si="1"/>
        <v>[20888758,</v>
      </c>
      <c r="C33" s="71" t="str">
        <f t="shared" si="3"/>
        <v>23446088,</v>
      </c>
      <c r="D33" s="71" t="str">
        <f t="shared" si="3"/>
        <v>67753163,</v>
      </c>
      <c r="E33" s="71" t="str">
        <f t="shared" si="3"/>
        <v>74823327,</v>
      </c>
      <c r="F33" s="71" t="str">
        <f t="shared" si="3"/>
        <v>82156425,</v>
      </c>
      <c r="G33" s="71" t="str">
        <f t="shared" si="3"/>
        <v>85718420,</v>
      </c>
      <c r="H33" s="71" t="str">
        <f t="shared" si="3"/>
        <v>83892403,</v>
      </c>
      <c r="I33" s="71" t="str">
        <f t="shared" si="3"/>
        <v>85888544,</v>
      </c>
      <c r="J33" s="71" t="str">
        <f t="shared" si="3"/>
        <v>102825622,</v>
      </c>
      <c r="K33" s="71" t="str">
        <f t="shared" si="3"/>
        <v>115113934,</v>
      </c>
      <c r="L33" s="71" t="str">
        <f t="shared" si="3"/>
        <v>110872800,</v>
      </c>
      <c r="M33" s="71" t="str">
        <f t="shared" si="3"/>
        <v>157250571,</v>
      </c>
      <c r="N33" s="71" t="str">
        <f t="shared" si="3"/>
        <v>123609468,</v>
      </c>
      <c r="O33" s="71" t="str">
        <f t="shared" si="3"/>
        <v>123120222,</v>
      </c>
      <c r="P33" s="71" t="str">
        <f t="shared" si="3"/>
        <v>119703177,</v>
      </c>
      <c r="Q33" s="71" t="str">
        <f t="shared" si="3"/>
        <v>72453270,</v>
      </c>
      <c r="R33" s="71" t="str">
        <f t="shared" si="3"/>
        <v>49638967,</v>
      </c>
      <c r="S33" s="71" t="str">
        <f t="shared" si="3"/>
        <v>52064037,</v>
      </c>
      <c r="T33" s="71" t="str">
        <f t="shared" si="3"/>
        <v>56898910,</v>
      </c>
      <c r="U33" s="71" t="str">
        <f t="shared" si="3"/>
        <v>59897866,</v>
      </c>
      <c r="V33" s="71" t="str">
        <f t="shared" si="3"/>
        <v>60273717,</v>
      </c>
      <c r="W33" s="71" t="str">
        <f t="shared" si="3"/>
        <v>59502552,</v>
      </c>
      <c r="X33" s="71" t="str">
        <f t="shared" si="3"/>
        <v>66824756,</v>
      </c>
      <c r="Y33" s="71" t="str">
        <f t="shared" si="2"/>
        <v>70949629]</v>
      </c>
    </row>
    <row r="34" spans="1:25" x14ac:dyDescent="0.3">
      <c r="A34" s="7" t="s">
        <v>105</v>
      </c>
      <c r="B34" s="71" t="str">
        <f t="shared" si="1"/>
        <v>[804260,</v>
      </c>
      <c r="C34" s="71" t="str">
        <f t="shared" si="3"/>
        <v>814410,</v>
      </c>
      <c r="D34" s="71" t="str">
        <f t="shared" si="3"/>
        <v>791282,</v>
      </c>
      <c r="E34" s="71" t="str">
        <f t="shared" si="3"/>
        <v>745680,</v>
      </c>
      <c r="F34" s="71" t="str">
        <f t="shared" si="3"/>
        <v>797608,</v>
      </c>
      <c r="G34" s="71" t="str">
        <f t="shared" si="3"/>
        <v>793505,</v>
      </c>
      <c r="H34" s="71" t="str">
        <f t="shared" si="3"/>
        <v>807322,</v>
      </c>
      <c r="I34" s="71" t="str">
        <f t="shared" si="3"/>
        <v>15497985,</v>
      </c>
      <c r="J34" s="71" t="str">
        <f t="shared" si="3"/>
        <v>23015254,</v>
      </c>
      <c r="K34" s="71" t="str">
        <f t="shared" si="3"/>
        <v>29554013,</v>
      </c>
      <c r="L34" s="71" t="str">
        <f t="shared" si="3"/>
        <v>28143333,</v>
      </c>
      <c r="M34" s="71" t="str">
        <f t="shared" si="3"/>
        <v>27963364,</v>
      </c>
      <c r="N34" s="71" t="str">
        <f t="shared" si="3"/>
        <v>287271,</v>
      </c>
      <c r="O34" s="71" t="str">
        <f t="shared" si="3"/>
        <v>295912,</v>
      </c>
      <c r="P34" s="71" t="str">
        <f t="shared" si="3"/>
        <v>313517,</v>
      </c>
      <c r="Q34" s="71" t="str">
        <f t="shared" si="3"/>
        <v>300998,</v>
      </c>
      <c r="R34" s="71" t="str">
        <f t="shared" si="3"/>
        <v>430152,</v>
      </c>
      <c r="S34" s="71" t="str">
        <f t="shared" si="3"/>
        <v>1240330,</v>
      </c>
      <c r="T34" s="71" t="str">
        <f t="shared" si="3"/>
        <v>1797782,</v>
      </c>
      <c r="U34" s="71" t="str">
        <f t="shared" si="3"/>
        <v>1041960,</v>
      </c>
      <c r="V34" s="71" t="str">
        <f t="shared" si="3"/>
        <v>903156,</v>
      </c>
      <c r="W34" s="71" t="str">
        <f t="shared" si="3"/>
        <v>927638,</v>
      </c>
      <c r="X34" s="71" t="str">
        <f t="shared" si="3"/>
        <v>777067,</v>
      </c>
      <c r="Y34" s="71" t="str">
        <f t="shared" si="2"/>
        <v>630153]</v>
      </c>
    </row>
    <row r="35" spans="1:25" x14ac:dyDescent="0.3">
      <c r="A35" s="7" t="s">
        <v>161</v>
      </c>
      <c r="B35" s="71" t="str">
        <f t="shared" si="1"/>
        <v>[0,</v>
      </c>
      <c r="C35" s="71" t="str">
        <f t="shared" si="3"/>
        <v>0,</v>
      </c>
      <c r="D35" s="71" t="str">
        <f t="shared" si="3"/>
        <v>0,</v>
      </c>
      <c r="E35" s="71" t="str">
        <f t="shared" si="3"/>
        <v>0,</v>
      </c>
      <c r="F35" s="71" t="str">
        <f t="shared" si="3"/>
        <v>0,</v>
      </c>
      <c r="G35" s="71" t="str">
        <f t="shared" si="3"/>
        <v>0,</v>
      </c>
      <c r="H35" s="71" t="str">
        <f t="shared" si="3"/>
        <v>3029896,</v>
      </c>
      <c r="I35" s="71" t="str">
        <f t="shared" si="3"/>
        <v>7758596,</v>
      </c>
      <c r="J35" s="71" t="str">
        <f t="shared" si="3"/>
        <v>1545856,</v>
      </c>
      <c r="K35" s="71" t="str">
        <f t="shared" si="3"/>
        <v>4340800,</v>
      </c>
      <c r="L35" s="71" t="str">
        <f t="shared" si="3"/>
        <v>3509131,</v>
      </c>
      <c r="M35" s="71" t="str">
        <f t="shared" si="3"/>
        <v>5934021,</v>
      </c>
      <c r="N35" s="71" t="str">
        <f t="shared" si="3"/>
        <v>11771289,</v>
      </c>
      <c r="O35" s="71" t="str">
        <f t="shared" si="3"/>
        <v>21235066,</v>
      </c>
      <c r="P35" s="71" t="str">
        <f t="shared" si="3"/>
        <v>35141119,</v>
      </c>
      <c r="Q35" s="71" t="str">
        <f t="shared" si="3"/>
        <v>44497769,</v>
      </c>
      <c r="R35" s="71" t="str">
        <f t="shared" si="3"/>
        <v>55341924,</v>
      </c>
      <c r="S35" s="71" t="str">
        <f t="shared" si="3"/>
        <v>66664537,</v>
      </c>
      <c r="T35" s="71" t="str">
        <f t="shared" si="3"/>
        <v>93092909,</v>
      </c>
      <c r="U35" s="71" t="str">
        <f t="shared" si="3"/>
        <v>126525666,</v>
      </c>
      <c r="V35" s="71" t="str">
        <f t="shared" si="3"/>
        <v>142261312,</v>
      </c>
      <c r="W35" s="71" t="str">
        <f t="shared" si="3"/>
        <v>142479003,</v>
      </c>
      <c r="X35" s="71" t="str">
        <f t="shared" si="3"/>
        <v>166422083,</v>
      </c>
      <c r="Y35" s="71" t="str">
        <f t="shared" si="2"/>
        <v>173751395]</v>
      </c>
    </row>
    <row r="36" spans="1:25" x14ac:dyDescent="0.3">
      <c r="A36" s="7" t="s">
        <v>6</v>
      </c>
      <c r="B36" s="71" t="str">
        <f t="shared" si="1"/>
        <v>[0,</v>
      </c>
      <c r="C36" s="71" t="str">
        <f t="shared" si="3"/>
        <v>0,</v>
      </c>
      <c r="D36" s="71" t="str">
        <f t="shared" si="3"/>
        <v>0,</v>
      </c>
      <c r="E36" s="71" t="str">
        <f t="shared" si="3"/>
        <v>0,</v>
      </c>
      <c r="F36" s="71" t="str">
        <f t="shared" si="3"/>
        <v>0,</v>
      </c>
      <c r="G36" s="71" t="str">
        <f t="shared" si="3"/>
        <v>0,</v>
      </c>
      <c r="H36" s="71" t="str">
        <f t="shared" si="3"/>
        <v>0,</v>
      </c>
      <c r="I36" s="71" t="str">
        <f t="shared" si="3"/>
        <v>6301,</v>
      </c>
      <c r="J36" s="71" t="str">
        <f t="shared" si="3"/>
        <v>1716888,</v>
      </c>
      <c r="K36" s="71" t="str">
        <f t="shared" si="3"/>
        <v>1579536,</v>
      </c>
      <c r="L36" s="71" t="str">
        <f t="shared" si="3"/>
        <v>9327524,</v>
      </c>
      <c r="M36" s="71" t="str">
        <f t="shared" si="3"/>
        <v>23147609,</v>
      </c>
      <c r="N36" s="71" t="str">
        <f t="shared" si="3"/>
        <v>41170015,</v>
      </c>
      <c r="O36" s="71" t="str">
        <f t="shared" si="3"/>
        <v>66222136,</v>
      </c>
      <c r="P36" s="71" t="str">
        <f t="shared" si="3"/>
        <v>89756384,</v>
      </c>
      <c r="Q36" s="71" t="str">
        <f t="shared" si="3"/>
        <v>107603981,</v>
      </c>
      <c r="R36" s="71" t="str">
        <f t="shared" si="3"/>
        <v>127327221,</v>
      </c>
      <c r="S36" s="71" t="str">
        <f t="shared" si="3"/>
        <v>136528866,</v>
      </c>
      <c r="T36" s="71" t="str">
        <f t="shared" si="3"/>
        <v>145562505,</v>
      </c>
      <c r="U36" s="71" t="str">
        <f t="shared" si="3"/>
        <v>141811833,</v>
      </c>
      <c r="V36" s="71" t="str">
        <f t="shared" si="3"/>
        <v>160800233,</v>
      </c>
      <c r="W36" s="71" t="str">
        <f t="shared" si="3"/>
        <v>186996097,</v>
      </c>
      <c r="X36" s="71" t="str">
        <f t="shared" si="3"/>
        <v>209165466,</v>
      </c>
      <c r="Y36" s="71" t="str">
        <f t="shared" si="2"/>
        <v>205938451]</v>
      </c>
    </row>
    <row r="38" spans="1:25" x14ac:dyDescent="0.3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3">
      <c r="A39" s="7" t="s">
        <v>82</v>
      </c>
      <c r="B39" s="71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3">
      <c r="A40" s="7" t="s">
        <v>7</v>
      </c>
      <c r="B40" s="71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3">
      <c r="A41" s="7" t="s">
        <v>86</v>
      </c>
      <c r="B41" s="71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3">
      <c r="A42" s="7" t="s">
        <v>84</v>
      </c>
      <c r="B42" s="71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3">
      <c r="A43" s="7" t="s">
        <v>73</v>
      </c>
      <c r="B43" s="71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3">
      <c r="A44" s="7" t="s">
        <v>74</v>
      </c>
      <c r="B44" s="71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3">
      <c r="A45" s="7" t="s">
        <v>77</v>
      </c>
      <c r="B45" s="71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3">
      <c r="A46" s="7" t="s">
        <v>1</v>
      </c>
      <c r="B46" s="71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3">
      <c r="A47" s="7" t="s">
        <v>142</v>
      </c>
      <c r="B47" s="71" t="str">
        <f t="shared" si="4"/>
        <v>[77148,78898,77949,0,0,0,0,0,0,0,0,0,0,0,0,14725,213958,0,896286,160010,0,0,0,0],</v>
      </c>
    </row>
    <row r="48" spans="1:25" x14ac:dyDescent="0.3">
      <c r="A48" s="7" t="s">
        <v>79</v>
      </c>
      <c r="B48" s="71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3">
      <c r="A49" s="7" t="s">
        <v>175</v>
      </c>
      <c r="B49" s="71" t="str">
        <f t="shared" si="4"/>
        <v>[0,0,0,0,0,0,0,0,0,0,0,0,0,0,0,0,320876850,459080986,455559619,463818185,445823504,438402962,470271315,477813507],</v>
      </c>
    </row>
    <row r="50" spans="1:2" x14ac:dyDescent="0.3">
      <c r="A50" s="7" t="s">
        <v>5</v>
      </c>
      <c r="B50" s="71" t="str">
        <f t="shared" si="4"/>
        <v>[0,0,0,0,0,0,0,0,9437,15033,7008,15318,60837,181341,349925,514654,1545657,2487801,6959717,10275961,12011982,18988210,18779835,27459977],</v>
      </c>
    </row>
    <row r="51" spans="1:2" x14ac:dyDescent="0.3">
      <c r="A51" s="7" t="s">
        <v>78</v>
      </c>
      <c r="B51" s="71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3">
      <c r="A52" s="7" t="s">
        <v>105</v>
      </c>
      <c r="B52" s="71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3">
      <c r="A53" s="7" t="s">
        <v>161</v>
      </c>
      <c r="B53" s="71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3">
      <c r="A54" s="7" t="s">
        <v>6</v>
      </c>
      <c r="B54" s="71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3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3">
      <c r="A57" s="71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3">
      <c r="A58" s="71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3">
      <c r="A59" s="71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3">
      <c r="A60" s="71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3">
      <c r="A61" s="71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3">
      <c r="A62" s="71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3">
      <c r="A63" s="71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3">
      <c r="A64" s="71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3">
      <c r="A65" s="71" t="str">
        <f t="shared" si="5"/>
        <v>"Hexa": [77148,78898,77949,0,0,0,0,0,0,0,0,0,0,0,0,14725,213958,0,896286,160010,0,0,0,0],</v>
      </c>
    </row>
    <row r="66" spans="1:1" x14ac:dyDescent="0.3">
      <c r="A66" s="71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3">
      <c r="A67" s="71" t="str">
        <f t="shared" si="5"/>
        <v>"OPV": [0,0,0,0,0,0,0,0,0,0,0,0,0,0,0,0,320876850,459080986,455559619,463818185,445823504,438402962,470271315,477813507],</v>
      </c>
    </row>
    <row r="68" spans="1:1" x14ac:dyDescent="0.3">
      <c r="A68" s="71" t="str">
        <f t="shared" si="5"/>
        <v>"HPV": [0,0,0,0,0,0,0,0,9437,15033,7008,15318,60837,181341,349925,514654,1545657,2487801,6959717,10275961,12011982,18988210,18779835,27459977],</v>
      </c>
    </row>
    <row r="69" spans="1:1" x14ac:dyDescent="0.3">
      <c r="A69" s="71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3">
      <c r="A70" s="71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3">
      <c r="A71" s="71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3">
      <c r="A72" s="71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3">
      <c r="A74" s="71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3">
      <c r="A75" s="71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3">
      <c r="A76" s="71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3">
      <c r="A77" s="71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3">
      <c r="A78" s="71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3">
      <c r="A79" s="71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3">
      <c r="A80" s="71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3">
      <c r="A81" s="71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3">
      <c r="A82" s="71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3">
      <c r="A83" s="71" t="str">
        <f t="shared" si="6"/>
        <v xml:space="preserve">"Hexa": [77148,78898,77949,0,0,0,0,0,0,0,0,0,0,0,0,14725,213958,0,896286,160010,0,0,0,0],: </v>
      </c>
    </row>
    <row r="84" spans="1:10" x14ac:dyDescent="0.3">
      <c r="A84" s="71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3">
      <c r="A85" s="71" t="str">
        <f t="shared" si="6"/>
        <v xml:space="preserve">"OPV": [0,0,0,0,0,0,0,0,0,0,0,0,0,0,0,0,320876850,459080986,455559619,463818185,445823504,438402962,470271315,477813507],: </v>
      </c>
    </row>
    <row r="86" spans="1:10" x14ac:dyDescent="0.3">
      <c r="A86" s="71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3">
      <c r="A87" s="71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3">
      <c r="A88" s="71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3">
      <c r="A89" s="71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3">
      <c r="A90" s="71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3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57.6" x14ac:dyDescent="0.3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188</v>
      </c>
      <c r="H93" s="75">
        <v>0.7</v>
      </c>
      <c r="J93" s="76" t="s">
        <v>186</v>
      </c>
    </row>
    <row r="94" spans="1:10" x14ac:dyDescent="0.3">
      <c r="A94" s="7" t="s">
        <v>82</v>
      </c>
      <c r="B94" s="74">
        <v>0.60176670378566299</v>
      </c>
      <c r="C94" s="7" t="s">
        <v>192</v>
      </c>
      <c r="D94" s="73">
        <v>0.01</v>
      </c>
      <c r="E94" s="7" t="s">
        <v>84</v>
      </c>
      <c r="F94" s="74">
        <v>0.52495778815762095</v>
      </c>
      <c r="G94" s="7" t="s">
        <v>189</v>
      </c>
      <c r="H94" s="75">
        <v>0.95</v>
      </c>
    </row>
    <row r="95" spans="1:10" x14ac:dyDescent="0.3">
      <c r="A95" s="7" t="s">
        <v>7</v>
      </c>
      <c r="B95" s="73">
        <v>3.5671476343220798E-3</v>
      </c>
      <c r="C95" s="7" t="s">
        <v>193</v>
      </c>
      <c r="D95" s="77">
        <v>0.42</v>
      </c>
      <c r="E95" s="7" t="s">
        <v>73</v>
      </c>
      <c r="F95" s="74">
        <v>0.658732446387158</v>
      </c>
      <c r="G95" s="7" t="s">
        <v>161</v>
      </c>
      <c r="H95" s="75">
        <v>0.89</v>
      </c>
      <c r="J95" s="71" t="s">
        <v>187</v>
      </c>
    </row>
    <row r="96" spans="1:10" x14ac:dyDescent="0.3">
      <c r="A96" s="7" t="s">
        <v>86</v>
      </c>
      <c r="B96" s="73">
        <v>2.8222915579930501E-2</v>
      </c>
      <c r="C96" s="7" t="s">
        <v>7</v>
      </c>
      <c r="D96" s="73">
        <v>3.5671476343220798E-3</v>
      </c>
      <c r="E96" s="7" t="s">
        <v>74</v>
      </c>
      <c r="F96" s="75">
        <v>0.92235049618967202</v>
      </c>
      <c r="G96" s="7" t="s">
        <v>6</v>
      </c>
      <c r="H96" s="75">
        <v>0.98</v>
      </c>
    </row>
    <row r="97" spans="1:6" x14ac:dyDescent="0.3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3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3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3">
      <c r="A100" s="7" t="s">
        <v>77</v>
      </c>
      <c r="B100" s="73">
        <v>3.55220047548402E-2</v>
      </c>
      <c r="E100" s="7" t="s">
        <v>190</v>
      </c>
      <c r="F100" s="73">
        <v>0.14000000000000001</v>
      </c>
    </row>
    <row r="101" spans="1:6" x14ac:dyDescent="0.3">
      <c r="A101" s="7" t="s">
        <v>1</v>
      </c>
      <c r="B101" s="75">
        <v>0.94736317707128803</v>
      </c>
      <c r="E101" s="7" t="s">
        <v>191</v>
      </c>
      <c r="F101" s="75">
        <v>0.95</v>
      </c>
    </row>
    <row r="102" spans="1:6" x14ac:dyDescent="0.3">
      <c r="A102" s="7" t="s">
        <v>142</v>
      </c>
      <c r="B102" s="73">
        <v>3.40198639357304E-2</v>
      </c>
      <c r="E102" s="7" t="s">
        <v>175</v>
      </c>
      <c r="F102" s="77">
        <v>0.4</v>
      </c>
    </row>
    <row r="103" spans="1:6" x14ac:dyDescent="0.3">
      <c r="A103" s="7" t="s">
        <v>79</v>
      </c>
      <c r="B103" s="75">
        <v>0.71135552976522598</v>
      </c>
      <c r="E103" s="7" t="s">
        <v>78</v>
      </c>
      <c r="F103" s="73">
        <v>6.62294170170607E-5</v>
      </c>
    </row>
    <row r="104" spans="1:6" x14ac:dyDescent="0.3">
      <c r="A104" s="7" t="s">
        <v>175</v>
      </c>
      <c r="B104" s="74">
        <v>0.68208483127570896</v>
      </c>
      <c r="E104" s="7" t="s">
        <v>105</v>
      </c>
      <c r="F104" s="73">
        <v>2.51408842676289E-2</v>
      </c>
    </row>
    <row r="105" spans="1:6" x14ac:dyDescent="0.3">
      <c r="A105" s="7" t="s">
        <v>78</v>
      </c>
      <c r="B105" s="73">
        <v>6.62294170170607E-5</v>
      </c>
    </row>
    <row r="106" spans="1:6" x14ac:dyDescent="0.3">
      <c r="A106" s="7" t="s">
        <v>105</v>
      </c>
      <c r="B106" s="73">
        <v>2.51408842676289E-2</v>
      </c>
      <c r="D106" s="83" t="s">
        <v>198</v>
      </c>
      <c r="E106" s="83"/>
    </row>
    <row r="107" spans="1:6" x14ac:dyDescent="0.3">
      <c r="A107" s="7" t="s">
        <v>5</v>
      </c>
      <c r="B107" s="74">
        <v>0.566218725991401</v>
      </c>
      <c r="D107" s="73" t="s">
        <v>194</v>
      </c>
      <c r="E107" s="78">
        <v>9</v>
      </c>
    </row>
    <row r="108" spans="1:6" x14ac:dyDescent="0.3">
      <c r="A108" s="7" t="s">
        <v>161</v>
      </c>
      <c r="B108" s="75">
        <v>0.78385614450002705</v>
      </c>
      <c r="D108" s="77" t="s">
        <v>195</v>
      </c>
      <c r="E108" s="78">
        <v>2</v>
      </c>
    </row>
    <row r="109" spans="1:6" x14ac:dyDescent="0.3">
      <c r="A109" s="7" t="s">
        <v>6</v>
      </c>
      <c r="B109" s="75">
        <v>0.88316128259450699</v>
      </c>
      <c r="D109" s="74" t="s">
        <v>196</v>
      </c>
      <c r="E109" s="78">
        <v>2</v>
      </c>
    </row>
    <row r="110" spans="1:6" x14ac:dyDescent="0.3">
      <c r="D110" s="75" t="s">
        <v>197</v>
      </c>
      <c r="E110" s="78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298B-9C5F-4C14-9368-8CF2CEDAFF01}">
  <dimension ref="A1:Y110"/>
  <sheetViews>
    <sheetView topLeftCell="A90" workbookViewId="0">
      <selection activeCell="I101" sqref="I101"/>
    </sheetView>
  </sheetViews>
  <sheetFormatPr defaultRowHeight="14.4" x14ac:dyDescent="0.3"/>
  <cols>
    <col min="1" max="1" width="9" style="71" bestFit="1" customWidth="1"/>
    <col min="2" max="9" width="14.6640625" style="71" bestFit="1" customWidth="1"/>
    <col min="10" max="10" width="76.44140625" style="71" customWidth="1"/>
    <col min="11" max="25" width="14.6640625" style="71" bestFit="1" customWidth="1"/>
  </cols>
  <sheetData>
    <row r="1" spans="1:25" x14ac:dyDescent="0.3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3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3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3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3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3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3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3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3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3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3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3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3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3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3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3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3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3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3">
      <c r="A20" s="7" t="s">
        <v>139</v>
      </c>
      <c r="B20" s="71" t="str">
        <f>+"["&amp;ROUND(B2,0)&amp;","</f>
        <v>[78580259,</v>
      </c>
      <c r="C20" s="71" t="str">
        <f t="shared" ref="C20:X31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3">
      <c r="A21" s="7" t="s">
        <v>82</v>
      </c>
      <c r="B21" s="71" t="str">
        <f t="shared" ref="B21:B36" si="1">+"["&amp;ROUND(B3,0)&amp;","</f>
        <v>[16708549,</v>
      </c>
      <c r="C21" s="71" t="str">
        <f t="shared" si="0"/>
        <v>16708884,</v>
      </c>
      <c r="D21" s="71" t="str">
        <f t="shared" si="0"/>
        <v>16621239,</v>
      </c>
      <c r="E21" s="71" t="str">
        <f t="shared" si="0"/>
        <v>16912299,</v>
      </c>
      <c r="F21" s="71" t="str">
        <f t="shared" si="0"/>
        <v>17990793,</v>
      </c>
      <c r="G21" s="71" t="str">
        <f t="shared" si="0"/>
        <v>32224595,</v>
      </c>
      <c r="H21" s="71" t="str">
        <f t="shared" si="0"/>
        <v>36010296,</v>
      </c>
      <c r="I21" s="71" t="str">
        <f t="shared" si="0"/>
        <v>35638479,</v>
      </c>
      <c r="J21" s="71" t="str">
        <f t="shared" si="0"/>
        <v>21093263,</v>
      </c>
      <c r="K21" s="71" t="str">
        <f t="shared" si="0"/>
        <v>22353125,</v>
      </c>
      <c r="L21" s="71" t="str">
        <f t="shared" si="0"/>
        <v>22384691,</v>
      </c>
      <c r="M21" s="71" t="str">
        <f t="shared" si="0"/>
        <v>21083590,</v>
      </c>
      <c r="N21" s="71" t="str">
        <f t="shared" si="0"/>
        <v>4248061,</v>
      </c>
      <c r="O21" s="71" t="str">
        <f t="shared" si="0"/>
        <v>15084549,</v>
      </c>
      <c r="P21" s="71" t="str">
        <f t="shared" si="0"/>
        <v>24102254,</v>
      </c>
      <c r="Q21" s="71" t="str">
        <f t="shared" si="0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2">+ROUND(Y3,0)&amp;"]"</f>
        <v>278835991]</v>
      </c>
    </row>
    <row r="22" spans="1:25" x14ac:dyDescent="0.3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2"/>
        <v>25785425]</v>
      </c>
    </row>
    <row r="23" spans="1:25" x14ac:dyDescent="0.3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2"/>
        <v>6823078]</v>
      </c>
    </row>
    <row r="24" spans="1:25" x14ac:dyDescent="0.3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2"/>
        <v>267449255]</v>
      </c>
    </row>
    <row r="25" spans="1:25" x14ac:dyDescent="0.3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2"/>
        <v>6541568]</v>
      </c>
    </row>
    <row r="26" spans="1:25" x14ac:dyDescent="0.3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2"/>
        <v>65841842]</v>
      </c>
    </row>
    <row r="27" spans="1:25" x14ac:dyDescent="0.3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2"/>
        <v>5854585]</v>
      </c>
    </row>
    <row r="28" spans="1:25" x14ac:dyDescent="0.3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2"/>
        <v>280768151]</v>
      </c>
    </row>
    <row r="29" spans="1:25" x14ac:dyDescent="0.3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si="0"/>
        <v>0,</v>
      </c>
      <c r="M29" s="71" t="str">
        <f t="shared" si="0"/>
        <v>0,</v>
      </c>
      <c r="N29" s="71" t="str">
        <f t="shared" si="0"/>
        <v>0,</v>
      </c>
      <c r="O29" s="71" t="str">
        <f t="shared" si="0"/>
        <v>0,</v>
      </c>
      <c r="P29" s="71" t="str">
        <f t="shared" si="0"/>
        <v>0,</v>
      </c>
      <c r="Q29" s="71" t="str">
        <f t="shared" si="0"/>
        <v>14725,</v>
      </c>
      <c r="R29" s="71" t="str">
        <f t="shared" si="0"/>
        <v>213958,</v>
      </c>
      <c r="S29" s="71" t="str">
        <f t="shared" si="0"/>
        <v>0,</v>
      </c>
      <c r="T29" s="71" t="str">
        <f t="shared" si="0"/>
        <v>896286,</v>
      </c>
      <c r="U29" s="71" t="str">
        <f t="shared" si="0"/>
        <v>160010,</v>
      </c>
      <c r="V29" s="71" t="str">
        <f t="shared" si="0"/>
        <v>0,</v>
      </c>
      <c r="W29" s="71" t="str">
        <f t="shared" si="0"/>
        <v>0,</v>
      </c>
      <c r="X29" s="71" t="str">
        <f t="shared" si="0"/>
        <v>0,</v>
      </c>
      <c r="Y29" s="71" t="str">
        <f t="shared" si="2"/>
        <v>0]</v>
      </c>
    </row>
    <row r="30" spans="1:25" x14ac:dyDescent="0.3">
      <c r="A30" s="7" t="s">
        <v>79</v>
      </c>
      <c r="B30" s="71" t="str">
        <f t="shared" si="1"/>
        <v>[0,</v>
      </c>
      <c r="C30" s="71" t="str">
        <f t="shared" si="0"/>
        <v>0,</v>
      </c>
      <c r="D30" s="71" t="str">
        <f t="shared" si="0"/>
        <v>0,</v>
      </c>
      <c r="E30" s="71" t="str">
        <f t="shared" si="0"/>
        <v>0,</v>
      </c>
      <c r="F30" s="71" t="str">
        <f t="shared" si="0"/>
        <v>0,</v>
      </c>
      <c r="G30" s="71" t="str">
        <f t="shared" si="0"/>
        <v>0,</v>
      </c>
      <c r="H30" s="71" t="str">
        <f t="shared" si="0"/>
        <v>538569,</v>
      </c>
      <c r="I30" s="71" t="str">
        <f t="shared" si="0"/>
        <v>572238,</v>
      </c>
      <c r="J30" s="71" t="str">
        <f t="shared" si="0"/>
        <v>1564054,</v>
      </c>
      <c r="K30" s="71" t="str">
        <f t="shared" si="0"/>
        <v>1802423,</v>
      </c>
      <c r="L30" s="71" t="str">
        <f t="shared" si="0"/>
        <v>1596326,</v>
      </c>
      <c r="M30" s="71" t="str">
        <f t="shared" si="0"/>
        <v>1432203,</v>
      </c>
      <c r="N30" s="71" t="str">
        <f t="shared" si="0"/>
        <v>1193206,</v>
      </c>
      <c r="O30" s="71" t="str">
        <f t="shared" si="0"/>
        <v>1051750,</v>
      </c>
      <c r="P30" s="71" t="str">
        <f t="shared" si="0"/>
        <v>838164,</v>
      </c>
      <c r="Q30" s="71" t="str">
        <f t="shared" si="0"/>
        <v>14134727,</v>
      </c>
      <c r="R30" s="71" t="str">
        <f t="shared" si="0"/>
        <v>45560280,</v>
      </c>
      <c r="S30" s="71" t="str">
        <f t="shared" si="0"/>
        <v>51668556,</v>
      </c>
      <c r="T30" s="71" t="str">
        <f t="shared" si="0"/>
        <v>65056521,</v>
      </c>
      <c r="U30" s="71" t="str">
        <f t="shared" si="0"/>
        <v>82074179,</v>
      </c>
      <c r="V30" s="71" t="str">
        <f t="shared" si="0"/>
        <v>79857578,</v>
      </c>
      <c r="W30" s="71" t="str">
        <f t="shared" si="0"/>
        <v>83779047,</v>
      </c>
      <c r="X30" s="71" t="str">
        <f t="shared" si="0"/>
        <v>111910967,</v>
      </c>
      <c r="Y30" s="71" t="str">
        <f t="shared" si="2"/>
        <v>130818258]</v>
      </c>
    </row>
    <row r="31" spans="1:25" x14ac:dyDescent="0.3">
      <c r="A31" s="7" t="s">
        <v>175</v>
      </c>
      <c r="B31" s="71" t="str">
        <f t="shared" si="1"/>
        <v>[0,</v>
      </c>
      <c r="C31" s="71" t="str">
        <f t="shared" si="0"/>
        <v>0,</v>
      </c>
      <c r="D31" s="71" t="str">
        <f t="shared" si="0"/>
        <v>0,</v>
      </c>
      <c r="E31" s="71" t="str">
        <f t="shared" si="0"/>
        <v>0,</v>
      </c>
      <c r="F31" s="71" t="str">
        <f t="shared" si="0"/>
        <v>0,</v>
      </c>
      <c r="G31" s="71" t="str">
        <f t="shared" si="0"/>
        <v>0,</v>
      </c>
      <c r="H31" s="71" t="str">
        <f t="shared" si="0"/>
        <v>0,</v>
      </c>
      <c r="I31" s="71" t="str">
        <f t="shared" si="0"/>
        <v>0,</v>
      </c>
      <c r="J31" s="71" t="str">
        <f t="shared" si="0"/>
        <v>0,</v>
      </c>
      <c r="K31" s="71" t="str">
        <f t="shared" si="0"/>
        <v>0,</v>
      </c>
      <c r="L31" s="71" t="str">
        <f t="shared" si="0"/>
        <v>0,</v>
      </c>
      <c r="M31" s="71" t="str">
        <f t="shared" si="0"/>
        <v>0,</v>
      </c>
      <c r="N31" s="71" t="str">
        <f t="shared" si="0"/>
        <v>0,</v>
      </c>
      <c r="O31" s="71" t="str">
        <f t="shared" si="0"/>
        <v>0,</v>
      </c>
      <c r="P31" s="71" t="str">
        <f t="shared" ref="C31:X36" si="3">+ROUND(P13,0)&amp;","</f>
        <v>0,</v>
      </c>
      <c r="Q31" s="71" t="str">
        <f t="shared" si="3"/>
        <v>0,</v>
      </c>
      <c r="R31" s="71" t="str">
        <f t="shared" si="3"/>
        <v>320876850,</v>
      </c>
      <c r="S31" s="71" t="str">
        <f t="shared" si="3"/>
        <v>459080986,</v>
      </c>
      <c r="T31" s="71" t="str">
        <f t="shared" si="3"/>
        <v>455559619,</v>
      </c>
      <c r="U31" s="71" t="str">
        <f t="shared" si="3"/>
        <v>463818185,</v>
      </c>
      <c r="V31" s="71" t="str">
        <f t="shared" si="3"/>
        <v>445823504,</v>
      </c>
      <c r="W31" s="71" t="str">
        <f t="shared" si="3"/>
        <v>438402962,</v>
      </c>
      <c r="X31" s="71" t="str">
        <f t="shared" si="3"/>
        <v>470271315,</v>
      </c>
      <c r="Y31" s="71" t="str">
        <f t="shared" si="2"/>
        <v>477813507]</v>
      </c>
    </row>
    <row r="32" spans="1:25" x14ac:dyDescent="0.3">
      <c r="A32" s="7" t="s">
        <v>5</v>
      </c>
      <c r="B32" s="71" t="str">
        <f t="shared" si="1"/>
        <v>[0,</v>
      </c>
      <c r="C32" s="71" t="str">
        <f t="shared" si="3"/>
        <v>0,</v>
      </c>
      <c r="D32" s="71" t="str">
        <f t="shared" si="3"/>
        <v>0,</v>
      </c>
      <c r="E32" s="71" t="str">
        <f t="shared" si="3"/>
        <v>0,</v>
      </c>
      <c r="F32" s="71" t="str">
        <f t="shared" si="3"/>
        <v>0,</v>
      </c>
      <c r="G32" s="71" t="str">
        <f t="shared" si="3"/>
        <v>0,</v>
      </c>
      <c r="H32" s="71" t="str">
        <f t="shared" si="3"/>
        <v>0,</v>
      </c>
      <c r="I32" s="71" t="str">
        <f t="shared" si="3"/>
        <v>0,</v>
      </c>
      <c r="J32" s="71" t="str">
        <f t="shared" si="3"/>
        <v>9437,</v>
      </c>
      <c r="K32" s="71" t="str">
        <f t="shared" si="3"/>
        <v>15033,</v>
      </c>
      <c r="L32" s="71" t="str">
        <f t="shared" si="3"/>
        <v>7008,</v>
      </c>
      <c r="M32" s="71" t="str">
        <f t="shared" si="3"/>
        <v>15318,</v>
      </c>
      <c r="N32" s="71" t="str">
        <f t="shared" si="3"/>
        <v>60837,</v>
      </c>
      <c r="O32" s="71" t="str">
        <f t="shared" si="3"/>
        <v>181341,</v>
      </c>
      <c r="P32" s="71" t="str">
        <f t="shared" si="3"/>
        <v>349925,</v>
      </c>
      <c r="Q32" s="71" t="str">
        <f t="shared" si="3"/>
        <v>514654,</v>
      </c>
      <c r="R32" s="71" t="str">
        <f t="shared" si="3"/>
        <v>1545657,</v>
      </c>
      <c r="S32" s="71" t="str">
        <f t="shared" si="3"/>
        <v>2487801,</v>
      </c>
      <c r="T32" s="71" t="str">
        <f t="shared" si="3"/>
        <v>6959717,</v>
      </c>
      <c r="U32" s="71" t="str">
        <f t="shared" si="3"/>
        <v>10275961,</v>
      </c>
      <c r="V32" s="71" t="str">
        <f t="shared" si="3"/>
        <v>12011982,</v>
      </c>
      <c r="W32" s="71" t="str">
        <f t="shared" si="3"/>
        <v>18988210,</v>
      </c>
      <c r="X32" s="71" t="str">
        <f t="shared" si="3"/>
        <v>18779835,</v>
      </c>
      <c r="Y32" s="71" t="str">
        <f t="shared" si="2"/>
        <v>27459977]</v>
      </c>
    </row>
    <row r="33" spans="1:25" x14ac:dyDescent="0.3">
      <c r="A33" s="7" t="s">
        <v>78</v>
      </c>
      <c r="B33" s="71" t="str">
        <f t="shared" si="1"/>
        <v>[20888758,</v>
      </c>
      <c r="C33" s="71" t="str">
        <f t="shared" si="3"/>
        <v>23446088,</v>
      </c>
      <c r="D33" s="71" t="str">
        <f t="shared" si="3"/>
        <v>67753163,</v>
      </c>
      <c r="E33" s="71" t="str">
        <f t="shared" si="3"/>
        <v>74823327,</v>
      </c>
      <c r="F33" s="71" t="str">
        <f t="shared" si="3"/>
        <v>82156425,</v>
      </c>
      <c r="G33" s="71" t="str">
        <f t="shared" si="3"/>
        <v>85718420,</v>
      </c>
      <c r="H33" s="71" t="str">
        <f t="shared" si="3"/>
        <v>83892403,</v>
      </c>
      <c r="I33" s="71" t="str">
        <f t="shared" si="3"/>
        <v>85888544,</v>
      </c>
      <c r="J33" s="71" t="str">
        <f t="shared" si="3"/>
        <v>102825622,</v>
      </c>
      <c r="K33" s="71" t="str">
        <f t="shared" si="3"/>
        <v>115113934,</v>
      </c>
      <c r="L33" s="71" t="str">
        <f t="shared" si="3"/>
        <v>110872800,</v>
      </c>
      <c r="M33" s="71" t="str">
        <f t="shared" si="3"/>
        <v>157250571,</v>
      </c>
      <c r="N33" s="71" t="str">
        <f t="shared" si="3"/>
        <v>123609468,</v>
      </c>
      <c r="O33" s="71" t="str">
        <f t="shared" si="3"/>
        <v>123120222,</v>
      </c>
      <c r="P33" s="71" t="str">
        <f t="shared" si="3"/>
        <v>119703177,</v>
      </c>
      <c r="Q33" s="71" t="str">
        <f t="shared" si="3"/>
        <v>72453270,</v>
      </c>
      <c r="R33" s="71" t="str">
        <f t="shared" si="3"/>
        <v>49638967,</v>
      </c>
      <c r="S33" s="71" t="str">
        <f t="shared" si="3"/>
        <v>52064037,</v>
      </c>
      <c r="T33" s="71" t="str">
        <f t="shared" si="3"/>
        <v>56898910,</v>
      </c>
      <c r="U33" s="71" t="str">
        <f t="shared" si="3"/>
        <v>59897866,</v>
      </c>
      <c r="V33" s="71" t="str">
        <f t="shared" si="3"/>
        <v>60273717,</v>
      </c>
      <c r="W33" s="71" t="str">
        <f t="shared" si="3"/>
        <v>59502552,</v>
      </c>
      <c r="X33" s="71" t="str">
        <f t="shared" si="3"/>
        <v>66824756,</v>
      </c>
      <c r="Y33" s="71" t="str">
        <f t="shared" si="2"/>
        <v>70949629]</v>
      </c>
    </row>
    <row r="34" spans="1:25" x14ac:dyDescent="0.3">
      <c r="A34" s="7" t="s">
        <v>105</v>
      </c>
      <c r="B34" s="71" t="str">
        <f t="shared" si="1"/>
        <v>[804260,</v>
      </c>
      <c r="C34" s="71" t="str">
        <f t="shared" si="3"/>
        <v>814410,</v>
      </c>
      <c r="D34" s="71" t="str">
        <f t="shared" si="3"/>
        <v>791282,</v>
      </c>
      <c r="E34" s="71" t="str">
        <f t="shared" si="3"/>
        <v>745680,</v>
      </c>
      <c r="F34" s="71" t="str">
        <f t="shared" si="3"/>
        <v>797608,</v>
      </c>
      <c r="G34" s="71" t="str">
        <f t="shared" si="3"/>
        <v>793505,</v>
      </c>
      <c r="H34" s="71" t="str">
        <f t="shared" si="3"/>
        <v>807322,</v>
      </c>
      <c r="I34" s="71" t="str">
        <f t="shared" si="3"/>
        <v>15497985,</v>
      </c>
      <c r="J34" s="71" t="str">
        <f t="shared" si="3"/>
        <v>23015254,</v>
      </c>
      <c r="K34" s="71" t="str">
        <f t="shared" si="3"/>
        <v>29554013,</v>
      </c>
      <c r="L34" s="71" t="str">
        <f t="shared" si="3"/>
        <v>28143333,</v>
      </c>
      <c r="M34" s="71" t="str">
        <f t="shared" si="3"/>
        <v>27963364,</v>
      </c>
      <c r="N34" s="71" t="str">
        <f t="shared" si="3"/>
        <v>287271,</v>
      </c>
      <c r="O34" s="71" t="str">
        <f t="shared" si="3"/>
        <v>295912,</v>
      </c>
      <c r="P34" s="71" t="str">
        <f t="shared" si="3"/>
        <v>313517,</v>
      </c>
      <c r="Q34" s="71" t="str">
        <f t="shared" si="3"/>
        <v>300998,</v>
      </c>
      <c r="R34" s="71" t="str">
        <f t="shared" si="3"/>
        <v>430152,</v>
      </c>
      <c r="S34" s="71" t="str">
        <f t="shared" si="3"/>
        <v>1240330,</v>
      </c>
      <c r="T34" s="71" t="str">
        <f t="shared" si="3"/>
        <v>1797782,</v>
      </c>
      <c r="U34" s="71" t="str">
        <f t="shared" si="3"/>
        <v>1041960,</v>
      </c>
      <c r="V34" s="71" t="str">
        <f t="shared" si="3"/>
        <v>903156,</v>
      </c>
      <c r="W34" s="71" t="str">
        <f t="shared" si="3"/>
        <v>927638,</v>
      </c>
      <c r="X34" s="71" t="str">
        <f t="shared" si="3"/>
        <v>777067,</v>
      </c>
      <c r="Y34" s="71" t="str">
        <f t="shared" si="2"/>
        <v>630153]</v>
      </c>
    </row>
    <row r="35" spans="1:25" x14ac:dyDescent="0.3">
      <c r="A35" s="7" t="s">
        <v>161</v>
      </c>
      <c r="B35" s="71" t="str">
        <f t="shared" si="1"/>
        <v>[0,</v>
      </c>
      <c r="C35" s="71" t="str">
        <f t="shared" si="3"/>
        <v>0,</v>
      </c>
      <c r="D35" s="71" t="str">
        <f t="shared" si="3"/>
        <v>0,</v>
      </c>
      <c r="E35" s="71" t="str">
        <f t="shared" si="3"/>
        <v>0,</v>
      </c>
      <c r="F35" s="71" t="str">
        <f t="shared" si="3"/>
        <v>0,</v>
      </c>
      <c r="G35" s="71" t="str">
        <f t="shared" si="3"/>
        <v>0,</v>
      </c>
      <c r="H35" s="71" t="str">
        <f t="shared" si="3"/>
        <v>3029896,</v>
      </c>
      <c r="I35" s="71" t="str">
        <f t="shared" si="3"/>
        <v>7758596,</v>
      </c>
      <c r="J35" s="71" t="str">
        <f t="shared" si="3"/>
        <v>1545856,</v>
      </c>
      <c r="K35" s="71" t="str">
        <f t="shared" si="3"/>
        <v>4340800,</v>
      </c>
      <c r="L35" s="71" t="str">
        <f t="shared" si="3"/>
        <v>3509131,</v>
      </c>
      <c r="M35" s="71" t="str">
        <f t="shared" si="3"/>
        <v>5934021,</v>
      </c>
      <c r="N35" s="71" t="str">
        <f t="shared" si="3"/>
        <v>11771289,</v>
      </c>
      <c r="O35" s="71" t="str">
        <f t="shared" si="3"/>
        <v>21235066,</v>
      </c>
      <c r="P35" s="71" t="str">
        <f t="shared" si="3"/>
        <v>35141119,</v>
      </c>
      <c r="Q35" s="71" t="str">
        <f t="shared" si="3"/>
        <v>44497769,</v>
      </c>
      <c r="R35" s="71" t="str">
        <f t="shared" si="3"/>
        <v>55341924,</v>
      </c>
      <c r="S35" s="71" t="str">
        <f t="shared" si="3"/>
        <v>66664537,</v>
      </c>
      <c r="T35" s="71" t="str">
        <f t="shared" si="3"/>
        <v>93092909,</v>
      </c>
      <c r="U35" s="71" t="str">
        <f t="shared" si="3"/>
        <v>126525666,</v>
      </c>
      <c r="V35" s="71" t="str">
        <f t="shared" si="3"/>
        <v>142261312,</v>
      </c>
      <c r="W35" s="71" t="str">
        <f t="shared" si="3"/>
        <v>142479003,</v>
      </c>
      <c r="X35" s="71" t="str">
        <f t="shared" si="3"/>
        <v>166422083,</v>
      </c>
      <c r="Y35" s="71" t="str">
        <f t="shared" si="2"/>
        <v>173751395]</v>
      </c>
    </row>
    <row r="36" spans="1:25" x14ac:dyDescent="0.3">
      <c r="A36" s="7" t="s">
        <v>6</v>
      </c>
      <c r="B36" s="71" t="str">
        <f t="shared" si="1"/>
        <v>[0,</v>
      </c>
      <c r="C36" s="71" t="str">
        <f t="shared" si="3"/>
        <v>0,</v>
      </c>
      <c r="D36" s="71" t="str">
        <f t="shared" si="3"/>
        <v>0,</v>
      </c>
      <c r="E36" s="71" t="str">
        <f t="shared" si="3"/>
        <v>0,</v>
      </c>
      <c r="F36" s="71" t="str">
        <f t="shared" si="3"/>
        <v>0,</v>
      </c>
      <c r="G36" s="71" t="str">
        <f t="shared" si="3"/>
        <v>0,</v>
      </c>
      <c r="H36" s="71" t="str">
        <f t="shared" si="3"/>
        <v>0,</v>
      </c>
      <c r="I36" s="71" t="str">
        <f t="shared" si="3"/>
        <v>6301,</v>
      </c>
      <c r="J36" s="71" t="str">
        <f t="shared" si="3"/>
        <v>1716888,</v>
      </c>
      <c r="K36" s="71" t="str">
        <f t="shared" si="3"/>
        <v>1579536,</v>
      </c>
      <c r="L36" s="71" t="str">
        <f t="shared" si="3"/>
        <v>9327524,</v>
      </c>
      <c r="M36" s="71" t="str">
        <f t="shared" si="3"/>
        <v>23147609,</v>
      </c>
      <c r="N36" s="71" t="str">
        <f t="shared" si="3"/>
        <v>41170015,</v>
      </c>
      <c r="O36" s="71" t="str">
        <f t="shared" si="3"/>
        <v>66222136,</v>
      </c>
      <c r="P36" s="71" t="str">
        <f t="shared" si="3"/>
        <v>89756384,</v>
      </c>
      <c r="Q36" s="71" t="str">
        <f t="shared" si="3"/>
        <v>107603981,</v>
      </c>
      <c r="R36" s="71" t="str">
        <f t="shared" si="3"/>
        <v>127327221,</v>
      </c>
      <c r="S36" s="71" t="str">
        <f t="shared" si="3"/>
        <v>136528866,</v>
      </c>
      <c r="T36" s="71" t="str">
        <f t="shared" si="3"/>
        <v>145562505,</v>
      </c>
      <c r="U36" s="71" t="str">
        <f t="shared" si="3"/>
        <v>141811833,</v>
      </c>
      <c r="V36" s="71" t="str">
        <f t="shared" si="3"/>
        <v>160800233,</v>
      </c>
      <c r="W36" s="71" t="str">
        <f t="shared" si="3"/>
        <v>186996097,</v>
      </c>
      <c r="X36" s="71" t="str">
        <f t="shared" si="3"/>
        <v>209165466,</v>
      </c>
      <c r="Y36" s="71" t="str">
        <f t="shared" si="2"/>
        <v>205938451]</v>
      </c>
    </row>
    <row r="38" spans="1:25" x14ac:dyDescent="0.3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3">
      <c r="A39" s="7" t="s">
        <v>82</v>
      </c>
      <c r="B39" s="71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3">
      <c r="A40" s="7" t="s">
        <v>7</v>
      </c>
      <c r="B40" s="71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3">
      <c r="A41" s="7" t="s">
        <v>86</v>
      </c>
      <c r="B41" s="71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3">
      <c r="A42" s="7" t="s">
        <v>84</v>
      </c>
      <c r="B42" s="71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3">
      <c r="A43" s="7" t="s">
        <v>73</v>
      </c>
      <c r="B43" s="71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3">
      <c r="A44" s="7" t="s">
        <v>74</v>
      </c>
      <c r="B44" s="71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3">
      <c r="A45" s="7" t="s">
        <v>77</v>
      </c>
      <c r="B45" s="71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3">
      <c r="A46" s="7" t="s">
        <v>1</v>
      </c>
      <c r="B46" s="71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3">
      <c r="A47" s="7" t="s">
        <v>142</v>
      </c>
      <c r="B47" s="71" t="str">
        <f t="shared" si="4"/>
        <v>[77148,78898,77949,0,0,0,0,0,0,0,0,0,0,0,0,14725,213958,0,896286,160010,0,0,0,0],</v>
      </c>
    </row>
    <row r="48" spans="1:25" x14ac:dyDescent="0.3">
      <c r="A48" s="7" t="s">
        <v>79</v>
      </c>
      <c r="B48" s="71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3">
      <c r="A49" s="7" t="s">
        <v>175</v>
      </c>
      <c r="B49" s="71" t="str">
        <f t="shared" si="4"/>
        <v>[0,0,0,0,0,0,0,0,0,0,0,0,0,0,0,0,320876850,459080986,455559619,463818185,445823504,438402962,470271315,477813507],</v>
      </c>
    </row>
    <row r="50" spans="1:2" x14ac:dyDescent="0.3">
      <c r="A50" s="7" t="s">
        <v>5</v>
      </c>
      <c r="B50" s="71" t="str">
        <f t="shared" si="4"/>
        <v>[0,0,0,0,0,0,0,0,9437,15033,7008,15318,60837,181341,349925,514654,1545657,2487801,6959717,10275961,12011982,18988210,18779835,27459977],</v>
      </c>
    </row>
    <row r="51" spans="1:2" x14ac:dyDescent="0.3">
      <c r="A51" s="7" t="s">
        <v>78</v>
      </c>
      <c r="B51" s="71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3">
      <c r="A52" s="7" t="s">
        <v>105</v>
      </c>
      <c r="B52" s="71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3">
      <c r="A53" s="7" t="s">
        <v>161</v>
      </c>
      <c r="B53" s="71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3">
      <c r="A54" s="7" t="s">
        <v>6</v>
      </c>
      <c r="B54" s="71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3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3">
      <c r="A57" s="71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3">
      <c r="A58" s="71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3">
      <c r="A59" s="71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3">
      <c r="A60" s="71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3">
      <c r="A61" s="71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3">
      <c r="A62" s="71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3">
      <c r="A63" s="71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3">
      <c r="A64" s="71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3">
      <c r="A65" s="71" t="str">
        <f t="shared" si="5"/>
        <v>"Hexa": [77148,78898,77949,0,0,0,0,0,0,0,0,0,0,0,0,14725,213958,0,896286,160010,0,0,0,0],</v>
      </c>
    </row>
    <row r="66" spans="1:1" x14ac:dyDescent="0.3">
      <c r="A66" s="71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3">
      <c r="A67" s="71" t="str">
        <f t="shared" si="5"/>
        <v>"OPV": [0,0,0,0,0,0,0,0,0,0,0,0,0,0,0,0,320876850,459080986,455559619,463818185,445823504,438402962,470271315,477813507],</v>
      </c>
    </row>
    <row r="68" spans="1:1" x14ac:dyDescent="0.3">
      <c r="A68" s="71" t="str">
        <f t="shared" si="5"/>
        <v>"HPV": [0,0,0,0,0,0,0,0,9437,15033,7008,15318,60837,181341,349925,514654,1545657,2487801,6959717,10275961,12011982,18988210,18779835,27459977],</v>
      </c>
    </row>
    <row r="69" spans="1:1" x14ac:dyDescent="0.3">
      <c r="A69" s="71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3">
      <c r="A70" s="71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3">
      <c r="A71" s="71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3">
      <c r="A72" s="71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3">
      <c r="A74" s="71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3">
      <c r="A75" s="71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3">
      <c r="A76" s="71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3">
      <c r="A77" s="71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3">
      <c r="A78" s="71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3">
      <c r="A79" s="71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3">
      <c r="A80" s="71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3">
      <c r="A81" s="71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3">
      <c r="A82" s="71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3">
      <c r="A83" s="71" t="str">
        <f t="shared" si="6"/>
        <v xml:space="preserve">"Hexa": [77148,78898,77949,0,0,0,0,0,0,0,0,0,0,0,0,14725,213958,0,896286,160010,0,0,0,0],: </v>
      </c>
    </row>
    <row r="84" spans="1:10" x14ac:dyDescent="0.3">
      <c r="A84" s="71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3">
      <c r="A85" s="71" t="str">
        <f t="shared" si="6"/>
        <v xml:space="preserve">"OPV": [0,0,0,0,0,0,0,0,0,0,0,0,0,0,0,0,320876850,459080986,455559619,463818185,445823504,438402962,470271315,477813507],: </v>
      </c>
    </row>
    <row r="86" spans="1:10" x14ac:dyDescent="0.3">
      <c r="A86" s="71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3">
      <c r="A87" s="71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3">
      <c r="A88" s="71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3">
      <c r="A89" s="71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3">
      <c r="A90" s="71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3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57.6" x14ac:dyDescent="0.3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188</v>
      </c>
      <c r="H93" s="75">
        <v>0.7</v>
      </c>
      <c r="J93" s="76" t="s">
        <v>186</v>
      </c>
    </row>
    <row r="94" spans="1:10" x14ac:dyDescent="0.3">
      <c r="A94" s="7" t="s">
        <v>82</v>
      </c>
      <c r="B94" s="74">
        <v>0.60176670378566299</v>
      </c>
      <c r="C94" s="7" t="s">
        <v>192</v>
      </c>
      <c r="D94" s="73">
        <v>0.01</v>
      </c>
      <c r="E94" s="7" t="s">
        <v>84</v>
      </c>
      <c r="F94" s="74">
        <v>0.52495778815762095</v>
      </c>
      <c r="G94" s="7" t="s">
        <v>189</v>
      </c>
      <c r="H94" s="75">
        <v>0.95</v>
      </c>
    </row>
    <row r="95" spans="1:10" x14ac:dyDescent="0.3">
      <c r="A95" s="7" t="s">
        <v>7</v>
      </c>
      <c r="B95" s="73">
        <v>3.5671476343220798E-3</v>
      </c>
      <c r="C95" s="7" t="s">
        <v>193</v>
      </c>
      <c r="D95" s="77">
        <v>0.42</v>
      </c>
      <c r="E95" s="7" t="s">
        <v>73</v>
      </c>
      <c r="F95" s="74">
        <v>0.658732446387158</v>
      </c>
      <c r="G95" s="7" t="s">
        <v>161</v>
      </c>
      <c r="H95" s="75">
        <v>0.89</v>
      </c>
      <c r="J95" s="71" t="s">
        <v>187</v>
      </c>
    </row>
    <row r="96" spans="1:10" x14ac:dyDescent="0.3">
      <c r="A96" s="7" t="s">
        <v>86</v>
      </c>
      <c r="B96" s="73">
        <v>2.8222915579930501E-2</v>
      </c>
      <c r="C96" s="7" t="s">
        <v>7</v>
      </c>
      <c r="D96" s="73">
        <v>3.5671476343220798E-3</v>
      </c>
      <c r="E96" s="7" t="s">
        <v>74</v>
      </c>
      <c r="F96" s="75">
        <v>0.92235049618967202</v>
      </c>
      <c r="G96" s="7" t="s">
        <v>6</v>
      </c>
      <c r="H96" s="75">
        <v>0.98</v>
      </c>
    </row>
    <row r="97" spans="1:6" x14ac:dyDescent="0.3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3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3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3">
      <c r="A100" s="7" t="s">
        <v>77</v>
      </c>
      <c r="B100" s="73">
        <v>3.55220047548402E-2</v>
      </c>
      <c r="E100" s="7" t="s">
        <v>190</v>
      </c>
      <c r="F100" s="73">
        <v>0.14000000000000001</v>
      </c>
    </row>
    <row r="101" spans="1:6" x14ac:dyDescent="0.3">
      <c r="A101" s="7" t="s">
        <v>1</v>
      </c>
      <c r="B101" s="75">
        <v>0.94736317707128803</v>
      </c>
      <c r="E101" s="7" t="s">
        <v>191</v>
      </c>
      <c r="F101" s="75">
        <v>0.95</v>
      </c>
    </row>
    <row r="102" spans="1:6" x14ac:dyDescent="0.3">
      <c r="A102" s="7" t="s">
        <v>142</v>
      </c>
      <c r="B102" s="73">
        <v>3.40198639357304E-2</v>
      </c>
      <c r="E102" s="7" t="s">
        <v>175</v>
      </c>
      <c r="F102" s="77">
        <v>0.4</v>
      </c>
    </row>
    <row r="103" spans="1:6" x14ac:dyDescent="0.3">
      <c r="A103" s="7" t="s">
        <v>79</v>
      </c>
      <c r="B103" s="75">
        <v>0.71135552976522598</v>
      </c>
      <c r="E103" s="7" t="s">
        <v>78</v>
      </c>
      <c r="F103" s="73">
        <v>6.62294170170607E-5</v>
      </c>
    </row>
    <row r="104" spans="1:6" x14ac:dyDescent="0.3">
      <c r="A104" s="7" t="s">
        <v>175</v>
      </c>
      <c r="B104" s="74">
        <v>0.68208483127570896</v>
      </c>
      <c r="E104" s="7" t="s">
        <v>105</v>
      </c>
      <c r="F104" s="73">
        <v>2.51408842676289E-2</v>
      </c>
    </row>
    <row r="105" spans="1:6" x14ac:dyDescent="0.3">
      <c r="A105" s="7" t="s">
        <v>78</v>
      </c>
      <c r="B105" s="73">
        <v>6.62294170170607E-5</v>
      </c>
    </row>
    <row r="106" spans="1:6" x14ac:dyDescent="0.3">
      <c r="A106" s="7" t="s">
        <v>105</v>
      </c>
      <c r="B106" s="73">
        <v>2.51408842676289E-2</v>
      </c>
      <c r="D106" s="83" t="s">
        <v>198</v>
      </c>
      <c r="E106" s="83"/>
    </row>
    <row r="107" spans="1:6" x14ac:dyDescent="0.3">
      <c r="A107" s="7" t="s">
        <v>5</v>
      </c>
      <c r="B107" s="74">
        <v>0.566218725991401</v>
      </c>
      <c r="D107" s="73" t="s">
        <v>194</v>
      </c>
      <c r="E107" s="78">
        <v>9</v>
      </c>
    </row>
    <row r="108" spans="1:6" x14ac:dyDescent="0.3">
      <c r="A108" s="7" t="s">
        <v>161</v>
      </c>
      <c r="B108" s="75">
        <v>0.78385614450002705</v>
      </c>
      <c r="D108" s="77" t="s">
        <v>195</v>
      </c>
      <c r="E108" s="78">
        <v>2</v>
      </c>
    </row>
    <row r="109" spans="1:6" x14ac:dyDescent="0.3">
      <c r="A109" s="7" t="s">
        <v>6</v>
      </c>
      <c r="B109" s="75">
        <v>0.88316128259450699</v>
      </c>
      <c r="D109" s="74" t="s">
        <v>196</v>
      </c>
      <c r="E109" s="78">
        <v>2</v>
      </c>
    </row>
    <row r="110" spans="1:6" x14ac:dyDescent="0.3">
      <c r="D110" s="75" t="s">
        <v>197</v>
      </c>
      <c r="E110" s="78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M7" sqref="M7"/>
    </sheetView>
  </sheetViews>
  <sheetFormatPr defaultRowHeight="14.4" x14ac:dyDescent="0.3"/>
  <cols>
    <col min="1" max="1" width="11.88671875" bestFit="1" customWidth="1"/>
    <col min="2" max="11" width="12" bestFit="1" customWidth="1"/>
  </cols>
  <sheetData>
    <row r="1" spans="1:12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3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3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3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3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3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3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3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3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3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3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3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3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3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3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3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3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3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3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3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3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3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3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3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3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3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3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3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3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3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3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3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3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3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3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3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3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3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3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3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3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3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3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K13"/>
  <sheetViews>
    <sheetView workbookViewId="0">
      <selection activeCell="G2" sqref="G2"/>
    </sheetView>
  </sheetViews>
  <sheetFormatPr defaultRowHeight="14.4" x14ac:dyDescent="0.3"/>
  <cols>
    <col min="1" max="1" width="11.88671875" bestFit="1" customWidth="1"/>
    <col min="2" max="11" width="12" bestFit="1" customWidth="1"/>
  </cols>
  <sheetData>
    <row r="1" spans="1:11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1" x14ac:dyDescent="0.3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</row>
    <row r="3" spans="1:11" x14ac:dyDescent="0.3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</row>
    <row r="4" spans="1:11" x14ac:dyDescent="0.3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1" x14ac:dyDescent="0.3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</row>
    <row r="6" spans="1:11" x14ac:dyDescent="0.3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</row>
    <row r="7" spans="1:11" x14ac:dyDescent="0.3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1" x14ac:dyDescent="0.3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1" x14ac:dyDescent="0.3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1" x14ac:dyDescent="0.3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</row>
    <row r="11" spans="1:11" x14ac:dyDescent="0.3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1" x14ac:dyDescent="0.3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1" x14ac:dyDescent="0.3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A10" sqref="A10"/>
    </sheetView>
  </sheetViews>
  <sheetFormatPr defaultRowHeight="14.4" x14ac:dyDescent="0.3"/>
  <cols>
    <col min="1" max="1" width="11.88671875" bestFit="1" customWidth="1"/>
    <col min="2" max="11" width="12" bestFit="1" customWidth="1"/>
    <col min="13" max="15" width="10" bestFit="1" customWidth="1"/>
  </cols>
  <sheetData>
    <row r="1" spans="1:15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3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3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3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3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3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3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3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3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3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3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3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3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M11" sqref="M11"/>
    </sheetView>
  </sheetViews>
  <sheetFormatPr defaultRowHeight="14.4" x14ac:dyDescent="0.3"/>
  <cols>
    <col min="1" max="1" width="11.88671875" bestFit="1" customWidth="1"/>
    <col min="2" max="6" width="12" bestFit="1" customWidth="1"/>
    <col min="7" max="11" width="13.6640625" bestFit="1" customWidth="1"/>
  </cols>
  <sheetData>
    <row r="1" spans="1:14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3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3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3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3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3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3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3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3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3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3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3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3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3">
      <c r="G15" s="69"/>
      <c r="H15" s="69"/>
      <c r="I15" s="69"/>
      <c r="J15" s="69"/>
      <c r="K15" s="69"/>
    </row>
    <row r="16" spans="1:14" x14ac:dyDescent="0.3">
      <c r="G16" s="67"/>
      <c r="H16" s="67"/>
      <c r="I16" s="67"/>
      <c r="J16" s="67"/>
      <c r="K16" s="67"/>
    </row>
    <row r="17" spans="7:11" x14ac:dyDescent="0.3">
      <c r="G17" s="67"/>
      <c r="H17" s="67"/>
      <c r="I17" s="67"/>
      <c r="J17" s="67"/>
      <c r="K17" s="67"/>
    </row>
    <row r="22" spans="7:11" x14ac:dyDescent="0.3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4.4" x14ac:dyDescent="0.3"/>
  <cols>
    <col min="2" max="11" width="12" bestFit="1" customWidth="1"/>
    <col min="13" max="13" width="13.5546875" bestFit="1" customWidth="1"/>
  </cols>
  <sheetData>
    <row r="1" spans="1:18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3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3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3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3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3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3">
      <c r="A7" s="50" t="s">
        <v>141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3">
      <c r="A8" s="50" t="s">
        <v>140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3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3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3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3">
      <c r="A12" t="s">
        <v>161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3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4.4" x14ac:dyDescent="0.3"/>
  <cols>
    <col min="1" max="1" width="33.44140625" bestFit="1" customWidth="1"/>
  </cols>
  <sheetData>
    <row r="1" spans="1:11" x14ac:dyDescent="0.3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3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3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3">
      <c r="B6" s="15"/>
      <c r="C6" s="15"/>
    </row>
    <row r="7" spans="1:11" x14ac:dyDescent="0.3">
      <c r="B7" s="15"/>
      <c r="C7" s="15"/>
    </row>
    <row r="8" spans="1:11" x14ac:dyDescent="0.3">
      <c r="B8" s="14"/>
      <c r="C8" s="14"/>
    </row>
    <row r="9" spans="1:11" x14ac:dyDescent="0.3">
      <c r="C9" s="13"/>
    </row>
    <row r="23" spans="2:2" x14ac:dyDescent="0.3">
      <c r="B23" s="13"/>
    </row>
    <row r="24" spans="2:2" x14ac:dyDescent="0.3">
      <c r="B24" s="16"/>
    </row>
    <row r="25" spans="2:2" x14ac:dyDescent="0.3">
      <c r="B25" s="16"/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4.4" x14ac:dyDescent="0.3"/>
  <cols>
    <col min="1" max="1" width="34.109375" bestFit="1" customWidth="1"/>
  </cols>
  <sheetData>
    <row r="1" spans="1:11" x14ac:dyDescent="0.3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3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3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B10" sqref="B10"/>
    </sheetView>
  </sheetViews>
  <sheetFormatPr defaultRowHeight="14.4" x14ac:dyDescent="0.3"/>
  <cols>
    <col min="1" max="1" width="39.5546875" bestFit="1" customWidth="1"/>
    <col min="4" max="5" width="12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3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3">
      <c r="A4" t="s">
        <v>148</v>
      </c>
      <c r="B4" s="19">
        <v>3.2069999999999999</v>
      </c>
      <c r="C4" s="19">
        <v>3.3031666666666668</v>
      </c>
      <c r="D4" s="19">
        <v>3.4091666666666667</v>
      </c>
      <c r="E4" s="19">
        <v>3.3561666666666667</v>
      </c>
      <c r="F4" s="19">
        <v>3.3826666666666663</v>
      </c>
      <c r="G4" s="19">
        <v>3.3694166666666665</v>
      </c>
      <c r="H4" s="19">
        <v>3.3760416666666666</v>
      </c>
      <c r="I4" s="19">
        <v>3.3727291666666668</v>
      </c>
      <c r="J4" s="19">
        <v>3.3743854166666667</v>
      </c>
      <c r="K4" s="19">
        <v>3.3735572916666667</v>
      </c>
    </row>
  </sheetData>
  <phoneticPr fontId="6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4.4" x14ac:dyDescent="0.3"/>
  <cols>
    <col min="1" max="1" width="38.886718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3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3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B14" sqref="B14"/>
    </sheetView>
  </sheetViews>
  <sheetFormatPr defaultRowHeight="14.4" x14ac:dyDescent="0.3"/>
  <cols>
    <col min="1" max="1" width="38" bestFit="1" customWidth="1"/>
  </cols>
  <sheetData>
    <row r="1" spans="1:11" x14ac:dyDescent="0.3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3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3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3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3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3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3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3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3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3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4.4" x14ac:dyDescent="0.3"/>
  <cols>
    <col min="1" max="1" width="16.88671875" bestFit="1" customWidth="1"/>
    <col min="6" max="6" width="12" bestFit="1" customWidth="1"/>
  </cols>
  <sheetData>
    <row r="1" spans="1:11" x14ac:dyDescent="0.3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3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3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3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3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3">
      <c r="A18" s="20"/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4.4" x14ac:dyDescent="0.3"/>
  <cols>
    <col min="1" max="1" width="25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3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3">
      <c r="B4" s="19"/>
      <c r="C4" s="19"/>
    </row>
    <row r="5" spans="1:11" x14ac:dyDescent="0.3">
      <c r="B5" s="19"/>
      <c r="C5" s="19"/>
    </row>
    <row r="6" spans="1:11" x14ac:dyDescent="0.3">
      <c r="B6" s="19"/>
      <c r="C6" s="19"/>
    </row>
    <row r="7" spans="1:11" x14ac:dyDescent="0.3">
      <c r="B7" s="19"/>
      <c r="C7" s="19"/>
    </row>
    <row r="10" spans="1:11" x14ac:dyDescent="0.3">
      <c r="B10" s="19"/>
      <c r="C10" s="19"/>
    </row>
    <row r="30" spans="2:3" x14ac:dyDescent="0.3">
      <c r="B30" s="19"/>
      <c r="C30" s="19"/>
    </row>
    <row r="31" spans="2:3" x14ac:dyDescent="0.3">
      <c r="B31" s="19"/>
      <c r="C31" s="19"/>
    </row>
    <row r="32" spans="2:3" x14ac:dyDescent="0.3">
      <c r="B32" s="19"/>
      <c r="C32" s="19"/>
    </row>
    <row r="33" spans="2:3" x14ac:dyDescent="0.3">
      <c r="B33" s="19"/>
      <c r="C33" s="19"/>
    </row>
    <row r="34" spans="2:3" x14ac:dyDescent="0.3">
      <c r="B34" s="19"/>
      <c r="C34" s="19"/>
    </row>
    <row r="35" spans="2:3" x14ac:dyDescent="0.3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4.4" x14ac:dyDescent="0.3"/>
  <cols>
    <col min="1" max="1" width="13.332031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F11" sqref="F11"/>
    </sheetView>
  </sheetViews>
  <sheetFormatPr defaultRowHeight="14.4" x14ac:dyDescent="0.3"/>
  <cols>
    <col min="1" max="1" width="18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3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3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3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3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3">
      <c r="H8" s="27"/>
    </row>
    <row r="33" spans="1:5" x14ac:dyDescent="0.3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3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4.4" x14ac:dyDescent="0.3"/>
  <cols>
    <col min="1" max="1" width="36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3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4.4" x14ac:dyDescent="0.3"/>
  <cols>
    <col min="1" max="1" width="14" bestFit="1" customWidth="1"/>
    <col min="2" max="2" width="13.44140625" bestFit="1" customWidth="1"/>
    <col min="3" max="8" width="12.1093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3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3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4.4" x14ac:dyDescent="0.3"/>
  <cols>
    <col min="1" max="1" width="24.1093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3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3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3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3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3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3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H7" sqref="H7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A3" sqref="A3:A4"/>
    </sheetView>
  </sheetViews>
  <sheetFormatPr defaultRowHeight="14.4" x14ac:dyDescent="0.3"/>
  <cols>
    <col min="1" max="1" width="40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3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3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tabSelected="1" workbookViewId="0">
      <selection activeCell="F17" sqref="F17"/>
    </sheetView>
  </sheetViews>
  <sheetFormatPr defaultRowHeight="14.4" x14ac:dyDescent="0.3"/>
  <cols>
    <col min="1" max="1" width="35.55468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3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3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3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vaccine-producer list</vt:lpstr>
      <vt:lpstr>vaccine-antigen list</vt:lpstr>
      <vt:lpstr>total_capacity_calcs</vt:lpstr>
      <vt:lpstr>Demand_data_trend</vt:lpstr>
      <vt:lpstr>Demand_data_trend_v2</vt:lpstr>
      <vt:lpstr>Demand_data_trend_predictions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Fatih Çengil</cp:lastModifiedBy>
  <cp:revision/>
  <dcterms:created xsi:type="dcterms:W3CDTF">2023-08-30T20:34:45Z</dcterms:created>
  <dcterms:modified xsi:type="dcterms:W3CDTF">2024-05-21T15:29:52Z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