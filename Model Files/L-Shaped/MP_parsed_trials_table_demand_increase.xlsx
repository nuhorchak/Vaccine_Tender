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Files/L-Shaped/"/>
    </mc:Choice>
  </mc:AlternateContent>
  <xr:revisionPtr revIDLastSave="19" documentId="11_08B56DFC5F461A0F6235547658B3FE3C8CFF94C6" xr6:coauthVersionLast="47" xr6:coauthVersionMax="47" xr10:uidLastSave="{437E63F7-43A0-423C-8C14-5CC6BF85A8FC}"/>
  <bookViews>
    <workbookView xWindow="23085" yWindow="-124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R11" i="1"/>
  <c r="R10" i="1"/>
  <c r="R9" i="1"/>
  <c r="R8" i="1"/>
  <c r="R7" i="1"/>
  <c r="R6" i="1"/>
  <c r="R5" i="1"/>
  <c r="R4" i="1"/>
  <c r="R3" i="1"/>
  <c r="R2" i="1"/>
  <c r="P12" i="1"/>
  <c r="P11" i="1"/>
  <c r="P10" i="1"/>
  <c r="P9" i="1"/>
  <c r="P8" i="1"/>
  <c r="P7" i="1"/>
  <c r="P6" i="1"/>
  <c r="P5" i="1"/>
  <c r="P4" i="1"/>
  <c r="P3" i="1"/>
  <c r="P2" i="1"/>
  <c r="N12" i="1"/>
  <c r="N11" i="1"/>
  <c r="N10" i="1"/>
  <c r="N9" i="1"/>
  <c r="N8" i="1"/>
  <c r="N7" i="1"/>
  <c r="N6" i="1"/>
  <c r="N5" i="1"/>
  <c r="N4" i="1"/>
  <c r="N3" i="1"/>
  <c r="N2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<sst xmlns="http://schemas.openxmlformats.org/spreadsheetml/2006/main" count="31" uniqueCount="18">
  <si>
    <t>Trial</t>
  </si>
  <si>
    <t>Explored Nodes</t>
  </si>
  <si>
    <t>Simplex Iterations</t>
  </si>
  <si>
    <t>Time (s)</t>
  </si>
  <si>
    <t>Work Units</t>
  </si>
  <si>
    <t>Best Objective</t>
  </si>
  <si>
    <t>Best Bound</t>
  </si>
  <si>
    <t>Gap (%)</t>
  </si>
  <si>
    <t>DE Model Status</t>
  </si>
  <si>
    <t>Objective Value</t>
  </si>
  <si>
    <t>F Objective</t>
  </si>
  <si>
    <t>Q Objective</t>
  </si>
  <si>
    <t>S Objective</t>
  </si>
  <si>
    <t>I Objective</t>
  </si>
  <si>
    <t>Total Objective</t>
  </si>
  <si>
    <t>OPTIMAL</t>
  </si>
  <si>
    <t>Base</t>
  </si>
  <si>
    <t>%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</si>
</sst>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0" fontId="0" fillId="2" borderId="0" xfId="0" applyNumberFormat="1" applyFill="1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11" fontId="0" fillId="2" borderId="0" xfId="0" applyNumberFormat="1" applyFill="1"/>
    <xf numFmtId="11" fontId="0" fillId="3" borderId="0" xfId="0" applyNumberFormat="1" applyFill="1"/>
    <xf numFmtId="10" fontId="0" fillId="3" borderId="0" xfId="0" applyNumberFormat="1" applyFill="1"/>
    <xf numFmtId="11" fontId="0" fillId="4" borderId="0" xfId="0" applyNumberFormat="1" applyFill="1"/>
    <xf numFmtId="10" fontId="0" fillId="4" borderId="0" xfId="0" applyNumberFormat="1" applyFill="1"/>
    <xf numFmtId="11" fontId="0" fillId="5" borderId="0" xfId="0" applyNumberFormat="1" applyFill="1"/>
    <xf numFmtId="10" fontId="0" fillId="5" borderId="0" xfId="0" applyNumberFormat="1" applyFill="1"/>
    <xf numFmtId="11" fontId="0" fillId="6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sqref="A1:S12"/>
    </sheetView>
  </sheetViews>
  <sheetFormatPr defaultRowHeight="15" x14ac:dyDescent="0.25"/>
  <cols>
    <col min="2" max="10" width="0" hidden="1" customWidth="1"/>
    <col min="11" max="11" width="11" bestFit="1" customWidth="1"/>
    <col min="13" max="13" width="12" bestFit="1" customWidth="1"/>
    <col min="15" max="15" width="12" bestFit="1" customWidth="1"/>
    <col min="17" max="17" width="12" bestFit="1" customWidth="1"/>
    <col min="19" max="19" width="14.5703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17</v>
      </c>
      <c r="M1" s="5" t="s">
        <v>11</v>
      </c>
      <c r="N1" s="5" t="s">
        <v>17</v>
      </c>
      <c r="O1" s="6" t="s">
        <v>12</v>
      </c>
      <c r="P1" s="6" t="s">
        <v>17</v>
      </c>
      <c r="Q1" s="7" t="s">
        <v>13</v>
      </c>
      <c r="R1" s="7" t="s">
        <v>17</v>
      </c>
      <c r="S1" s="8" t="s">
        <v>14</v>
      </c>
    </row>
    <row r="2" spans="1:19" x14ac:dyDescent="0.25">
      <c r="A2" t="s">
        <v>16</v>
      </c>
      <c r="B2">
        <v>17591</v>
      </c>
      <c r="C2">
        <v>4349015</v>
      </c>
      <c r="D2">
        <v>78.349999999999994</v>
      </c>
      <c r="E2">
        <v>86.77</v>
      </c>
      <c r="I2" t="s">
        <v>15</v>
      </c>
      <c r="K2" s="9">
        <v>8008967015.0628633</v>
      </c>
      <c r="L2" s="4">
        <f>K2/$S2</f>
        <v>6.0730753180109343E-3</v>
      </c>
      <c r="M2" s="10">
        <v>374353424998.53882</v>
      </c>
      <c r="N2" s="11">
        <f>M2/$S2</f>
        <v>0.28386638892327098</v>
      </c>
      <c r="O2" s="12">
        <v>935722638584.89966</v>
      </c>
      <c r="P2" s="13">
        <f>O2/$S2</f>
        <v>0.70954394620507943</v>
      </c>
      <c r="Q2" s="14">
        <v>681260889.87369978</v>
      </c>
      <c r="R2" s="15">
        <f>Q2/$S2</f>
        <v>5.1658955363866694E-4</v>
      </c>
      <c r="S2" s="16">
        <v>1318766291488.375</v>
      </c>
    </row>
    <row r="3" spans="1:19" x14ac:dyDescent="0.25">
      <c r="A3" s="2">
        <v>0.01</v>
      </c>
      <c r="B3">
        <v>21709</v>
      </c>
      <c r="C3">
        <v>4871171</v>
      </c>
      <c r="D3">
        <v>141.97999999999999</v>
      </c>
      <c r="E3">
        <v>163.82</v>
      </c>
      <c r="I3" t="s">
        <v>15</v>
      </c>
      <c r="K3" s="9">
        <v>8320404100.3108797</v>
      </c>
      <c r="L3" s="4">
        <f t="shared" ref="L3:L12" si="0">K3/$S3</f>
        <v>5.1732896757326246E-3</v>
      </c>
      <c r="M3" s="10">
        <v>372990899193.7677</v>
      </c>
      <c r="N3" s="11">
        <f t="shared" ref="N3:N12" si="1">M3/$S3</f>
        <v>0.23191060730683141</v>
      </c>
      <c r="O3" s="12">
        <v>1226247158646.8369</v>
      </c>
      <c r="P3" s="13">
        <f t="shared" ref="P3:P12" si="2">O3/$S3</f>
        <v>0.76243072923430755</v>
      </c>
      <c r="Q3" s="14">
        <v>780645637.19771135</v>
      </c>
      <c r="R3" s="15">
        <f t="shared" ref="R3:R12" si="3">Q3/$S3</f>
        <v>4.8537378312788236E-4</v>
      </c>
      <c r="S3" s="16">
        <v>1608339107578.114</v>
      </c>
    </row>
    <row r="4" spans="1:19" x14ac:dyDescent="0.25">
      <c r="A4" s="2">
        <v>0.02</v>
      </c>
      <c r="B4">
        <v>17684</v>
      </c>
      <c r="C4">
        <v>3627279</v>
      </c>
      <c r="D4">
        <v>75.2</v>
      </c>
      <c r="E4">
        <v>88.54</v>
      </c>
      <c r="I4" t="s">
        <v>15</v>
      </c>
      <c r="K4" s="9">
        <v>8171585317.3315344</v>
      </c>
      <c r="L4" s="4">
        <f t="shared" si="0"/>
        <v>5.1253274521584164E-3</v>
      </c>
      <c r="M4" s="10">
        <v>372674525073.69623</v>
      </c>
      <c r="N4" s="11">
        <f t="shared" si="1"/>
        <v>0.2337464396326048</v>
      </c>
      <c r="O4" s="12">
        <v>1212754423911.4919</v>
      </c>
      <c r="P4" s="13">
        <f t="shared" si="2"/>
        <v>0.76065577243828109</v>
      </c>
      <c r="Q4" s="14">
        <v>753269158.41891146</v>
      </c>
      <c r="R4" s="15">
        <f t="shared" si="3"/>
        <v>4.7246047695546282E-4</v>
      </c>
      <c r="S4" s="16">
        <v>1594353803460.939</v>
      </c>
    </row>
    <row r="5" spans="1:19" x14ac:dyDescent="0.25">
      <c r="A5" s="2">
        <v>0.03</v>
      </c>
      <c r="B5">
        <v>15526</v>
      </c>
      <c r="C5">
        <v>4006579</v>
      </c>
      <c r="D5">
        <v>75.37</v>
      </c>
      <c r="E5">
        <v>84.51</v>
      </c>
      <c r="I5" t="s">
        <v>15</v>
      </c>
      <c r="K5" s="9">
        <v>8090479080.6077919</v>
      </c>
      <c r="L5" s="4">
        <f t="shared" si="0"/>
        <v>4.8762993327987484E-3</v>
      </c>
      <c r="M5" s="10">
        <v>372791856228.4176</v>
      </c>
      <c r="N5" s="11">
        <f t="shared" si="1"/>
        <v>0.22468937397745242</v>
      </c>
      <c r="O5" s="12">
        <v>1277475159498.043</v>
      </c>
      <c r="P5" s="13">
        <f t="shared" si="2"/>
        <v>0.76996074099721978</v>
      </c>
      <c r="Q5" s="14">
        <v>785746500.93973041</v>
      </c>
      <c r="R5" s="15">
        <f t="shared" si="3"/>
        <v>4.7358569252904079E-4</v>
      </c>
      <c r="S5" s="16">
        <v>1659143241308.0081</v>
      </c>
    </row>
    <row r="6" spans="1:19" x14ac:dyDescent="0.25">
      <c r="A6" s="2">
        <v>0.04</v>
      </c>
      <c r="B6">
        <v>12499</v>
      </c>
      <c r="C6">
        <v>2941961</v>
      </c>
      <c r="D6">
        <v>56.05</v>
      </c>
      <c r="E6">
        <v>63.52</v>
      </c>
      <c r="I6" t="s">
        <v>15</v>
      </c>
      <c r="K6" s="9">
        <v>7941660297.6284466</v>
      </c>
      <c r="L6" s="4">
        <f t="shared" si="0"/>
        <v>5.024181238216496E-3</v>
      </c>
      <c r="M6" s="10">
        <v>373067767422.18018</v>
      </c>
      <c r="N6" s="11">
        <f t="shared" si="1"/>
        <v>0.23601614869192503</v>
      </c>
      <c r="O6" s="12">
        <v>1198936866324.4189</v>
      </c>
      <c r="P6" s="13">
        <f t="shared" si="2"/>
        <v>0.75849077949003008</v>
      </c>
      <c r="Q6" s="14">
        <v>741169461.29024315</v>
      </c>
      <c r="R6" s="15">
        <f t="shared" si="3"/>
        <v>4.6889057982818359E-4</v>
      </c>
      <c r="S6" s="16">
        <v>1580687463505.5181</v>
      </c>
    </row>
    <row r="7" spans="1:19" x14ac:dyDescent="0.25">
      <c r="A7" s="2">
        <v>0.05</v>
      </c>
      <c r="B7">
        <v>10699</v>
      </c>
      <c r="C7">
        <v>3408033</v>
      </c>
      <c r="D7">
        <v>71.88</v>
      </c>
      <c r="E7">
        <v>84.52</v>
      </c>
      <c r="I7" t="s">
        <v>15</v>
      </c>
      <c r="K7" s="9">
        <v>7930093060.0838108</v>
      </c>
      <c r="L7" s="4">
        <f t="shared" si="0"/>
        <v>5.3457854457897381E-3</v>
      </c>
      <c r="M7" s="10">
        <v>373343678627.33691</v>
      </c>
      <c r="N7" s="11">
        <f t="shared" si="1"/>
        <v>0.25167613902661135</v>
      </c>
      <c r="O7" s="12">
        <v>1101409875963.4089</v>
      </c>
      <c r="P7" s="13">
        <f t="shared" si="2"/>
        <v>0.74247563555225726</v>
      </c>
      <c r="Q7" s="14">
        <v>745334020.97320235</v>
      </c>
      <c r="R7" s="15">
        <f t="shared" si="3"/>
        <v>5.0243997534227909E-4</v>
      </c>
      <c r="S7" s="16">
        <v>1483428981671.802</v>
      </c>
    </row>
    <row r="8" spans="1:19" x14ac:dyDescent="0.25">
      <c r="A8" s="2">
        <v>0.06</v>
      </c>
      <c r="B8">
        <v>21604</v>
      </c>
      <c r="C8">
        <v>12890175</v>
      </c>
      <c r="D8">
        <v>182.19</v>
      </c>
      <c r="E8">
        <v>232.34</v>
      </c>
      <c r="I8" t="s">
        <v>15</v>
      </c>
      <c r="K8" s="9">
        <v>8243762427.0765171</v>
      </c>
      <c r="L8" s="4">
        <f t="shared" si="0"/>
        <v>5.9887249938221903E-3</v>
      </c>
      <c r="M8" s="10">
        <v>373510833785.23547</v>
      </c>
      <c r="N8" s="11">
        <f t="shared" si="1"/>
        <v>0.27133892874036403</v>
      </c>
      <c r="O8" s="12">
        <v>994129783106.14783</v>
      </c>
      <c r="P8" s="13">
        <f t="shared" si="2"/>
        <v>0.72219086028442636</v>
      </c>
      <c r="Q8" s="14">
        <v>662788163.8613441</v>
      </c>
      <c r="R8" s="15">
        <f t="shared" si="3"/>
        <v>4.814859813874531E-4</v>
      </c>
      <c r="S8" s="16">
        <v>1376547167482.321</v>
      </c>
    </row>
    <row r="9" spans="1:19" x14ac:dyDescent="0.25">
      <c r="A9" s="2">
        <v>7.0000000000000007E-2</v>
      </c>
      <c r="B9">
        <v>12512</v>
      </c>
      <c r="C9">
        <v>5543544</v>
      </c>
      <c r="D9">
        <v>98.08</v>
      </c>
      <c r="E9">
        <v>117.34</v>
      </c>
      <c r="I9" t="s">
        <v>15</v>
      </c>
      <c r="K9" s="9">
        <v>8167120753.8421555</v>
      </c>
      <c r="L9" s="4">
        <f t="shared" si="0"/>
        <v>4.6671347444811034E-3</v>
      </c>
      <c r="M9" s="10">
        <v>372264998468.42169</v>
      </c>
      <c r="N9" s="11">
        <f t="shared" si="1"/>
        <v>0.21273236442461374</v>
      </c>
      <c r="O9" s="12">
        <v>1368623991031.7471</v>
      </c>
      <c r="P9" s="13">
        <f t="shared" si="2"/>
        <v>0.78210580854577028</v>
      </c>
      <c r="Q9" s="14">
        <v>865672805.66974592</v>
      </c>
      <c r="R9" s="15">
        <f t="shared" si="3"/>
        <v>4.9469228513525094E-4</v>
      </c>
      <c r="S9" s="16">
        <v>1749921783059.6799</v>
      </c>
    </row>
    <row r="10" spans="1:19" x14ac:dyDescent="0.25">
      <c r="A10" s="2">
        <v>0.08</v>
      </c>
      <c r="B10">
        <v>21176</v>
      </c>
      <c r="C10">
        <v>6842440</v>
      </c>
      <c r="D10">
        <v>116.74</v>
      </c>
      <c r="E10">
        <v>140.31</v>
      </c>
      <c r="I10" t="s">
        <v>15</v>
      </c>
      <c r="K10" s="9">
        <v>8094943644.0971718</v>
      </c>
      <c r="L10" s="4">
        <f t="shared" si="0"/>
        <v>8.7211789812610945E-3</v>
      </c>
      <c r="M10" s="10">
        <v>370652361364.42932</v>
      </c>
      <c r="N10" s="11">
        <f t="shared" si="1"/>
        <v>0.39932650867105279</v>
      </c>
      <c r="O10" s="12">
        <v>549148718162.65289</v>
      </c>
      <c r="P10" s="13">
        <f t="shared" si="2"/>
        <v>0.59163157509056918</v>
      </c>
      <c r="Q10" s="14">
        <v>297706310.8671487</v>
      </c>
      <c r="R10" s="15">
        <f t="shared" si="3"/>
        <v>3.2073725711686895E-4</v>
      </c>
      <c r="S10" s="16">
        <v>928193729482.04663</v>
      </c>
    </row>
    <row r="11" spans="1:19" x14ac:dyDescent="0.25">
      <c r="A11" s="2">
        <v>0.09</v>
      </c>
      <c r="B11">
        <v>8643</v>
      </c>
      <c r="C11">
        <v>3249505</v>
      </c>
      <c r="D11">
        <v>64.319999999999993</v>
      </c>
      <c r="E11">
        <v>76.349999999999994</v>
      </c>
      <c r="I11" t="s">
        <v>15</v>
      </c>
      <c r="K11" s="9">
        <v>8167120753.8421555</v>
      </c>
      <c r="L11" s="4">
        <f t="shared" si="0"/>
        <v>5.8253028413125284E-3</v>
      </c>
      <c r="M11" s="10">
        <v>369173980768.68652</v>
      </c>
      <c r="N11" s="11">
        <f t="shared" si="1"/>
        <v>0.26331804119570257</v>
      </c>
      <c r="O11" s="12">
        <v>1023908528492.507</v>
      </c>
      <c r="P11" s="13">
        <f t="shared" si="2"/>
        <v>0.73031579182486606</v>
      </c>
      <c r="Q11" s="14">
        <v>758295808.43612695</v>
      </c>
      <c r="R11" s="15">
        <f t="shared" si="3"/>
        <v>5.408641381187203E-4</v>
      </c>
      <c r="S11" s="16">
        <v>1402007925823.4719</v>
      </c>
    </row>
    <row r="12" spans="1:19" x14ac:dyDescent="0.25">
      <c r="A12" s="2">
        <v>0.1</v>
      </c>
      <c r="B12">
        <v>20755</v>
      </c>
      <c r="C12">
        <v>8871587</v>
      </c>
      <c r="D12">
        <v>143.35</v>
      </c>
      <c r="E12">
        <v>170.52</v>
      </c>
      <c r="I12" t="s">
        <v>15</v>
      </c>
      <c r="K12" s="9">
        <v>8090479080.6077919</v>
      </c>
      <c r="L12" s="4">
        <f t="shared" si="0"/>
        <v>4.8377702703916821E-3</v>
      </c>
      <c r="M12" s="10">
        <v>367834255091.90527</v>
      </c>
      <c r="N12" s="11">
        <f t="shared" si="1"/>
        <v>0.21994959828529784</v>
      </c>
      <c r="O12" s="12">
        <v>1295822370603.762</v>
      </c>
      <c r="P12" s="13">
        <f t="shared" si="2"/>
        <v>0.7748479265265471</v>
      </c>
      <c r="Q12" s="14">
        <v>609916830.03583562</v>
      </c>
      <c r="R12" s="15">
        <f t="shared" si="3"/>
        <v>3.6470491776331715E-4</v>
      </c>
      <c r="S12" s="16">
        <v>1672357021606.311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2025-07-10T13:45:39Z</dcterms:created>
  <dcterms:modified xsi:type="dcterms:W3CDTF">2025-07-10T14:01:21Z</dcterms:modified>
</cp:coreProperties>
</file>