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"/>
    </mc:Choice>
  </mc:AlternateContent>
  <xr:revisionPtr revIDLastSave="26" documentId="11_08B5B1E4DA63820F62355476586A5E3886CB960A" xr6:coauthVersionLast="47" xr6:coauthVersionMax="47" xr10:uidLastSave="{0562618F-8C02-4E1B-A13A-92109D02CC42}"/>
  <bookViews>
    <workbookView xWindow="21555" yWindow="-64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8" i="1"/>
  <c r="R7" i="1"/>
  <c r="R6" i="1"/>
  <c r="R5" i="1"/>
  <c r="R4" i="1"/>
  <c r="R3" i="1"/>
  <c r="R2" i="1"/>
  <c r="P12" i="1"/>
  <c r="P11" i="1"/>
  <c r="P10" i="1"/>
  <c r="P9" i="1"/>
  <c r="P8" i="1"/>
  <c r="P7" i="1"/>
  <c r="P6" i="1"/>
  <c r="P5" i="1"/>
  <c r="P4" i="1"/>
  <c r="P3" i="1"/>
  <c r="P2" i="1"/>
  <c r="N12" i="1"/>
  <c r="N11" i="1"/>
  <c r="N10" i="1"/>
  <c r="N9" i="1"/>
  <c r="N8" i="1"/>
  <c r="N7" i="1"/>
  <c r="N6" i="1"/>
  <c r="N5" i="1"/>
  <c r="N4" i="1"/>
  <c r="N3" i="1"/>
  <c r="N2" i="1"/>
  <c r="L3" i="1"/>
  <c r="L4" i="1"/>
  <c r="L5" i="1"/>
  <c r="L6" i="1"/>
  <c r="L7" i="1"/>
  <c r="L8" i="1"/>
  <c r="L9" i="1"/>
  <c r="L10" i="1"/>
  <c r="L11" i="1"/>
  <c r="L12" i="1"/>
  <c r="L2" i="1"/>
</calcChain>
</file>

<file path=xl/sharedStrings.xml><?xml version="1.0" encoding="utf-8"?>
<sst xmlns="http://schemas.openxmlformats.org/spreadsheetml/2006/main" count="31" uniqueCount="18">
  <si>
    <t>Trial</t>
  </si>
  <si>
    <t>Explored Nodes</t>
  </si>
  <si>
    <t>Simplex Iterations</t>
  </si>
  <si>
    <t>Time (s)</t>
  </si>
  <si>
    <t>Work Units</t>
  </si>
  <si>
    <t>Best Objective</t>
  </si>
  <si>
    <t>Best Bound</t>
  </si>
  <si>
    <t>Gap (%)</t>
  </si>
  <si>
    <t>DE Model Status</t>
  </si>
  <si>
    <t>Objective Value</t>
  </si>
  <si>
    <t>F Objective</t>
  </si>
  <si>
    <t>Q Objective</t>
  </si>
  <si>
    <t>S Objective</t>
  </si>
  <si>
    <t>I Objective</t>
  </si>
  <si>
    <t>Total Objective</t>
  </si>
  <si>
    <t>OPTIMAL</t>
  </si>
  <si>
    <t>% Total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</si>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</sst>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1" fontId="0" fillId="2" borderId="0" xfId="0" applyNumberFormat="1" applyFill="1"/>
    <xf numFmtId="10" fontId="0" fillId="2" borderId="0" xfId="0" applyNumberFormat="1" applyFill="1"/>
    <xf numFmtId="11" fontId="0" fillId="3" borderId="0" xfId="0" applyNumberFormat="1" applyFill="1"/>
    <xf numFmtId="10" fontId="0" fillId="3" borderId="0" xfId="0" applyNumberFormat="1" applyFill="1"/>
    <xf numFmtId="11" fontId="0" fillId="4" borderId="0" xfId="0" applyNumberFormat="1" applyFill="1"/>
    <xf numFmtId="10" fontId="0" fillId="4" borderId="0" xfId="0" applyNumberFormat="1" applyFill="1"/>
    <xf numFmtId="11" fontId="0" fillId="5" borderId="0" xfId="0" applyNumberFormat="1" applyFill="1"/>
    <xf numFmtId="10" fontId="0" fillId="5" borderId="0" xfId="0" applyNumberFormat="1" applyFill="1"/>
    <xf numFmtId="11" fontId="0" fillId="6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Q14" sqref="Q14"/>
    </sheetView>
  </sheetViews>
  <sheetFormatPr defaultRowHeight="15" x14ac:dyDescent="0.25"/>
  <cols>
    <col min="1" max="1" width="5.140625" bestFit="1" customWidth="1"/>
    <col min="2" max="10" width="0" hidden="1" customWidth="1"/>
    <col min="11" max="11" width="11" bestFit="1" customWidth="1"/>
    <col min="12" max="12" width="11" customWidth="1"/>
    <col min="13" max="13" width="12" bestFit="1" customWidth="1"/>
    <col min="14" max="14" width="12" customWidth="1"/>
    <col min="15" max="15" width="12" bestFit="1" customWidth="1"/>
    <col min="16" max="16" width="12" customWidth="1"/>
    <col min="17" max="17" width="12" bestFit="1" customWidth="1"/>
    <col min="18" max="18" width="12" customWidth="1"/>
    <col min="19" max="19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16</v>
      </c>
      <c r="M1" s="3" t="s">
        <v>11</v>
      </c>
      <c r="N1" s="3" t="s">
        <v>16</v>
      </c>
      <c r="O1" s="4" t="s">
        <v>12</v>
      </c>
      <c r="P1" s="4" t="s">
        <v>16</v>
      </c>
      <c r="Q1" s="5" t="s">
        <v>13</v>
      </c>
      <c r="R1" s="5" t="s">
        <v>16</v>
      </c>
      <c r="S1" s="6" t="s">
        <v>14</v>
      </c>
    </row>
    <row r="2" spans="1:19" x14ac:dyDescent="0.25">
      <c r="A2" t="s">
        <v>17</v>
      </c>
      <c r="B2">
        <v>426943</v>
      </c>
      <c r="C2">
        <v>520544774</v>
      </c>
      <c r="D2">
        <v>3251.28</v>
      </c>
      <c r="E2">
        <v>4493.7299999999996</v>
      </c>
      <c r="F2">
        <v>319530717726.29999</v>
      </c>
      <c r="G2">
        <v>319530717726.29999</v>
      </c>
      <c r="H2">
        <v>0</v>
      </c>
      <c r="I2" t="s">
        <v>15</v>
      </c>
      <c r="J2">
        <v>319530717726.3172</v>
      </c>
      <c r="K2" s="7">
        <v>2779687600.2838149</v>
      </c>
      <c r="L2" s="8">
        <f>K2/$S2</f>
        <v>8.6992813087368327E-3</v>
      </c>
      <c r="M2" s="9">
        <v>12089482571.003201</v>
      </c>
      <c r="N2" s="10">
        <f>M2/$S2</f>
        <v>3.7835118504500172E-2</v>
      </c>
      <c r="O2" s="11">
        <v>304585632202.33612</v>
      </c>
      <c r="P2" s="12">
        <f>O2/$S2</f>
        <v>0.95322801629112341</v>
      </c>
      <c r="Q2" s="13">
        <v>75915352.694093034</v>
      </c>
      <c r="R2" s="14">
        <f>Q2/$S2</f>
        <v>2.3758389564009207E-4</v>
      </c>
      <c r="S2" s="15">
        <v>319530717726.31708</v>
      </c>
    </row>
    <row r="3" spans="1:19" x14ac:dyDescent="0.25">
      <c r="A3" s="16">
        <v>0.01</v>
      </c>
      <c r="B3">
        <v>436102</v>
      </c>
      <c r="C3">
        <v>476090796</v>
      </c>
      <c r="D3">
        <v>3496.41</v>
      </c>
      <c r="E3">
        <v>4843.8</v>
      </c>
      <c r="F3">
        <v>330543273941</v>
      </c>
      <c r="G3">
        <v>330543273941</v>
      </c>
      <c r="H3">
        <v>0</v>
      </c>
      <c r="I3" t="s">
        <v>15</v>
      </c>
      <c r="J3">
        <v>330543273941.04602</v>
      </c>
      <c r="K3" s="7">
        <v>2705278208.7941418</v>
      </c>
      <c r="L3" s="8">
        <f t="shared" ref="L3:N12" si="0">K3/$S3</f>
        <v>8.184339002089756E-3</v>
      </c>
      <c r="M3" s="9">
        <v>12127076800.40641</v>
      </c>
      <c r="N3" s="10">
        <f t="shared" si="0"/>
        <v>3.6688318161238187E-2</v>
      </c>
      <c r="O3" s="11">
        <v>315635780105.2431</v>
      </c>
      <c r="P3" s="12">
        <f t="shared" ref="P3" si="1">O3/$S3</f>
        <v>0.95490002365480953</v>
      </c>
      <c r="Q3" s="13">
        <v>75138826.602387249</v>
      </c>
      <c r="R3" s="14">
        <f t="shared" ref="R3" si="2">Q3/$S3</f>
        <v>2.2731918186236821E-4</v>
      </c>
      <c r="S3" s="15">
        <v>330543273941.04608</v>
      </c>
    </row>
    <row r="4" spans="1:19" x14ac:dyDescent="0.25">
      <c r="A4" s="16">
        <v>0.02</v>
      </c>
      <c r="B4">
        <v>778391</v>
      </c>
      <c r="C4">
        <v>745989459</v>
      </c>
      <c r="D4">
        <v>4622.34</v>
      </c>
      <c r="E4">
        <v>6430.65</v>
      </c>
      <c r="F4">
        <v>341670774024.90002</v>
      </c>
      <c r="G4">
        <v>341670774024.90002</v>
      </c>
      <c r="H4">
        <v>0</v>
      </c>
      <c r="I4" t="s">
        <v>15</v>
      </c>
      <c r="J4">
        <v>341670774024.91919</v>
      </c>
      <c r="K4" s="7">
        <v>2705278208.7941418</v>
      </c>
      <c r="L4" s="8">
        <f t="shared" si="0"/>
        <v>7.9177922563456876E-3</v>
      </c>
      <c r="M4" s="9">
        <v>12160505268.590639</v>
      </c>
      <c r="N4" s="10">
        <f t="shared" si="0"/>
        <v>3.5591294875293417E-2</v>
      </c>
      <c r="O4" s="11">
        <v>326729856017.49017</v>
      </c>
      <c r="P4" s="12">
        <f t="shared" ref="P4" si="3">O4/$S4</f>
        <v>0.95627100957034372</v>
      </c>
      <c r="Q4" s="13">
        <v>75134530.044190928</v>
      </c>
      <c r="R4" s="14">
        <f t="shared" ref="R4" si="4">Q4/$S4</f>
        <v>2.1990329801726364E-4</v>
      </c>
      <c r="S4" s="15">
        <v>341670774024.91913</v>
      </c>
    </row>
    <row r="5" spans="1:19" x14ac:dyDescent="0.25">
      <c r="A5" s="16">
        <v>0.03</v>
      </c>
      <c r="B5">
        <v>779005</v>
      </c>
      <c r="C5">
        <v>921434136</v>
      </c>
      <c r="D5">
        <v>5542.82</v>
      </c>
      <c r="E5">
        <v>7685.1</v>
      </c>
      <c r="F5">
        <v>353005080055.09998</v>
      </c>
      <c r="G5">
        <v>353005080055.09998</v>
      </c>
      <c r="H5">
        <v>0</v>
      </c>
      <c r="I5" t="s">
        <v>15</v>
      </c>
      <c r="J5">
        <v>353005080055.08917</v>
      </c>
      <c r="K5" s="7">
        <v>2705278208.7941418</v>
      </c>
      <c r="L5" s="8">
        <f t="shared" si="0"/>
        <v>7.6635673582146815E-3</v>
      </c>
      <c r="M5" s="9">
        <v>12149075253.035801</v>
      </c>
      <c r="N5" s="10">
        <f t="shared" si="0"/>
        <v>3.4416148490383887E-2</v>
      </c>
      <c r="O5" s="11">
        <v>338075774586.98639</v>
      </c>
      <c r="P5" s="12">
        <f t="shared" ref="P5" si="5">O5/$S5</f>
        <v>0.95770795857732993</v>
      </c>
      <c r="Q5" s="13">
        <v>74952006.272882849</v>
      </c>
      <c r="R5" s="14">
        <f t="shared" ref="R5" si="6">Q5/$S5</f>
        <v>2.1232557407158562E-4</v>
      </c>
      <c r="S5" s="15">
        <v>353005080055.08917</v>
      </c>
    </row>
    <row r="6" spans="1:19" x14ac:dyDescent="0.25">
      <c r="A6" s="16">
        <v>0.04</v>
      </c>
      <c r="B6">
        <v>433305</v>
      </c>
      <c r="C6">
        <v>531778287</v>
      </c>
      <c r="D6">
        <v>3766.72</v>
      </c>
      <c r="E6">
        <v>5257.71</v>
      </c>
      <c r="F6">
        <v>364296394947.79999</v>
      </c>
      <c r="G6">
        <v>364296394947.79999</v>
      </c>
      <c r="H6">
        <v>0</v>
      </c>
      <c r="I6" t="s">
        <v>15</v>
      </c>
      <c r="J6">
        <v>364296394947.75519</v>
      </c>
      <c r="K6" s="7">
        <v>2041836608.0675149</v>
      </c>
      <c r="L6" s="8">
        <f t="shared" si="0"/>
        <v>5.6048773372032439E-3</v>
      </c>
      <c r="M6" s="9">
        <v>11915586703.99295</v>
      </c>
      <c r="N6" s="10">
        <f t="shared" si="0"/>
        <v>3.2708494701688719E-2</v>
      </c>
      <c r="O6" s="11">
        <v>350264355337.50958</v>
      </c>
      <c r="P6" s="12">
        <f t="shared" ref="P6" si="7">O6/$S6</f>
        <v>0.96148180491256874</v>
      </c>
      <c r="Q6" s="13">
        <v>74616298.184998468</v>
      </c>
      <c r="R6" s="14">
        <f t="shared" ref="R6" si="8">Q6/$S6</f>
        <v>2.0482304853908703E-4</v>
      </c>
      <c r="S6" s="15">
        <v>364296394947.75513</v>
      </c>
    </row>
    <row r="7" spans="1:19" x14ac:dyDescent="0.25">
      <c r="A7" s="16">
        <v>0.05</v>
      </c>
      <c r="B7">
        <v>634559</v>
      </c>
      <c r="C7">
        <v>660767408</v>
      </c>
      <c r="D7">
        <v>4231.37</v>
      </c>
      <c r="E7">
        <v>5857.88</v>
      </c>
      <c r="F7">
        <v>375804603065.29999</v>
      </c>
      <c r="G7">
        <v>375804603065.29999</v>
      </c>
      <c r="H7">
        <v>0</v>
      </c>
      <c r="I7" t="s">
        <v>15</v>
      </c>
      <c r="J7">
        <v>375804603065.34363</v>
      </c>
      <c r="K7" s="7">
        <v>2041836608.0675149</v>
      </c>
      <c r="L7" s="8">
        <f t="shared" si="0"/>
        <v>5.4332400173195553E-3</v>
      </c>
      <c r="M7" s="9">
        <v>11923222397.40653</v>
      </c>
      <c r="N7" s="10">
        <f t="shared" si="0"/>
        <v>3.1727185617610357E-2</v>
      </c>
      <c r="O7" s="11">
        <v>361764620269.64001</v>
      </c>
      <c r="P7" s="12">
        <f t="shared" ref="P7" si="9">O7/$S7</f>
        <v>0.96264020535889461</v>
      </c>
      <c r="Q7" s="13">
        <v>74923790.229434282</v>
      </c>
      <c r="R7" s="14">
        <f t="shared" ref="R7" si="10">Q7/$S7</f>
        <v>1.9936900617581536E-4</v>
      </c>
      <c r="S7" s="15">
        <v>375804603065.34338</v>
      </c>
    </row>
    <row r="8" spans="1:19" x14ac:dyDescent="0.25">
      <c r="A8" s="16">
        <v>0.06</v>
      </c>
      <c r="B8">
        <v>585443</v>
      </c>
      <c r="C8">
        <v>666644173</v>
      </c>
      <c r="D8">
        <v>4477.83</v>
      </c>
      <c r="E8">
        <v>6195.03</v>
      </c>
      <c r="F8">
        <v>387748135298.29999</v>
      </c>
      <c r="G8">
        <v>387748135298.29999</v>
      </c>
      <c r="H8">
        <v>0</v>
      </c>
      <c r="I8" t="s">
        <v>15</v>
      </c>
      <c r="J8">
        <v>387748135298.34857</v>
      </c>
      <c r="K8" s="7">
        <v>2041836608.0675149</v>
      </c>
      <c r="L8" s="8">
        <f t="shared" si="0"/>
        <v>5.2658837585290927E-3</v>
      </c>
      <c r="M8" s="9">
        <v>11931803588.350149</v>
      </c>
      <c r="N8" s="10">
        <f t="shared" si="0"/>
        <v>3.0772046341807299E-2</v>
      </c>
      <c r="O8" s="11">
        <v>373699314232.3847</v>
      </c>
      <c r="P8" s="12">
        <f t="shared" ref="P8" si="11">O8/$S8</f>
        <v>0.96376817891037914</v>
      </c>
      <c r="Q8" s="13">
        <v>75180869.546204269</v>
      </c>
      <c r="R8" s="14">
        <f t="shared" ref="R8" si="12">Q8/$S8</f>
        <v>1.9389098928446728E-4</v>
      </c>
      <c r="S8" s="15">
        <v>387748135298.34857</v>
      </c>
    </row>
    <row r="9" spans="1:19" x14ac:dyDescent="0.25">
      <c r="A9" s="16">
        <v>7.0000000000000007E-2</v>
      </c>
      <c r="B9">
        <v>298797</v>
      </c>
      <c r="C9">
        <v>348329389</v>
      </c>
      <c r="D9">
        <v>2311.15</v>
      </c>
      <c r="E9">
        <v>3099.02</v>
      </c>
      <c r="F9">
        <v>399786323900.59998</v>
      </c>
      <c r="G9">
        <v>399786323900.59998</v>
      </c>
      <c r="H9">
        <v>0</v>
      </c>
      <c r="I9" t="s">
        <v>15</v>
      </c>
      <c r="J9">
        <v>399786323900.61841</v>
      </c>
      <c r="K9" s="7">
        <v>2041836608.0675149</v>
      </c>
      <c r="L9" s="8">
        <f t="shared" si="0"/>
        <v>5.107319800602003E-3</v>
      </c>
      <c r="M9" s="9">
        <v>11938013996.87923</v>
      </c>
      <c r="N9" s="10">
        <f t="shared" si="0"/>
        <v>2.9860986439963513E-2</v>
      </c>
      <c r="O9" s="11">
        <v>385730968265.23907</v>
      </c>
      <c r="P9" s="12">
        <f t="shared" ref="P9" si="13">O9/$S9</f>
        <v>0.96484283029433138</v>
      </c>
      <c r="Q9" s="13">
        <v>75505030.432562232</v>
      </c>
      <c r="R9" s="14">
        <f t="shared" ref="R9" si="14">Q9/$S9</f>
        <v>1.8886346510275264E-4</v>
      </c>
      <c r="S9" s="15">
        <v>399786323900.61853</v>
      </c>
    </row>
    <row r="10" spans="1:19" x14ac:dyDescent="0.25">
      <c r="A10" s="16">
        <v>0.08</v>
      </c>
      <c r="B10">
        <v>516543</v>
      </c>
      <c r="C10">
        <v>522924239</v>
      </c>
      <c r="D10">
        <v>3457.55</v>
      </c>
      <c r="E10">
        <v>4729.04</v>
      </c>
      <c r="F10">
        <v>411980728081.79999</v>
      </c>
      <c r="G10">
        <v>411980728081.79999</v>
      </c>
      <c r="H10">
        <v>0</v>
      </c>
      <c r="I10" t="s">
        <v>15</v>
      </c>
      <c r="J10">
        <v>411980728081.83807</v>
      </c>
      <c r="K10" s="7">
        <v>2041836608.0675149</v>
      </c>
      <c r="L10" s="8">
        <f t="shared" si="0"/>
        <v>4.9561459284132182E-3</v>
      </c>
      <c r="M10" s="9">
        <v>11944741835.5942</v>
      </c>
      <c r="N10" s="10">
        <f t="shared" si="0"/>
        <v>2.8993448046000424E-2</v>
      </c>
      <c r="O10" s="11">
        <v>397918430966.41241</v>
      </c>
      <c r="P10" s="12">
        <f t="shared" ref="P10" si="15">O10/$S10</f>
        <v>0.965866614244557</v>
      </c>
      <c r="Q10" s="13">
        <v>75718671.76388818</v>
      </c>
      <c r="R10" s="14">
        <f t="shared" ref="R10" si="16">Q10/$S10</f>
        <v>1.8379178102925003E-4</v>
      </c>
      <c r="S10" s="15">
        <v>411980728081.83807</v>
      </c>
    </row>
    <row r="11" spans="1:19" x14ac:dyDescent="0.25">
      <c r="A11" s="16">
        <v>0.09</v>
      </c>
      <c r="B11">
        <v>843112</v>
      </c>
      <c r="C11">
        <v>911909762</v>
      </c>
      <c r="D11">
        <v>5919.36</v>
      </c>
      <c r="E11">
        <v>8151.68</v>
      </c>
      <c r="F11">
        <v>424375947706.29999</v>
      </c>
      <c r="G11">
        <v>424375947706.29999</v>
      </c>
      <c r="H11">
        <v>0</v>
      </c>
      <c r="I11" t="s">
        <v>15</v>
      </c>
      <c r="J11">
        <v>424375947706.2713</v>
      </c>
      <c r="K11" s="7">
        <v>2041836608.0675149</v>
      </c>
      <c r="L11" s="8">
        <f t="shared" si="0"/>
        <v>4.811386269894722E-3</v>
      </c>
      <c r="M11" s="9">
        <v>11954273842.941401</v>
      </c>
      <c r="N11" s="10">
        <f t="shared" si="0"/>
        <v>2.8169065441982728E-2</v>
      </c>
      <c r="O11" s="11">
        <v>410303904942.14752</v>
      </c>
      <c r="P11" s="12">
        <f t="shared" ref="P11" si="17">O11/$S11</f>
        <v>0.9668406212930245</v>
      </c>
      <c r="Q11" s="13">
        <v>75932313.114917427</v>
      </c>
      <c r="R11" s="14">
        <f t="shared" ref="R11" si="18">Q11/$S11</f>
        <v>1.789269950979253E-4</v>
      </c>
      <c r="S11" s="15">
        <v>424375947706.27142</v>
      </c>
    </row>
    <row r="12" spans="1:19" x14ac:dyDescent="0.25">
      <c r="A12" s="16">
        <v>0.1</v>
      </c>
      <c r="B12">
        <v>491536</v>
      </c>
      <c r="C12">
        <v>477400807</v>
      </c>
      <c r="D12">
        <v>3026.31</v>
      </c>
      <c r="E12">
        <v>4160.0600000000004</v>
      </c>
      <c r="F12">
        <v>436816923119.59998</v>
      </c>
      <c r="G12">
        <v>436816923119.59998</v>
      </c>
      <c r="H12">
        <v>0</v>
      </c>
      <c r="I12" t="s">
        <v>15</v>
      </c>
      <c r="J12">
        <v>436816923119.62567</v>
      </c>
      <c r="K12" s="7">
        <v>2041836608.0675149</v>
      </c>
      <c r="L12" s="8">
        <f t="shared" si="0"/>
        <v>4.6743532587640649E-3</v>
      </c>
      <c r="M12" s="9">
        <v>11970882333.37528</v>
      </c>
      <c r="N12" s="10">
        <f t="shared" si="0"/>
        <v>2.7404804392381472E-2</v>
      </c>
      <c r="O12" s="11">
        <v>422728218418.06842</v>
      </c>
      <c r="P12" s="12">
        <f t="shared" ref="P12" si="19">O12/$S12</f>
        <v>0.96774688901487671</v>
      </c>
      <c r="Q12" s="13">
        <v>75985760.114615425</v>
      </c>
      <c r="R12" s="14">
        <f t="shared" ref="R12" si="20">Q12/$S12</f>
        <v>1.7395333397787364E-4</v>
      </c>
      <c r="S12" s="15">
        <v>436816923119.62579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2025-07-08T15:53:14Z</dcterms:created>
  <dcterms:modified xsi:type="dcterms:W3CDTF">2025-07-08T15:56:55Z</dcterms:modified>
</cp:coreProperties>
</file>