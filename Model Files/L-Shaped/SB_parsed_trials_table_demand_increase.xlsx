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Model Files/L-Shaped/"/>
    </mc:Choice>
  </mc:AlternateContent>
  <xr:revisionPtr revIDLastSave="26" documentId="11_08B5A45C1E784E0E6235547658CC56FB876D9732" xr6:coauthVersionLast="47" xr6:coauthVersionMax="47" xr10:uidLastSave="{522CC278-DD96-40FA-A35A-77DE59036EC9}"/>
  <bookViews>
    <workbookView xWindow="26115" yWindow="525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2" i="1" l="1"/>
  <c r="R11" i="1"/>
  <c r="R10" i="1"/>
  <c r="R9" i="1"/>
  <c r="R8" i="1"/>
  <c r="R7" i="1"/>
  <c r="R6" i="1"/>
  <c r="R5" i="1"/>
  <c r="R4" i="1"/>
  <c r="R3" i="1"/>
  <c r="R2" i="1"/>
  <c r="P12" i="1"/>
  <c r="P11" i="1"/>
  <c r="P10" i="1"/>
  <c r="P9" i="1"/>
  <c r="P8" i="1"/>
  <c r="P7" i="1"/>
  <c r="P6" i="1"/>
  <c r="P5" i="1"/>
  <c r="P4" i="1"/>
  <c r="P3" i="1"/>
  <c r="P2" i="1"/>
  <c r="N12" i="1"/>
  <c r="N11" i="1"/>
  <c r="N10" i="1"/>
  <c r="N9" i="1"/>
  <c r="N8" i="1"/>
  <c r="N7" i="1"/>
  <c r="N6" i="1"/>
  <c r="N5" i="1"/>
  <c r="N4" i="1"/>
  <c r="N3" i="1"/>
  <c r="N2" i="1"/>
  <c r="L3" i="1"/>
  <c r="L4" i="1"/>
  <c r="L5" i="1"/>
  <c r="L6" i="1"/>
  <c r="L7" i="1"/>
  <c r="L8" i="1"/>
  <c r="L9" i="1"/>
  <c r="L10" i="1"/>
  <c r="L11" i="1"/>
  <c r="L12" i="1"/>
  <c r="L2" i="1"/>
</calcChain>
</file>

<file path=xl/sharedStrings.xml><?xml version="1.0" encoding="utf-8"?>
<sst xmlns="http://schemas.openxmlformats.org/spreadsheetml/2006/main" count="31" uniqueCount="18">
  <si>
    <t>Trial</t>
  </si>
  <si>
    <t>Explored Nodes</t>
  </si>
  <si>
    <t>Simplex Iterations</t>
  </si>
  <si>
    <t>Time (s)</t>
  </si>
  <si>
    <t>Work Units</t>
  </si>
  <si>
    <t>Best Objective</t>
  </si>
  <si>
    <t>Best Bound</t>
  </si>
  <si>
    <t>Gap (%)</t>
  </si>
  <si>
    <t>DE Model Status</t>
  </si>
  <si>
    <t>Objective Value</t>
  </si>
  <si>
    <t>F Objective</t>
  </si>
  <si>
    <t>Q Objective</t>
  </si>
  <si>
    <t>S Objective</t>
  </si>
  <si>
    <t>I Objective</t>
  </si>
  <si>
    <t>Total Objective</t>
  </si>
  <si>
    <t>OPTIMAL</t>
  </si>
  <si>
    <t>Base</t>
  </si>
  <si>
    <t>%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</si>
</sst>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0" applyNumberFormat="1"/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horizontal="center" vertical="top"/>
    </xf>
    <xf numFmtId="11" fontId="0" fillId="2" borderId="0" xfId="0" applyNumberFormat="1" applyFill="1"/>
    <xf numFmtId="10" fontId="0" fillId="2" borderId="0" xfId="0" applyNumberFormat="1" applyFill="1"/>
    <xf numFmtId="11" fontId="0" fillId="3" borderId="0" xfId="0" applyNumberFormat="1" applyFill="1"/>
    <xf numFmtId="10" fontId="0" fillId="3" borderId="0" xfId="0" applyNumberFormat="1" applyFill="1"/>
    <xf numFmtId="11" fontId="0" fillId="4" borderId="0" xfId="0" applyNumberFormat="1" applyFill="1"/>
    <xf numFmtId="10" fontId="0" fillId="4" borderId="0" xfId="0" applyNumberFormat="1" applyFill="1"/>
    <xf numFmtId="11" fontId="0" fillId="5" borderId="0" xfId="0" applyNumberFormat="1" applyFill="1"/>
    <xf numFmtId="10" fontId="0" fillId="5" borderId="0" xfId="0" applyNumberFormat="1" applyFill="1"/>
    <xf numFmtId="11" fontId="0" fillId="6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"/>
  <sheetViews>
    <sheetView tabSelected="1" workbookViewId="0">
      <selection activeCell="R18" sqref="R18"/>
    </sheetView>
  </sheetViews>
  <sheetFormatPr defaultRowHeight="15" x14ac:dyDescent="0.25"/>
  <cols>
    <col min="2" max="10" width="0" hidden="1" customWidth="1"/>
    <col min="11" max="11" width="11" bestFit="1" customWidth="1"/>
    <col min="12" max="12" width="11" customWidth="1"/>
    <col min="13" max="13" width="12" bestFit="1" customWidth="1"/>
    <col min="14" max="14" width="12" customWidth="1"/>
    <col min="15" max="15" width="12" bestFit="1" customWidth="1"/>
    <col min="16" max="16" width="12" customWidth="1"/>
    <col min="17" max="17" width="12" bestFit="1" customWidth="1"/>
    <col min="18" max="18" width="12" customWidth="1"/>
    <col min="19" max="19" width="14.5703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17</v>
      </c>
      <c r="M1" s="4" t="s">
        <v>11</v>
      </c>
      <c r="N1" s="4" t="s">
        <v>17</v>
      </c>
      <c r="O1" s="5" t="s">
        <v>12</v>
      </c>
      <c r="P1" s="5" t="s">
        <v>17</v>
      </c>
      <c r="Q1" s="6" t="s">
        <v>13</v>
      </c>
      <c r="R1" s="6" t="s">
        <v>17</v>
      </c>
      <c r="S1" s="7" t="s">
        <v>14</v>
      </c>
    </row>
    <row r="2" spans="1:19" x14ac:dyDescent="0.25">
      <c r="A2" t="s">
        <v>16</v>
      </c>
      <c r="B2">
        <v>10598</v>
      </c>
      <c r="C2">
        <v>6867583</v>
      </c>
      <c r="D2">
        <v>56.07</v>
      </c>
      <c r="E2">
        <v>57.81</v>
      </c>
      <c r="F2">
        <v>5592228734.6040001</v>
      </c>
      <c r="G2">
        <v>5592228734.6040001</v>
      </c>
      <c r="H2">
        <v>0</v>
      </c>
      <c r="I2" t="s">
        <v>15</v>
      </c>
      <c r="J2">
        <v>5592228734.6036329</v>
      </c>
      <c r="K2" s="8">
        <v>4420959132.7331963</v>
      </c>
      <c r="L2" s="9">
        <f>K2/$S2</f>
        <v>5.8183307503194087E-2</v>
      </c>
      <c r="M2" s="10">
        <v>65817113731.966957</v>
      </c>
      <c r="N2" s="11">
        <f>M2/$S2</f>
        <v>0.86620510442769538</v>
      </c>
      <c r="O2" s="12">
        <v>5592228734.603632</v>
      </c>
      <c r="P2" s="13">
        <f>O2/$S2</f>
        <v>7.3598138848318853E-2</v>
      </c>
      <c r="Q2" s="14">
        <v>152988496.2360419</v>
      </c>
      <c r="R2" s="15">
        <f>Q2/$S2</f>
        <v>2.0134492207915357E-3</v>
      </c>
      <c r="S2" s="16">
        <v>75983290095.539841</v>
      </c>
    </row>
    <row r="3" spans="1:19" x14ac:dyDescent="0.25">
      <c r="A3" s="2">
        <v>0.01</v>
      </c>
      <c r="B3">
        <v>6668</v>
      </c>
      <c r="C3">
        <v>7753562</v>
      </c>
      <c r="D3">
        <v>96.55</v>
      </c>
      <c r="E3">
        <v>95.68</v>
      </c>
      <c r="F3">
        <v>7061343474.5780001</v>
      </c>
      <c r="G3">
        <v>7061343474.5780001</v>
      </c>
      <c r="H3">
        <v>0</v>
      </c>
      <c r="I3" t="s">
        <v>15</v>
      </c>
      <c r="J3">
        <v>7061343474.5780516</v>
      </c>
      <c r="K3" s="8">
        <v>3599202225.507061</v>
      </c>
      <c r="L3" s="9">
        <f t="shared" ref="L3:N12" si="0">K3/$S3</f>
        <v>5.9493093686031097E-2</v>
      </c>
      <c r="M3" s="10">
        <v>49715657878.772392</v>
      </c>
      <c r="N3" s="11">
        <f t="shared" si="0"/>
        <v>0.82177607884419035</v>
      </c>
      <c r="O3" s="12">
        <v>7061343474.5780506</v>
      </c>
      <c r="P3" s="13">
        <f t="shared" ref="P3" si="1">O3/$S3</f>
        <v>0.11672063489656567</v>
      </c>
      <c r="Q3" s="14">
        <v>121612260.0950686</v>
      </c>
      <c r="R3" s="15">
        <f t="shared" ref="R3" si="2">Q3/$S3</f>
        <v>2.0101925732129728E-3</v>
      </c>
      <c r="S3" s="16">
        <v>60497815838.952568</v>
      </c>
    </row>
    <row r="4" spans="1:19" x14ac:dyDescent="0.25">
      <c r="A4" s="2">
        <v>0.02</v>
      </c>
      <c r="B4">
        <v>10606</v>
      </c>
      <c r="C4">
        <v>9328747</v>
      </c>
      <c r="D4">
        <v>92.96</v>
      </c>
      <c r="E4">
        <v>93.69</v>
      </c>
      <c r="F4">
        <v>8947339941.6590004</v>
      </c>
      <c r="G4">
        <v>8947322480.0349998</v>
      </c>
      <c r="H4">
        <v>2.0000000000000001E-4</v>
      </c>
      <c r="I4" t="s">
        <v>15</v>
      </c>
      <c r="J4">
        <v>8947339941.658596</v>
      </c>
      <c r="K4" s="8">
        <v>3130427973.34341</v>
      </c>
      <c r="L4" s="9">
        <f t="shared" si="0"/>
        <v>5.6427797610808038E-2</v>
      </c>
      <c r="M4" s="10">
        <v>43266129029.281593</v>
      </c>
      <c r="N4" s="11">
        <f t="shared" si="0"/>
        <v>0.7798973153373312</v>
      </c>
      <c r="O4" s="12">
        <v>8947339941.6585979</v>
      </c>
      <c r="P4" s="13">
        <f t="shared" ref="P4" si="3">O4/$S4</f>
        <v>0.16128104261852147</v>
      </c>
      <c r="Q4" s="14">
        <v>132802588.3562516</v>
      </c>
      <c r="R4" s="15">
        <f t="shared" ref="R4" si="4">Q4/$S4</f>
        <v>2.3938444333393856E-3</v>
      </c>
      <c r="S4" s="16">
        <v>55476699532.639847</v>
      </c>
    </row>
    <row r="5" spans="1:19" x14ac:dyDescent="0.25">
      <c r="A5" s="2">
        <v>0.03</v>
      </c>
      <c r="B5">
        <v>21652</v>
      </c>
      <c r="C5">
        <v>7394736</v>
      </c>
      <c r="D5">
        <v>73.86</v>
      </c>
      <c r="E5">
        <v>79.7</v>
      </c>
      <c r="F5">
        <v>12280042026.469999</v>
      </c>
      <c r="G5">
        <v>12280042026.469999</v>
      </c>
      <c r="H5">
        <v>0</v>
      </c>
      <c r="I5" t="s">
        <v>15</v>
      </c>
      <c r="J5">
        <v>12280042026.47213</v>
      </c>
      <c r="K5" s="8">
        <v>3981295938.025147</v>
      </c>
      <c r="L5" s="9">
        <f t="shared" si="0"/>
        <v>5.5549801860876324E-2</v>
      </c>
      <c r="M5" s="10">
        <v>55302594842.435059</v>
      </c>
      <c r="N5" s="11">
        <f t="shared" si="0"/>
        <v>0.77162015426902042</v>
      </c>
      <c r="O5" s="12">
        <v>12280042026.47213</v>
      </c>
      <c r="P5" s="13">
        <f t="shared" ref="P5" si="5">O5/$S5</f>
        <v>0.17133966226889719</v>
      </c>
      <c r="Q5" s="14">
        <v>106816766.5089065</v>
      </c>
      <c r="R5" s="15">
        <f t="shared" ref="R5" si="6">Q5/$S5</f>
        <v>1.4903816012060962E-3</v>
      </c>
      <c r="S5" s="16">
        <v>71670749573.441238</v>
      </c>
    </row>
    <row r="6" spans="1:19" x14ac:dyDescent="0.25">
      <c r="A6" s="2">
        <v>0.04</v>
      </c>
      <c r="B6">
        <v>31984</v>
      </c>
      <c r="C6">
        <v>15305731</v>
      </c>
      <c r="D6">
        <v>150.15</v>
      </c>
      <c r="E6">
        <v>157.34</v>
      </c>
      <c r="F6">
        <v>15296021181.74</v>
      </c>
      <c r="G6">
        <v>15296021181.74</v>
      </c>
      <c r="H6">
        <v>0</v>
      </c>
      <c r="I6" t="s">
        <v>15</v>
      </c>
      <c r="J6">
        <v>15296021181.740879</v>
      </c>
      <c r="K6" s="8">
        <v>3912775873.1592221</v>
      </c>
      <c r="L6" s="9">
        <f t="shared" si="0"/>
        <v>5.6708604369014121E-2</v>
      </c>
      <c r="M6" s="10">
        <v>49646871003.922287</v>
      </c>
      <c r="N6" s="11">
        <f t="shared" si="0"/>
        <v>0.71954153705402923</v>
      </c>
      <c r="O6" s="12">
        <v>15296021181.740879</v>
      </c>
      <c r="P6" s="13">
        <f t="shared" ref="P6" si="7">O6/$S6</f>
        <v>0.2216881420593716</v>
      </c>
      <c r="Q6" s="14">
        <v>142254155.9091455</v>
      </c>
      <c r="R6" s="15">
        <f t="shared" ref="R6" si="8">Q6/$S6</f>
        <v>2.0617165175848325E-3</v>
      </c>
      <c r="S6" s="16">
        <v>68997922214.731552</v>
      </c>
    </row>
    <row r="7" spans="1:19" x14ac:dyDescent="0.25">
      <c r="A7" s="2">
        <v>0.05</v>
      </c>
      <c r="B7">
        <v>5607</v>
      </c>
      <c r="C7">
        <v>4095325</v>
      </c>
      <c r="D7">
        <v>76.59</v>
      </c>
      <c r="E7">
        <v>71.930000000000007</v>
      </c>
      <c r="F7">
        <v>18126819413.939999</v>
      </c>
      <c r="G7">
        <v>18126819413.939999</v>
      </c>
      <c r="H7">
        <v>0</v>
      </c>
      <c r="I7" t="s">
        <v>15</v>
      </c>
      <c r="J7">
        <v>18126819413.943531</v>
      </c>
      <c r="K7" s="8">
        <v>3958579498.5228992</v>
      </c>
      <c r="L7" s="9">
        <f t="shared" si="0"/>
        <v>4.8842665824856094E-2</v>
      </c>
      <c r="M7" s="10">
        <v>58835076652.074608</v>
      </c>
      <c r="N7" s="11">
        <f t="shared" si="0"/>
        <v>0.72593262021625404</v>
      </c>
      <c r="O7" s="12">
        <v>18126819413.94352</v>
      </c>
      <c r="P7" s="13">
        <f t="shared" ref="P7" si="9">O7/$S7</f>
        <v>0.22365653725866069</v>
      </c>
      <c r="Q7" s="14">
        <v>127096914.77218769</v>
      </c>
      <c r="R7" s="15">
        <f t="shared" ref="R7" si="10">Q7/$S7</f>
        <v>1.5681767002290936E-3</v>
      </c>
      <c r="S7" s="16">
        <v>81047572479.313217</v>
      </c>
    </row>
    <row r="8" spans="1:19" x14ac:dyDescent="0.25">
      <c r="A8" s="2">
        <v>0.06</v>
      </c>
      <c r="B8">
        <v>55646</v>
      </c>
      <c r="C8">
        <v>21486353</v>
      </c>
      <c r="D8">
        <v>134.22</v>
      </c>
      <c r="E8">
        <v>150.56</v>
      </c>
      <c r="F8">
        <v>21823694063.66</v>
      </c>
      <c r="G8">
        <v>21823694063.66</v>
      </c>
      <c r="H8">
        <v>0</v>
      </c>
      <c r="I8" t="s">
        <v>15</v>
      </c>
      <c r="J8">
        <v>21823694063.662189</v>
      </c>
      <c r="K8" s="8">
        <v>3690117399.862124</v>
      </c>
      <c r="L8" s="9">
        <f t="shared" si="0"/>
        <v>4.9141153767207665E-2</v>
      </c>
      <c r="M8" s="10">
        <v>49431440199.619377</v>
      </c>
      <c r="N8" s="11">
        <f t="shared" si="0"/>
        <v>0.65827661848232444</v>
      </c>
      <c r="O8" s="12">
        <v>21823694063.662189</v>
      </c>
      <c r="P8" s="13">
        <f t="shared" ref="P8" si="11">O8/$S8</f>
        <v>0.29062530796201524</v>
      </c>
      <c r="Q8" s="14">
        <v>146949414.24680671</v>
      </c>
      <c r="R8" s="15">
        <f t="shared" ref="R8" si="12">Q8/$S8</f>
        <v>1.9569197884525946E-3</v>
      </c>
      <c r="S8" s="16">
        <v>75092201077.390503</v>
      </c>
    </row>
    <row r="9" spans="1:19" x14ac:dyDescent="0.25">
      <c r="A9" s="2">
        <v>7.0000000000000007E-2</v>
      </c>
      <c r="B9">
        <v>51213</v>
      </c>
      <c r="C9">
        <v>15984691</v>
      </c>
      <c r="D9">
        <v>138.38</v>
      </c>
      <c r="E9">
        <v>147.52000000000001</v>
      </c>
      <c r="F9">
        <v>25372980006.810001</v>
      </c>
      <c r="G9">
        <v>25372980006.810001</v>
      </c>
      <c r="H9">
        <v>0</v>
      </c>
      <c r="I9" t="s">
        <v>15</v>
      </c>
      <c r="J9">
        <v>25372980006.80991</v>
      </c>
      <c r="K9" s="8">
        <v>3608598698.3676872</v>
      </c>
      <c r="L9" s="9">
        <f t="shared" si="0"/>
        <v>5.26558269614203E-2</v>
      </c>
      <c r="M9" s="10">
        <v>39412986441.917328</v>
      </c>
      <c r="N9" s="11">
        <f t="shared" si="0"/>
        <v>0.5751050664229177</v>
      </c>
      <c r="O9" s="12">
        <v>25372980006.80991</v>
      </c>
      <c r="P9" s="13">
        <f t="shared" ref="P9" si="13">O9/$S9</f>
        <v>0.3702365811245516</v>
      </c>
      <c r="Q9" s="14">
        <v>137236680.11071</v>
      </c>
      <c r="R9" s="15">
        <f t="shared" ref="R9" si="14">Q9/$S9</f>
        <v>2.0025254911104646E-3</v>
      </c>
      <c r="S9" s="16">
        <v>68531801827.205627</v>
      </c>
    </row>
    <row r="10" spans="1:19" x14ac:dyDescent="0.25">
      <c r="A10" s="2">
        <v>0.08</v>
      </c>
      <c r="B10">
        <v>6897</v>
      </c>
      <c r="C10">
        <v>3953749</v>
      </c>
      <c r="D10">
        <v>65.64</v>
      </c>
      <c r="E10">
        <v>62.3</v>
      </c>
      <c r="F10">
        <v>30001934180.32</v>
      </c>
      <c r="G10">
        <v>30001934180.32</v>
      </c>
      <c r="H10">
        <v>0</v>
      </c>
      <c r="I10" t="s">
        <v>15</v>
      </c>
      <c r="J10">
        <v>30001934180.316139</v>
      </c>
      <c r="K10" s="8">
        <v>3256024743.0679078</v>
      </c>
      <c r="L10" s="9">
        <f t="shared" si="0"/>
        <v>4.5041828327014845E-2</v>
      </c>
      <c r="M10" s="10">
        <v>38924268260.684929</v>
      </c>
      <c r="N10" s="11">
        <f t="shared" si="0"/>
        <v>0.53845420323818405</v>
      </c>
      <c r="O10" s="12">
        <v>30001934180.316139</v>
      </c>
      <c r="P10" s="13">
        <f t="shared" ref="P10" si="15">O10/$S10</f>
        <v>0.4150281633163912</v>
      </c>
      <c r="Q10" s="14">
        <v>106684345.6398118</v>
      </c>
      <c r="R10" s="15">
        <f t="shared" ref="R10" si="16">Q10/$S10</f>
        <v>1.4758051184097219E-3</v>
      </c>
      <c r="S10" s="16">
        <v>72288911529.708801</v>
      </c>
    </row>
    <row r="11" spans="1:19" x14ac:dyDescent="0.25">
      <c r="A11" s="2">
        <v>0.09</v>
      </c>
      <c r="B11">
        <v>71315</v>
      </c>
      <c r="C11">
        <v>18494167</v>
      </c>
      <c r="D11">
        <v>248</v>
      </c>
      <c r="E11">
        <v>238.76</v>
      </c>
      <c r="F11">
        <v>35806572123.370003</v>
      </c>
      <c r="G11">
        <v>35806572123.370003</v>
      </c>
      <c r="H11">
        <v>0</v>
      </c>
      <c r="I11" t="s">
        <v>15</v>
      </c>
      <c r="J11">
        <v>35806572123.372253</v>
      </c>
      <c r="K11" s="8">
        <v>3003381148.3867779</v>
      </c>
      <c r="L11" s="9">
        <f t="shared" si="0"/>
        <v>3.9593632818514038E-2</v>
      </c>
      <c r="M11" s="10">
        <v>36935990148.2033</v>
      </c>
      <c r="N11" s="11">
        <f t="shared" si="0"/>
        <v>0.48692788542730786</v>
      </c>
      <c r="O11" s="12">
        <v>35806572123.372253</v>
      </c>
      <c r="P11" s="13">
        <f t="shared" ref="P11" si="17">O11/$S11</f>
        <v>0.47203874536668278</v>
      </c>
      <c r="Q11" s="14">
        <v>109211426.611708</v>
      </c>
      <c r="R11" s="15">
        <f t="shared" ref="R11" si="18">Q11/$S11</f>
        <v>1.4397363874953646E-3</v>
      </c>
      <c r="S11" s="16">
        <v>75855154846.574036</v>
      </c>
    </row>
    <row r="12" spans="1:19" x14ac:dyDescent="0.25">
      <c r="A12" s="2">
        <v>0.1</v>
      </c>
      <c r="B12">
        <v>50117</v>
      </c>
      <c r="C12">
        <v>38756898</v>
      </c>
      <c r="D12">
        <v>287.95999999999998</v>
      </c>
      <c r="E12">
        <v>310.18</v>
      </c>
      <c r="F12">
        <v>42311893725.639999</v>
      </c>
      <c r="G12">
        <v>42311893725.639999</v>
      </c>
      <c r="H12">
        <v>0</v>
      </c>
      <c r="I12" t="s">
        <v>15</v>
      </c>
      <c r="J12">
        <v>42311893725.637047</v>
      </c>
      <c r="K12" s="8">
        <v>3093501788.4301319</v>
      </c>
      <c r="L12" s="9">
        <f t="shared" si="0"/>
        <v>3.5592039809800934E-2</v>
      </c>
      <c r="M12" s="10">
        <v>41381967466.627037</v>
      </c>
      <c r="N12" s="11">
        <f t="shared" si="0"/>
        <v>0.47611694907974095</v>
      </c>
      <c r="O12" s="12">
        <v>42311893725.637039</v>
      </c>
      <c r="P12" s="13">
        <f t="shared" ref="P12" si="19">O12/$S12</f>
        <v>0.48681614199912165</v>
      </c>
      <c r="Q12" s="14">
        <v>128189063.003998</v>
      </c>
      <c r="R12" s="15">
        <f t="shared" ref="R12" si="20">Q12/$S12</f>
        <v>1.4748691113363561E-3</v>
      </c>
      <c r="S12" s="16">
        <v>86915552043.698212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uhorchak</cp:lastModifiedBy>
  <dcterms:created xsi:type="dcterms:W3CDTF">2025-07-08T18:01:23Z</dcterms:created>
  <dcterms:modified xsi:type="dcterms:W3CDTF">2025-07-08T18:08:24Z</dcterms:modified>
</cp:coreProperties>
</file>