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13.xml" ContentType="application/vnd.openxmlformats-officedocument.drawing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drawings/drawing14.xml" ContentType="application/vnd.openxmlformats-officedocument.drawing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drawings/drawing18.xml" ContentType="application/vnd.openxmlformats-officedocument.drawing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drawings/drawing19.xml" ContentType="application/vnd.openxmlformats-officedocument.drawing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"/>
    </mc:Choice>
  </mc:AlternateContent>
  <xr:revisionPtr revIDLastSave="2126" documentId="8_{2374FC23-2955-40A7-8749-001C293F1142}" xr6:coauthVersionLast="47" xr6:coauthVersionMax="47" xr10:uidLastSave="{881D14DD-DFA0-4340-8A58-784168E021DE}"/>
  <bookViews>
    <workbookView xWindow="13550" yWindow="-110" windowWidth="38620" windowHeight="21100" activeTab="2" xr2:uid="{A1303E50-77C1-438C-8E50-A1D5A3582D62}"/>
  </bookViews>
  <sheets>
    <sheet name="Base" sheetId="23" r:id="rId1"/>
    <sheet name="Residuals" sheetId="45" r:id="rId2"/>
    <sheet name="measles" sheetId="44" r:id="rId3"/>
    <sheet name="MR" sheetId="43" r:id="rId4"/>
    <sheet name="MMR" sheetId="42" r:id="rId5"/>
    <sheet name="TT" sheetId="41" r:id="rId6"/>
    <sheet name="Td" sheetId="40" r:id="rId7"/>
    <sheet name="DT" sheetId="39" r:id="rId8"/>
    <sheet name="DTP" sheetId="38" r:id="rId9"/>
    <sheet name="DTP-hib" sheetId="37" r:id="rId10"/>
    <sheet name="Penta" sheetId="36" r:id="rId11"/>
    <sheet name="Hexa" sheetId="35" r:id="rId12"/>
    <sheet name="IPV" sheetId="34" r:id="rId13"/>
    <sheet name="OPV" sheetId="33" r:id="rId14"/>
    <sheet name="HPV" sheetId="32" r:id="rId15"/>
    <sheet name="HepB" sheetId="31" r:id="rId16"/>
    <sheet name="Hib" sheetId="30" r:id="rId17"/>
    <sheet name="Rota" sheetId="29" r:id="rId18"/>
    <sheet name="PCV " sheetId="28" r:id="rId19"/>
  </sheets>
  <definedNames>
    <definedName name="_xlnm._FilterDatabase" localSheetId="2" hidden="1">measles!$H$66:$H$86</definedName>
    <definedName name="solver_eng" localSheetId="3" hidden="1">1</definedName>
    <definedName name="solver_neg" localSheetId="3" hidden="1">1</definedName>
    <definedName name="solver_num" localSheetId="3" hidden="1">0</definedName>
    <definedName name="solver_opt" localSheetId="3" hidden="1">MR!$N$60</definedName>
    <definedName name="solver_typ" localSheetId="3" hidden="1">1</definedName>
    <definedName name="solver_val" localSheetId="3" hidden="1">0</definedName>
    <definedName name="solver_ver" localSheetId="3" hidden="1">3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<sst xmlns="http://schemas.openxmlformats.org/spreadsheetml/2006/main" count="639" uniqueCount="64">
  <si>
    <t>Measles</t>
  </si>
  <si>
    <t>MR</t>
  </si>
  <si>
    <t>MMR</t>
  </si>
  <si>
    <t>TT</t>
  </si>
  <si>
    <t>Td</t>
  </si>
  <si>
    <t>Diphtheria-Tetanus</t>
  </si>
  <si>
    <t>Diphtheria-Tetanus-Pertussis (whole cell)</t>
  </si>
  <si>
    <t>Diphtheria-Tetanus-Pertussis (whole cell)-Haemophilus influenzae type b</t>
  </si>
  <si>
    <t>Diphtheria-Tetanus-Pertussis (whole cell)-Hepatitis B-Haemophilus influenzae type b</t>
  </si>
  <si>
    <t>Diphtheria-Tetanus-Pertussis (acellular)-Hepatitis B-Haemophilus influenzae type b-Polio (Inactivated)</t>
  </si>
  <si>
    <t>Polio Vaccine - Inactivated (IPV)</t>
  </si>
  <si>
    <t>Polio Vaccine - Oral (OPV) Bivalent Types 1 and 3</t>
  </si>
  <si>
    <t>Human Papillomavirus (Bivalent) + (Quadrivalent)</t>
  </si>
  <si>
    <t>Hepatitis B (Pediatric or non-adult specific)</t>
  </si>
  <si>
    <t>Haemophilus influenzae type b</t>
  </si>
  <si>
    <t>Rota</t>
  </si>
  <si>
    <t>PCV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</si>
  <si>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</si>
  <si>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</si>
  <si>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</si>
  <si>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</si>
  <si>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</si>
  <si>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</si>
  <si>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</si>
  <si>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</si>
  <si>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</si>
  <si>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</si>
  <si>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</si>
  <si>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</si>
  <si>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</si>
  <si>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</si>
  <si>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</si>
  <si>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</si>
  <si>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</si>
  <si>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</si>
  <si>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</si>
  <si>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</si>
  <si>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</si>
  <si>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</si>
  <si>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</si>
  <si>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</si>
  <si>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</si>
  <si>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RESIDUAL OUTPUT</t>
  </si>
  <si>
    <t>Observation</t>
  </si>
  <si>
    <t>Predicted Y</t>
  </si>
  <si>
    <t>Residuals</t>
  </si>
  <si>
    <t>Standard Residuals</t>
  </si>
  <si>
    <t>PROBABILITY OUTPUT</t>
  </si>
  <si>
    <t>Percentile</t>
  </si>
  <si>
    <t>Y</t>
  </si>
  <si>
    <t>Bin</t>
  </si>
  <si>
    <t>More</t>
  </si>
  <si>
    <t>Frequency</t>
  </si>
  <si>
    <t>data</t>
  </si>
  <si>
    <t>DT</t>
  </si>
  <si>
    <t>DTP</t>
  </si>
  <si>
    <t>DTP-Hib</t>
  </si>
  <si>
    <t>Penta</t>
  </si>
  <si>
    <t>Hexa</t>
  </si>
  <si>
    <t>IPV</t>
  </si>
  <si>
    <t>OPV</t>
  </si>
  <si>
    <t>HPV</t>
  </si>
  <si>
    <t>HepB</t>
  </si>
  <si>
    <t>Hib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</si>
</sst>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  <xf numFmtId="4" fontId="2" fillId="0" borderId="0" xfId="1" applyNumberFormat="1"/>
  </cellXfs>
  <cellStyles count="2">
    <cellStyle name="Normal" xfId="0" builtinId="0"/>
    <cellStyle name="Normal 2" xfId="1" xr:uid="{F16C89AB-66D8-492A-8077-6250676FBF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79142607174103"/>
          <c:y val="0.17171296296296298"/>
          <c:w val="0.81430796150481188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Base!$R$2</c:f>
              <c:strCache>
                <c:ptCount val="1"/>
                <c:pt idx="0">
                  <c:v>PCV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Base!$A$11:$A$26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Base!$R$11:$R$26</c:f>
              <c:numCache>
                <c:formatCode>General</c:formatCode>
                <c:ptCount val="16"/>
                <c:pt idx="0">
                  <c:v>6300.6315789473692</c:v>
                </c:pt>
                <c:pt idx="1">
                  <c:v>1716887.879922929</c:v>
                </c:pt>
                <c:pt idx="2">
                  <c:v>1579536.4100666936</c:v>
                </c:pt>
                <c:pt idx="3">
                  <c:v>9327523.8119436298</c:v>
                </c:pt>
                <c:pt idx="4">
                  <c:v>23147609.055447347</c:v>
                </c:pt>
                <c:pt idx="5">
                  <c:v>41170015.45411174</c:v>
                </c:pt>
                <c:pt idx="6">
                  <c:v>66222136.368070766</c:v>
                </c:pt>
                <c:pt idx="7">
                  <c:v>89756383.940039173</c:v>
                </c:pt>
                <c:pt idx="8">
                  <c:v>107603981.35436857</c:v>
                </c:pt>
                <c:pt idx="9">
                  <c:v>127327220.75884214</c:v>
                </c:pt>
                <c:pt idx="10">
                  <c:v>136528866.40202385</c:v>
                </c:pt>
                <c:pt idx="11">
                  <c:v>145562504.84282181</c:v>
                </c:pt>
                <c:pt idx="12">
                  <c:v>141811832.69188434</c:v>
                </c:pt>
                <c:pt idx="13" formatCode="#,##0.00">
                  <c:v>160800233.02991807</c:v>
                </c:pt>
                <c:pt idx="14">
                  <c:v>186996096.55044705</c:v>
                </c:pt>
                <c:pt idx="15">
                  <c:v>209165465.89669368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2F-475B-8066-1FAEC6454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3986799"/>
        <c:axId val="2123985839"/>
      </c:lineChart>
      <c:catAx>
        <c:axId val="2123986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985839"/>
        <c:crosses val="autoZero"/>
        <c:auto val="1"/>
        <c:lblAlgn val="ctr"/>
        <c:lblOffset val="100"/>
        <c:noMultiLvlLbl val="0"/>
      </c:catAx>
      <c:valAx>
        <c:axId val="212398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986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  <a:p>
            <a:pPr>
              <a:defRPr/>
            </a:pPr>
            <a:r>
              <a:rPr lang="en-US"/>
              <a:t>Residuals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745603674540682"/>
          <c:y val="0.16324825986078886"/>
          <c:w val="0.81932174103237099"/>
          <c:h val="0.78686774941995363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Residuals!$Q$3:$Q$14</c:f>
              <c:numCache>
                <c:formatCode>General</c:formatCode>
                <c:ptCount val="12"/>
                <c:pt idx="0">
                  <c:v>-10337055.668932317</c:v>
                </c:pt>
                <c:pt idx="1">
                  <c:v>-12178684.258606339</c:v>
                </c:pt>
                <c:pt idx="2">
                  <c:v>-4293852.05815164</c:v>
                </c:pt>
                <c:pt idx="3">
                  <c:v>1806827.0770469829</c:v>
                </c:pt>
                <c:pt idx="4">
                  <c:v>6060128.6859751418</c:v>
                </c:pt>
                <c:pt idx="5">
                  <c:v>13156325.45807191</c:v>
                </c:pt>
                <c:pt idx="6">
                  <c:v>11730866.053443357</c:v>
                </c:pt>
                <c:pt idx="7">
                  <c:v>6131030.600573197</c:v>
                </c:pt>
                <c:pt idx="8">
                  <c:v>8072510.0004590899</c:v>
                </c:pt>
                <c:pt idx="9">
                  <c:v>-2376327.3576059937</c:v>
                </c:pt>
                <c:pt idx="10">
                  <c:v>-2510390.914778322</c:v>
                </c:pt>
                <c:pt idx="11">
                  <c:v>-15261377.61749506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6B-43C7-B109-B17DF181C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8483167"/>
        <c:axId val="1818482687"/>
      </c:scatterChart>
      <c:valAx>
        <c:axId val="1818483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482687"/>
        <c:crosses val="autoZero"/>
        <c:crossBetween val="midCat"/>
      </c:valAx>
      <c:valAx>
        <c:axId val="181848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483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Data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measles!$C$5:$C$25</c:f>
              <c:numCache>
                <c:formatCode>General</c:formatCode>
                <c:ptCount val="21"/>
                <c:pt idx="0">
                  <c:v>78580259.047222212</c:v>
                </c:pt>
                <c:pt idx="1">
                  <c:v>81681321.359730586</c:v>
                </c:pt>
                <c:pt idx="2">
                  <c:v>79266752.609851718</c:v>
                </c:pt>
                <c:pt idx="3">
                  <c:v>86623864.744981229</c:v>
                </c:pt>
                <c:pt idx="4">
                  <c:v>86152078.769785419</c:v>
                </c:pt>
                <c:pt idx="5">
                  <c:v>90148923.016216487</c:v>
                </c:pt>
                <c:pt idx="6">
                  <c:v>91416944.607555553</c:v>
                </c:pt>
                <c:pt idx="7">
                  <c:v>95425542.390190482</c:v>
                </c:pt>
                <c:pt idx="8">
                  <c:v>120394966.33935714</c:v>
                </c:pt>
                <c:pt idx="9">
                  <c:v>110179825.4341508</c:v>
                </c:pt>
                <c:pt idx="10">
                  <c:v>124779287.46926983</c:v>
                </c:pt>
                <c:pt idx="11">
                  <c:v>146411505.59530953</c:v>
                </c:pt>
                <c:pt idx="12">
                  <c:v>125935360.3332143</c:v>
                </c:pt>
                <c:pt idx="13">
                  <c:v>147410485.56025696</c:v>
                </c:pt>
                <c:pt idx="14">
                  <c:v>125981980.86826687</c:v>
                </c:pt>
                <c:pt idx="15">
                  <c:v>213026976.30353075</c:v>
                </c:pt>
                <c:pt idx="16">
                  <c:v>197135040.75190181</c:v>
                </c:pt>
                <c:pt idx="17">
                  <c:v>194053332.84588099</c:v>
                </c:pt>
                <c:pt idx="18">
                  <c:v>152209475.00889683</c:v>
                </c:pt>
                <c:pt idx="19">
                  <c:v>121021690.35702381</c:v>
                </c:pt>
                <c:pt idx="20">
                  <c:v>78374741.523485318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A9-40BB-8C40-444A1C2D3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4311023"/>
        <c:axId val="1864308623"/>
      </c:lineChart>
      <c:catAx>
        <c:axId val="1864311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308623"/>
        <c:crosses val="autoZero"/>
        <c:auto val="1"/>
        <c:lblAlgn val="ctr"/>
        <c:lblOffset val="100"/>
        <c:noMultiLvlLbl val="0"/>
      </c:catAx>
      <c:valAx>
        <c:axId val="186430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311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measles!$C$5:$C$24</c:f>
              <c:numCache>
                <c:formatCode>General</c:formatCode>
                <c:ptCount val="20"/>
                <c:pt idx="0">
                  <c:v>78580259.047222212</c:v>
                </c:pt>
                <c:pt idx="1">
                  <c:v>81681321.359730586</c:v>
                </c:pt>
                <c:pt idx="2">
                  <c:v>79266752.609851718</c:v>
                </c:pt>
                <c:pt idx="3">
                  <c:v>86623864.744981229</c:v>
                </c:pt>
                <c:pt idx="4">
                  <c:v>86152078.769785419</c:v>
                </c:pt>
                <c:pt idx="5">
                  <c:v>90148923.016216487</c:v>
                </c:pt>
                <c:pt idx="6">
                  <c:v>91416944.607555553</c:v>
                </c:pt>
                <c:pt idx="7">
                  <c:v>95425542.390190482</c:v>
                </c:pt>
                <c:pt idx="8">
                  <c:v>120394966.33935714</c:v>
                </c:pt>
                <c:pt idx="9">
                  <c:v>110179825.4341508</c:v>
                </c:pt>
                <c:pt idx="10">
                  <c:v>124779287.46926983</c:v>
                </c:pt>
                <c:pt idx="11">
                  <c:v>146411505.59530953</c:v>
                </c:pt>
                <c:pt idx="12">
                  <c:v>125935360.3332143</c:v>
                </c:pt>
                <c:pt idx="13">
                  <c:v>147410485.56025696</c:v>
                </c:pt>
                <c:pt idx="14">
                  <c:v>125981980.86826687</c:v>
                </c:pt>
                <c:pt idx="15">
                  <c:v>213026976.30353075</c:v>
                </c:pt>
                <c:pt idx="16">
                  <c:v>197135040.75190181</c:v>
                </c:pt>
                <c:pt idx="17">
                  <c:v>194053332.84588099</c:v>
                </c:pt>
                <c:pt idx="18">
                  <c:v>152209475.00889683</c:v>
                </c:pt>
                <c:pt idx="19">
                  <c:v>121021690.35702381</c:v>
                </c:pt>
              </c:numCache>
            </c:numRef>
          </c:xVal>
          <c:yVal>
            <c:numRef>
              <c:f>measles!$H$28:$H$47</c:f>
              <c:numCache>
                <c:formatCode>General</c:formatCode>
                <c:ptCount val="20"/>
                <c:pt idx="0">
                  <c:v>-7558333.8199971318</c:v>
                </c:pt>
                <c:pt idx="1">
                  <c:v>-12335598.57491897</c:v>
                </c:pt>
                <c:pt idx="2">
                  <c:v>-3138829.1338948607</c:v>
                </c:pt>
                <c:pt idx="3">
                  <c:v>-9215990.8476592153</c:v>
                </c:pt>
                <c:pt idx="4">
                  <c:v>-4859693.3795581758</c:v>
                </c:pt>
                <c:pt idx="5">
                  <c:v>-6636863.0750021189</c:v>
                </c:pt>
                <c:pt idx="6">
                  <c:v>-3594369.5644679666</c:v>
                </c:pt>
                <c:pt idx="7">
                  <c:v>18320908.091458067</c:v>
                </c:pt>
                <c:pt idx="8">
                  <c:v>-10918409.778834999</c:v>
                </c:pt>
                <c:pt idx="9">
                  <c:v>11463957.008094594</c:v>
                </c:pt>
                <c:pt idx="10">
                  <c:v>21972860.879203752</c:v>
                </c:pt>
                <c:pt idx="11">
                  <c:v>-14984847.858883128</c:v>
                </c:pt>
                <c:pt idx="12">
                  <c:v>22091030.185764</c:v>
                </c:pt>
                <c:pt idx="13">
                  <c:v>-15699349.07323201</c:v>
                </c:pt>
                <c:pt idx="14">
                  <c:v>87672000.794057801</c:v>
                </c:pt>
                <c:pt idx="15">
                  <c:v>5460577.8382793665</c:v>
                </c:pt>
                <c:pt idx="16">
                  <c:v>14486918.354498267</c:v>
                </c:pt>
                <c:pt idx="17">
                  <c:v>-25008989.578707516</c:v>
                </c:pt>
                <c:pt idx="18">
                  <c:v>-24315984.42888847</c:v>
                </c:pt>
                <c:pt idx="19">
                  <c:v>-43200994.037311211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9A-459A-BD18-C1F951EAF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086287"/>
        <c:axId val="2026083407"/>
      </c:scatterChart>
      <c:valAx>
        <c:axId val="20260862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26083407"/>
        <c:crosses val="autoZero"/>
        <c:crossBetween val="midCat"/>
      </c:valAx>
      <c:valAx>
        <c:axId val="20260834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2608628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38100">
              <a:noFill/>
            </a:ln>
          </c:spPr>
          <c:xVal>
            <c:numRef>
              <c:f>measles!$C$5:$C$24</c:f>
              <c:numCache>
                <c:formatCode>General</c:formatCode>
                <c:ptCount val="20"/>
                <c:pt idx="0">
                  <c:v>78580259.047222212</c:v>
                </c:pt>
                <c:pt idx="1">
                  <c:v>81681321.359730586</c:v>
                </c:pt>
                <c:pt idx="2">
                  <c:v>79266752.609851718</c:v>
                </c:pt>
                <c:pt idx="3">
                  <c:v>86623864.744981229</c:v>
                </c:pt>
                <c:pt idx="4">
                  <c:v>86152078.769785419</c:v>
                </c:pt>
                <c:pt idx="5">
                  <c:v>90148923.016216487</c:v>
                </c:pt>
                <c:pt idx="6">
                  <c:v>91416944.607555553</c:v>
                </c:pt>
                <c:pt idx="7">
                  <c:v>95425542.390190482</c:v>
                </c:pt>
                <c:pt idx="8">
                  <c:v>120394966.33935714</c:v>
                </c:pt>
                <c:pt idx="9">
                  <c:v>110179825.4341508</c:v>
                </c:pt>
                <c:pt idx="10">
                  <c:v>124779287.46926983</c:v>
                </c:pt>
                <c:pt idx="11">
                  <c:v>146411505.59530953</c:v>
                </c:pt>
                <c:pt idx="12">
                  <c:v>125935360.3332143</c:v>
                </c:pt>
                <c:pt idx="13">
                  <c:v>147410485.56025696</c:v>
                </c:pt>
                <c:pt idx="14">
                  <c:v>125981980.86826687</c:v>
                </c:pt>
                <c:pt idx="15">
                  <c:v>213026976.30353075</c:v>
                </c:pt>
                <c:pt idx="16">
                  <c:v>197135040.75190181</c:v>
                </c:pt>
                <c:pt idx="17">
                  <c:v>194053332.84588099</c:v>
                </c:pt>
                <c:pt idx="18">
                  <c:v>152209475.00889683</c:v>
                </c:pt>
                <c:pt idx="19">
                  <c:v>121021690.35702381</c:v>
                </c:pt>
              </c:numCache>
            </c:numRef>
          </c:xVal>
          <c:yVal>
            <c:numRef>
              <c:f>measles!$B$5:$B$24</c:f>
              <c:numCache>
                <c:formatCode>General</c:formatCode>
                <c:ptCount val="20"/>
                <c:pt idx="0">
                  <c:v>81681321.359730586</c:v>
                </c:pt>
                <c:pt idx="1">
                  <c:v>79266752.609851718</c:v>
                </c:pt>
                <c:pt idx="2">
                  <c:v>86623864.744981229</c:v>
                </c:pt>
                <c:pt idx="3">
                  <c:v>86152078.769785419</c:v>
                </c:pt>
                <c:pt idx="4">
                  <c:v>90148923.016216487</c:v>
                </c:pt>
                <c:pt idx="5">
                  <c:v>91416944.607555553</c:v>
                </c:pt>
                <c:pt idx="6">
                  <c:v>95425542.390190482</c:v>
                </c:pt>
                <c:pt idx="7">
                  <c:v>120394966.33935714</c:v>
                </c:pt>
                <c:pt idx="8">
                  <c:v>110179825.4341508</c:v>
                </c:pt>
                <c:pt idx="9">
                  <c:v>124779287.46926983</c:v>
                </c:pt>
                <c:pt idx="10">
                  <c:v>146411505.59530953</c:v>
                </c:pt>
                <c:pt idx="11">
                  <c:v>125935360.3332143</c:v>
                </c:pt>
                <c:pt idx="12">
                  <c:v>147410485.56025696</c:v>
                </c:pt>
                <c:pt idx="13">
                  <c:v>125981980.86826687</c:v>
                </c:pt>
                <c:pt idx="14">
                  <c:v>213026976.30353075</c:v>
                </c:pt>
                <c:pt idx="15">
                  <c:v>197135040.75190181</c:v>
                </c:pt>
                <c:pt idx="16">
                  <c:v>194053332.84588099</c:v>
                </c:pt>
                <c:pt idx="17">
                  <c:v>152209475.00889683</c:v>
                </c:pt>
                <c:pt idx="18">
                  <c:v>121021690.35702381</c:v>
                </c:pt>
                <c:pt idx="19">
                  <c:v>78374741.523485318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D5-49A6-B3B5-61F3C90EF0BA}"/>
            </c:ext>
          </c:extLst>
        </c:ser>
        <c:ser>
          <c:idx val="1"/>
          <c:order val="1"/>
          <c:tx>
            <c:v>Predicted Y</c:v>
          </c:tx>
          <c:spPr>
            <a:ln w="38100">
              <a:noFill/>
            </a:ln>
          </c:spPr>
          <c:xVal>
            <c:numRef>
              <c:f>measles!$C$5:$C$24</c:f>
              <c:numCache>
                <c:formatCode>General</c:formatCode>
                <c:ptCount val="20"/>
                <c:pt idx="0">
                  <c:v>78580259.047222212</c:v>
                </c:pt>
                <c:pt idx="1">
                  <c:v>81681321.359730586</c:v>
                </c:pt>
                <c:pt idx="2">
                  <c:v>79266752.609851718</c:v>
                </c:pt>
                <c:pt idx="3">
                  <c:v>86623864.744981229</c:v>
                </c:pt>
                <c:pt idx="4">
                  <c:v>86152078.769785419</c:v>
                </c:pt>
                <c:pt idx="5">
                  <c:v>90148923.016216487</c:v>
                </c:pt>
                <c:pt idx="6">
                  <c:v>91416944.607555553</c:v>
                </c:pt>
                <c:pt idx="7">
                  <c:v>95425542.390190482</c:v>
                </c:pt>
                <c:pt idx="8">
                  <c:v>120394966.33935714</c:v>
                </c:pt>
                <c:pt idx="9">
                  <c:v>110179825.4341508</c:v>
                </c:pt>
                <c:pt idx="10">
                  <c:v>124779287.46926983</c:v>
                </c:pt>
                <c:pt idx="11">
                  <c:v>146411505.59530953</c:v>
                </c:pt>
                <c:pt idx="12">
                  <c:v>125935360.3332143</c:v>
                </c:pt>
                <c:pt idx="13">
                  <c:v>147410485.56025696</c:v>
                </c:pt>
                <c:pt idx="14">
                  <c:v>125981980.86826687</c:v>
                </c:pt>
                <c:pt idx="15">
                  <c:v>213026976.30353075</c:v>
                </c:pt>
                <c:pt idx="16">
                  <c:v>197135040.75190181</c:v>
                </c:pt>
                <c:pt idx="17">
                  <c:v>194053332.84588099</c:v>
                </c:pt>
                <c:pt idx="18">
                  <c:v>152209475.00889683</c:v>
                </c:pt>
                <c:pt idx="19">
                  <c:v>121021690.35702381</c:v>
                </c:pt>
              </c:numCache>
            </c:numRef>
          </c:xVal>
          <c:yVal>
            <c:numRef>
              <c:f>measles!$G$28:$G$47</c:f>
              <c:numCache>
                <c:formatCode>General</c:formatCode>
                <c:ptCount val="20"/>
                <c:pt idx="0">
                  <c:v>89239655.179727718</c:v>
                </c:pt>
                <c:pt idx="1">
                  <c:v>91602351.184770688</c:v>
                </c:pt>
                <c:pt idx="2">
                  <c:v>89762693.87887609</c:v>
                </c:pt>
                <c:pt idx="3">
                  <c:v>95368069.617444634</c:v>
                </c:pt>
                <c:pt idx="4">
                  <c:v>95008616.395774662</c:v>
                </c:pt>
                <c:pt idx="5">
                  <c:v>98053807.682557672</c:v>
                </c:pt>
                <c:pt idx="6">
                  <c:v>99019911.954658449</c:v>
                </c:pt>
                <c:pt idx="7">
                  <c:v>102074058.24789907</c:v>
                </c:pt>
                <c:pt idx="8">
                  <c:v>121098235.2129858</c:v>
                </c:pt>
                <c:pt idx="9">
                  <c:v>113315330.46117523</c:v>
                </c:pt>
                <c:pt idx="10">
                  <c:v>124438644.71610577</c:v>
                </c:pt>
                <c:pt idx="11">
                  <c:v>140920208.19209743</c:v>
                </c:pt>
                <c:pt idx="12">
                  <c:v>125319455.37449296</c:v>
                </c:pt>
                <c:pt idx="13">
                  <c:v>141681329.94149888</c:v>
                </c:pt>
                <c:pt idx="14">
                  <c:v>125354975.50947295</c:v>
                </c:pt>
                <c:pt idx="15">
                  <c:v>191674462.91362244</c:v>
                </c:pt>
                <c:pt idx="16">
                  <c:v>179566414.49138272</c:v>
                </c:pt>
                <c:pt idx="17">
                  <c:v>177218464.58760434</c:v>
                </c:pt>
                <c:pt idx="18">
                  <c:v>145337674.78591228</c:v>
                </c:pt>
                <c:pt idx="19">
                  <c:v>121575735.56079653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DD5-49A6-B3B5-61F3C90EF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9065583"/>
        <c:axId val="2026086287"/>
      </c:scatterChart>
      <c:valAx>
        <c:axId val="17090655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26086287"/>
        <c:crosses val="autoZero"/>
        <c:crossBetween val="midCat"/>
      </c:valAx>
      <c:valAx>
        <c:axId val="202608628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0906558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measles!$K$28:$K$47</c:f>
              <c:numCache>
                <c:formatCode>General</c:formatCode>
                <c:ptCount val="2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</c:numCache>
            </c:numRef>
          </c:xVal>
          <c:yVal>
            <c:numRef>
              <c:f>measles!$L$28:$L$47</c:f>
              <c:numCache>
                <c:formatCode>General</c:formatCode>
                <c:ptCount val="20"/>
                <c:pt idx="0">
                  <c:v>78374741.523485318</c:v>
                </c:pt>
                <c:pt idx="1">
                  <c:v>79266752.609851718</c:v>
                </c:pt>
                <c:pt idx="2">
                  <c:v>81681321.359730586</c:v>
                </c:pt>
                <c:pt idx="3">
                  <c:v>86152078.769785419</c:v>
                </c:pt>
                <c:pt idx="4">
                  <c:v>86623864.744981229</c:v>
                </c:pt>
                <c:pt idx="5">
                  <c:v>90148923.016216487</c:v>
                </c:pt>
                <c:pt idx="6">
                  <c:v>91416944.607555553</c:v>
                </c:pt>
                <c:pt idx="7">
                  <c:v>95425542.390190482</c:v>
                </c:pt>
                <c:pt idx="8">
                  <c:v>110179825.4341508</c:v>
                </c:pt>
                <c:pt idx="9">
                  <c:v>120394966.33935714</c:v>
                </c:pt>
                <c:pt idx="10">
                  <c:v>121021690.35702381</c:v>
                </c:pt>
                <c:pt idx="11">
                  <c:v>124779287.46926983</c:v>
                </c:pt>
                <c:pt idx="12">
                  <c:v>125935360.3332143</c:v>
                </c:pt>
                <c:pt idx="13">
                  <c:v>125981980.86826687</c:v>
                </c:pt>
                <c:pt idx="14">
                  <c:v>146411505.59530953</c:v>
                </c:pt>
                <c:pt idx="15">
                  <c:v>147410485.56025696</c:v>
                </c:pt>
                <c:pt idx="16">
                  <c:v>152209475.00889683</c:v>
                </c:pt>
                <c:pt idx="17">
                  <c:v>194053332.84588099</c:v>
                </c:pt>
                <c:pt idx="18">
                  <c:v>197135040.75190181</c:v>
                </c:pt>
                <c:pt idx="19">
                  <c:v>213026976.30353075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01-4700-8D86-CBB54E5BB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9819007"/>
        <c:axId val="1489816607"/>
      </c:scatterChart>
      <c:valAx>
        <c:axId val="14898190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89816607"/>
        <c:crosses val="autoZero"/>
        <c:crossBetween val="midCat"/>
      </c:valAx>
      <c:valAx>
        <c:axId val="14898166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8981900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measles!$Z$31:$Z$42</c:f>
              <c:strCache>
                <c:ptCount val="12"/>
                <c:pt idx="0">
                  <c:v>-0.5</c:v>
                </c:pt>
                <c:pt idx="1">
                  <c:v>-0.4</c:v>
                </c:pt>
                <c:pt idx="2">
                  <c:v>-0.3</c:v>
                </c:pt>
                <c:pt idx="3">
                  <c:v>-0.2</c:v>
                </c:pt>
                <c:pt idx="4">
                  <c:v>-0.1</c:v>
                </c:pt>
                <c:pt idx="5">
                  <c:v>0</c:v>
                </c:pt>
                <c:pt idx="6">
                  <c:v>0.1</c:v>
                </c:pt>
                <c:pt idx="7">
                  <c:v>0.2</c:v>
                </c:pt>
                <c:pt idx="8">
                  <c:v>0.3</c:v>
                </c:pt>
                <c:pt idx="9">
                  <c:v>0.4</c:v>
                </c:pt>
                <c:pt idx="10">
                  <c:v>0.5</c:v>
                </c:pt>
                <c:pt idx="11">
                  <c:v>More</c:v>
                </c:pt>
              </c:strCache>
            </c:strRef>
          </c:cat>
          <c:val>
            <c:numRef>
              <c:f>measles!$AA$31:$AA$42</c:f>
              <c:numCache>
                <c:formatCode>General</c:formatCode>
                <c:ptCount val="12"/>
                <c:pt idx="0">
                  <c:v>5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AA-4143-87D4-21E73548C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4748192"/>
        <c:axId val="264746752"/>
      </c:barChart>
      <c:catAx>
        <c:axId val="264748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4746752"/>
        <c:crosses val="autoZero"/>
        <c:auto val="1"/>
        <c:lblAlgn val="ctr"/>
        <c:lblOffset val="100"/>
        <c:noMultiLvlLbl val="0"/>
      </c:catAx>
      <c:valAx>
        <c:axId val="2647467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4748192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MR!$C$5:$C$24</c:f>
              <c:numCache>
                <c:formatCode>General</c:formatCode>
                <c:ptCount val="20"/>
                <c:pt idx="0">
                  <c:v>16708549.179678362</c:v>
                </c:pt>
                <c:pt idx="1">
                  <c:v>16708884.350394737</c:v>
                </c:pt>
                <c:pt idx="2">
                  <c:v>16621239.041359648</c:v>
                </c:pt>
                <c:pt idx="3">
                  <c:v>16912298.703333337</c:v>
                </c:pt>
                <c:pt idx="4">
                  <c:v>17990792.786473684</c:v>
                </c:pt>
                <c:pt idx="5">
                  <c:v>32224595.057609651</c:v>
                </c:pt>
                <c:pt idx="6">
                  <c:v>36010295.660687134</c:v>
                </c:pt>
                <c:pt idx="7">
                  <c:v>35638478.889780708</c:v>
                </c:pt>
                <c:pt idx="8">
                  <c:v>21093263.448026314</c:v>
                </c:pt>
                <c:pt idx="9">
                  <c:v>22353124.59600877</c:v>
                </c:pt>
                <c:pt idx="10">
                  <c:v>22384691.346491225</c:v>
                </c:pt>
                <c:pt idx="11">
                  <c:v>21083590.427631583</c:v>
                </c:pt>
                <c:pt idx="12">
                  <c:v>4248060.8244444449</c:v>
                </c:pt>
                <c:pt idx="13">
                  <c:v>15084549.272055555</c:v>
                </c:pt>
                <c:pt idx="14">
                  <c:v>24102254.030939683</c:v>
                </c:pt>
                <c:pt idx="15">
                  <c:v>101868384.09515873</c:v>
                </c:pt>
                <c:pt idx="16">
                  <c:v>89505897.242817461</c:v>
                </c:pt>
                <c:pt idx="17">
                  <c:v>166340120.54050559</c:v>
                </c:pt>
                <c:pt idx="18">
                  <c:v>410169950.20542622</c:v>
                </c:pt>
                <c:pt idx="19">
                  <c:v>332425433.06345028</c:v>
                </c:pt>
              </c:numCache>
            </c:numRef>
          </c:xVal>
          <c:yVal>
            <c:numRef>
              <c:f>MR!$H$27:$H$46</c:f>
              <c:numCache>
                <c:formatCode>General</c:formatCode>
                <c:ptCount val="20"/>
                <c:pt idx="0">
                  <c:v>-18866356.045513395</c:v>
                </c:pt>
                <c:pt idx="1">
                  <c:v>-18954274.836716771</c:v>
                </c:pt>
                <c:pt idx="2">
                  <c:v>-18591701.083611395</c:v>
                </c:pt>
                <c:pt idx="3">
                  <c:v>-17750696.803636804</c:v>
                </c:pt>
                <c:pt idx="4">
                  <c:v>-4396890.5641858689</c:v>
                </c:pt>
                <c:pt idx="5">
                  <c:v>-12225244.88287203</c:v>
                </c:pt>
                <c:pt idx="6">
                  <c:v>-15685999.794408306</c:v>
                </c:pt>
                <c:pt idx="7">
                  <c:v>-29927831.760975823</c:v>
                </c:pt>
                <c:pt idx="8">
                  <c:v>-16799818.46562352</c:v>
                </c:pt>
                <c:pt idx="9">
                  <c:v>-17796233.99898494</c:v>
                </c:pt>
                <c:pt idx="10">
                  <c:v>-19123091.772325296</c:v>
                </c:pt>
                <c:pt idx="11">
                  <c:v>-34896989.547098175</c:v>
                </c:pt>
                <c:pt idx="12">
                  <c:v>-10323569.693260048</c:v>
                </c:pt>
                <c:pt idx="13">
                  <c:v>-10147885.470577203</c:v>
                </c:pt>
                <c:pt idx="14">
                  <c:v>60260258.558504149</c:v>
                </c:pt>
                <c:pt idx="15">
                  <c:v>-15555414.47799325</c:v>
                </c:pt>
                <c:pt idx="16">
                  <c:v>71365966.034448981</c:v>
                </c:pt>
                <c:pt idx="17">
                  <c:v>252502997.79111367</c:v>
                </c:pt>
                <c:pt idx="18">
                  <c:v>-24194194.071884573</c:v>
                </c:pt>
                <c:pt idx="19">
                  <c:v>-98893029.114399165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C7-440C-ACA9-F745AC721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718927"/>
        <c:axId val="418726127"/>
      </c:scatterChart>
      <c:valAx>
        <c:axId val="4187189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8726127"/>
        <c:crosses val="autoZero"/>
        <c:crossBetween val="midCat"/>
      </c:valAx>
      <c:valAx>
        <c:axId val="41872612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871892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38100">
              <a:noFill/>
            </a:ln>
          </c:spPr>
          <c:xVal>
            <c:numRef>
              <c:f>MR!$C$5:$C$24</c:f>
              <c:numCache>
                <c:formatCode>General</c:formatCode>
                <c:ptCount val="20"/>
                <c:pt idx="0">
                  <c:v>16708549.179678362</c:v>
                </c:pt>
                <c:pt idx="1">
                  <c:v>16708884.350394737</c:v>
                </c:pt>
                <c:pt idx="2">
                  <c:v>16621239.041359648</c:v>
                </c:pt>
                <c:pt idx="3">
                  <c:v>16912298.703333337</c:v>
                </c:pt>
                <c:pt idx="4">
                  <c:v>17990792.786473684</c:v>
                </c:pt>
                <c:pt idx="5">
                  <c:v>32224595.057609651</c:v>
                </c:pt>
                <c:pt idx="6">
                  <c:v>36010295.660687134</c:v>
                </c:pt>
                <c:pt idx="7">
                  <c:v>35638478.889780708</c:v>
                </c:pt>
                <c:pt idx="8">
                  <c:v>21093263.448026314</c:v>
                </c:pt>
                <c:pt idx="9">
                  <c:v>22353124.59600877</c:v>
                </c:pt>
                <c:pt idx="10">
                  <c:v>22384691.346491225</c:v>
                </c:pt>
                <c:pt idx="11">
                  <c:v>21083590.427631583</c:v>
                </c:pt>
                <c:pt idx="12">
                  <c:v>4248060.8244444449</c:v>
                </c:pt>
                <c:pt idx="13">
                  <c:v>15084549.272055555</c:v>
                </c:pt>
                <c:pt idx="14">
                  <c:v>24102254.030939683</c:v>
                </c:pt>
                <c:pt idx="15">
                  <c:v>101868384.09515873</c:v>
                </c:pt>
                <c:pt idx="16">
                  <c:v>89505897.242817461</c:v>
                </c:pt>
                <c:pt idx="17">
                  <c:v>166340120.54050559</c:v>
                </c:pt>
                <c:pt idx="18">
                  <c:v>410169950.20542622</c:v>
                </c:pt>
                <c:pt idx="19">
                  <c:v>332425433.06345028</c:v>
                </c:pt>
              </c:numCache>
            </c:numRef>
          </c:xVal>
          <c:yVal>
            <c:numRef>
              <c:f>MR!$B$5:$B$24</c:f>
              <c:numCache>
                <c:formatCode>General</c:formatCode>
                <c:ptCount val="20"/>
                <c:pt idx="0">
                  <c:v>16708884.350394737</c:v>
                </c:pt>
                <c:pt idx="1">
                  <c:v>16621239.041359648</c:v>
                </c:pt>
                <c:pt idx="2">
                  <c:v>16912298.703333337</c:v>
                </c:pt>
                <c:pt idx="3">
                  <c:v>17990792.786473684</c:v>
                </c:pt>
                <c:pt idx="4">
                  <c:v>32224595.057609651</c:v>
                </c:pt>
                <c:pt idx="5">
                  <c:v>36010295.660687134</c:v>
                </c:pt>
                <c:pt idx="6">
                  <c:v>35638478.889780708</c:v>
                </c:pt>
                <c:pt idx="7">
                  <c:v>21093263.448026314</c:v>
                </c:pt>
                <c:pt idx="8">
                  <c:v>22353124.59600877</c:v>
                </c:pt>
                <c:pt idx="9">
                  <c:v>22384691.346491225</c:v>
                </c:pt>
                <c:pt idx="10">
                  <c:v>21083590.427631583</c:v>
                </c:pt>
                <c:pt idx="11">
                  <c:v>4248060.8244444449</c:v>
                </c:pt>
                <c:pt idx="12">
                  <c:v>15084549.272055555</c:v>
                </c:pt>
                <c:pt idx="13">
                  <c:v>24102254.030939683</c:v>
                </c:pt>
                <c:pt idx="14">
                  <c:v>101868384.09515873</c:v>
                </c:pt>
                <c:pt idx="15">
                  <c:v>89505897.242817461</c:v>
                </c:pt>
                <c:pt idx="16">
                  <c:v>166340120.54050559</c:v>
                </c:pt>
                <c:pt idx="17">
                  <c:v>410169950.20542622</c:v>
                </c:pt>
                <c:pt idx="18">
                  <c:v>332425433.06345028</c:v>
                </c:pt>
                <c:pt idx="19">
                  <c:v>194291046.87632623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1D-42E4-8EC9-4B3CB083B4D1}"/>
            </c:ext>
          </c:extLst>
        </c:ser>
        <c:ser>
          <c:idx val="1"/>
          <c:order val="1"/>
          <c:tx>
            <c:v>Predicted Y</c:v>
          </c:tx>
          <c:spPr>
            <a:ln w="38100">
              <a:noFill/>
            </a:ln>
          </c:spPr>
          <c:xVal>
            <c:numRef>
              <c:f>MR!$C$5:$C$24</c:f>
              <c:numCache>
                <c:formatCode>General</c:formatCode>
                <c:ptCount val="20"/>
                <c:pt idx="0">
                  <c:v>16708549.179678362</c:v>
                </c:pt>
                <c:pt idx="1">
                  <c:v>16708884.350394737</c:v>
                </c:pt>
                <c:pt idx="2">
                  <c:v>16621239.041359648</c:v>
                </c:pt>
                <c:pt idx="3">
                  <c:v>16912298.703333337</c:v>
                </c:pt>
                <c:pt idx="4">
                  <c:v>17990792.786473684</c:v>
                </c:pt>
                <c:pt idx="5">
                  <c:v>32224595.057609651</c:v>
                </c:pt>
                <c:pt idx="6">
                  <c:v>36010295.660687134</c:v>
                </c:pt>
                <c:pt idx="7">
                  <c:v>35638478.889780708</c:v>
                </c:pt>
                <c:pt idx="8">
                  <c:v>21093263.448026314</c:v>
                </c:pt>
                <c:pt idx="9">
                  <c:v>22353124.59600877</c:v>
                </c:pt>
                <c:pt idx="10">
                  <c:v>22384691.346491225</c:v>
                </c:pt>
                <c:pt idx="11">
                  <c:v>21083590.427631583</c:v>
                </c:pt>
                <c:pt idx="12">
                  <c:v>4248060.8244444449</c:v>
                </c:pt>
                <c:pt idx="13">
                  <c:v>15084549.272055555</c:v>
                </c:pt>
                <c:pt idx="14">
                  <c:v>24102254.030939683</c:v>
                </c:pt>
                <c:pt idx="15">
                  <c:v>101868384.09515873</c:v>
                </c:pt>
                <c:pt idx="16">
                  <c:v>89505897.242817461</c:v>
                </c:pt>
                <c:pt idx="17">
                  <c:v>166340120.54050559</c:v>
                </c:pt>
                <c:pt idx="18">
                  <c:v>410169950.20542622</c:v>
                </c:pt>
                <c:pt idx="19">
                  <c:v>332425433.06345028</c:v>
                </c:pt>
              </c:numCache>
            </c:numRef>
          </c:xVal>
          <c:yVal>
            <c:numRef>
              <c:f>MR!$G$27:$G$46</c:f>
              <c:numCache>
                <c:formatCode>General</c:formatCode>
                <c:ptCount val="20"/>
                <c:pt idx="0">
                  <c:v>35575240.395908132</c:v>
                </c:pt>
                <c:pt idx="1">
                  <c:v>35575513.878076419</c:v>
                </c:pt>
                <c:pt idx="2">
                  <c:v>35503999.786944732</c:v>
                </c:pt>
                <c:pt idx="3">
                  <c:v>35741489.590110488</c:v>
                </c:pt>
                <c:pt idx="4">
                  <c:v>36621485.62179552</c:v>
                </c:pt>
                <c:pt idx="5">
                  <c:v>48235540.543559164</c:v>
                </c:pt>
                <c:pt idx="6">
                  <c:v>51324478.684189014</c:v>
                </c:pt>
                <c:pt idx="7">
                  <c:v>51021095.209002137</c:v>
                </c:pt>
                <c:pt idx="8">
                  <c:v>39152943.06163229</c:v>
                </c:pt>
                <c:pt idx="9">
                  <c:v>40180925.345476165</c:v>
                </c:pt>
                <c:pt idx="10">
                  <c:v>40206682.199956879</c:v>
                </c:pt>
                <c:pt idx="11">
                  <c:v>39145050.371542618</c:v>
                </c:pt>
                <c:pt idx="12">
                  <c:v>25408118.965315603</c:v>
                </c:pt>
                <c:pt idx="13">
                  <c:v>34250139.501516886</c:v>
                </c:pt>
                <c:pt idx="14">
                  <c:v>41608125.536654577</c:v>
                </c:pt>
                <c:pt idx="15">
                  <c:v>105061311.72081071</c:v>
                </c:pt>
                <c:pt idx="16">
                  <c:v>94974154.506056607</c:v>
                </c:pt>
                <c:pt idx="17">
                  <c:v>157666952.41431254</c:v>
                </c:pt>
                <c:pt idx="18">
                  <c:v>356619627.13533485</c:v>
                </c:pt>
                <c:pt idx="19">
                  <c:v>293184075.9907254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1D-42E4-8EC9-4B3CB083B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718927"/>
        <c:axId val="418727087"/>
      </c:scatterChart>
      <c:valAx>
        <c:axId val="4187189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8727087"/>
        <c:crosses val="autoZero"/>
        <c:crossBetween val="midCat"/>
      </c:valAx>
      <c:valAx>
        <c:axId val="41872708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871892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MR!$K$27:$K$46</c:f>
              <c:numCache>
                <c:formatCode>General</c:formatCode>
                <c:ptCount val="2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</c:numCache>
            </c:numRef>
          </c:xVal>
          <c:yVal>
            <c:numRef>
              <c:f>MR!$L$27:$L$46</c:f>
              <c:numCache>
                <c:formatCode>General</c:formatCode>
                <c:ptCount val="20"/>
                <c:pt idx="0">
                  <c:v>4248060.8244444449</c:v>
                </c:pt>
                <c:pt idx="1">
                  <c:v>15084549.272055555</c:v>
                </c:pt>
                <c:pt idx="2">
                  <c:v>16621239.041359648</c:v>
                </c:pt>
                <c:pt idx="3">
                  <c:v>16708884.350394737</c:v>
                </c:pt>
                <c:pt idx="4">
                  <c:v>16912298.703333337</c:v>
                </c:pt>
                <c:pt idx="5">
                  <c:v>17990792.786473684</c:v>
                </c:pt>
                <c:pt idx="6">
                  <c:v>21083590.427631583</c:v>
                </c:pt>
                <c:pt idx="7">
                  <c:v>21093263.448026314</c:v>
                </c:pt>
                <c:pt idx="8">
                  <c:v>22353124.59600877</c:v>
                </c:pt>
                <c:pt idx="9">
                  <c:v>22384691.346491225</c:v>
                </c:pt>
                <c:pt idx="10">
                  <c:v>24102254.030939683</c:v>
                </c:pt>
                <c:pt idx="11">
                  <c:v>32224595.057609651</c:v>
                </c:pt>
                <c:pt idx="12">
                  <c:v>35638478.889780708</c:v>
                </c:pt>
                <c:pt idx="13">
                  <c:v>36010295.660687134</c:v>
                </c:pt>
                <c:pt idx="14">
                  <c:v>89505897.242817461</c:v>
                </c:pt>
                <c:pt idx="15">
                  <c:v>101868384.09515873</c:v>
                </c:pt>
                <c:pt idx="16">
                  <c:v>166340120.54050559</c:v>
                </c:pt>
                <c:pt idx="17">
                  <c:v>194291046.87632623</c:v>
                </c:pt>
                <c:pt idx="18">
                  <c:v>332425433.06345028</c:v>
                </c:pt>
                <c:pt idx="19">
                  <c:v>410169950.20542622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A5-4C6F-8C4A-1B86EF3F8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728527"/>
        <c:axId val="418718447"/>
      </c:scatterChart>
      <c:valAx>
        <c:axId val="4187285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8718447"/>
        <c:crosses val="autoZero"/>
        <c:crossBetween val="midCat"/>
      </c:valAx>
      <c:valAx>
        <c:axId val="4187184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872852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MR!$O$63:$O$80</c:f>
              <c:strCache>
                <c:ptCount val="18"/>
                <c:pt idx="0">
                  <c:v>4200000</c:v>
                </c:pt>
                <c:pt idx="1">
                  <c:v>13300000</c:v>
                </c:pt>
                <c:pt idx="2">
                  <c:v>22300000</c:v>
                </c:pt>
                <c:pt idx="3">
                  <c:v>31400000</c:v>
                </c:pt>
                <c:pt idx="4">
                  <c:v>40500000</c:v>
                </c:pt>
                <c:pt idx="5">
                  <c:v>49500000</c:v>
                </c:pt>
                <c:pt idx="6">
                  <c:v>58600000</c:v>
                </c:pt>
                <c:pt idx="7">
                  <c:v>67700000</c:v>
                </c:pt>
                <c:pt idx="8">
                  <c:v>76700000</c:v>
                </c:pt>
                <c:pt idx="9">
                  <c:v>85800000</c:v>
                </c:pt>
                <c:pt idx="10">
                  <c:v>103900000</c:v>
                </c:pt>
                <c:pt idx="11">
                  <c:v>122100000</c:v>
                </c:pt>
                <c:pt idx="12">
                  <c:v>140200000</c:v>
                </c:pt>
                <c:pt idx="13">
                  <c:v>158400000</c:v>
                </c:pt>
                <c:pt idx="14">
                  <c:v>176500000</c:v>
                </c:pt>
                <c:pt idx="15">
                  <c:v>185600000</c:v>
                </c:pt>
                <c:pt idx="16">
                  <c:v>410100000</c:v>
                </c:pt>
                <c:pt idx="17">
                  <c:v>More</c:v>
                </c:pt>
              </c:strCache>
            </c:strRef>
          </c:cat>
          <c:val>
            <c:numRef>
              <c:f>MR!$P$63:$P$80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8</c:v>
                </c:pt>
                <c:pt idx="3">
                  <c:v>3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2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B3-4D8A-8B3B-591B5E1AC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7519679"/>
        <c:axId val="1707520639"/>
      </c:barChart>
      <c:catAx>
        <c:axId val="17075196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07520639"/>
        <c:crosses val="autoZero"/>
        <c:auto val="1"/>
        <c:lblAlgn val="ctr"/>
        <c:lblOffset val="100"/>
        <c:noMultiLvlLbl val="0"/>
      </c:catAx>
      <c:valAx>
        <c:axId val="17075206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07519679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MR!$B$4:$B$24</c:f>
              <c:numCache>
                <c:formatCode>General</c:formatCode>
                <c:ptCount val="21"/>
                <c:pt idx="0">
                  <c:v>16708549.179678362</c:v>
                </c:pt>
                <c:pt idx="1">
                  <c:v>16708884.350394737</c:v>
                </c:pt>
                <c:pt idx="2">
                  <c:v>16621239.041359648</c:v>
                </c:pt>
                <c:pt idx="3">
                  <c:v>16912298.703333337</c:v>
                </c:pt>
                <c:pt idx="4">
                  <c:v>17990792.786473684</c:v>
                </c:pt>
                <c:pt idx="5">
                  <c:v>32224595.057609651</c:v>
                </c:pt>
                <c:pt idx="6">
                  <c:v>36010295.660687134</c:v>
                </c:pt>
                <c:pt idx="7">
                  <c:v>35638478.889780708</c:v>
                </c:pt>
                <c:pt idx="8">
                  <c:v>21093263.448026314</c:v>
                </c:pt>
                <c:pt idx="9">
                  <c:v>22353124.59600877</c:v>
                </c:pt>
                <c:pt idx="10">
                  <c:v>22384691.346491225</c:v>
                </c:pt>
                <c:pt idx="11">
                  <c:v>21083590.427631583</c:v>
                </c:pt>
                <c:pt idx="12">
                  <c:v>4248060.8244444449</c:v>
                </c:pt>
                <c:pt idx="13">
                  <c:v>15084549.272055555</c:v>
                </c:pt>
                <c:pt idx="14">
                  <c:v>24102254.030939683</c:v>
                </c:pt>
                <c:pt idx="15">
                  <c:v>101868384.09515873</c:v>
                </c:pt>
                <c:pt idx="16">
                  <c:v>89505897.242817461</c:v>
                </c:pt>
                <c:pt idx="17">
                  <c:v>166340120.54050559</c:v>
                </c:pt>
                <c:pt idx="18">
                  <c:v>410169950.20542622</c:v>
                </c:pt>
                <c:pt idx="19">
                  <c:v>332425433.06345028</c:v>
                </c:pt>
                <c:pt idx="20">
                  <c:v>194291046.87632623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B9-4A2B-9262-06FB307A8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469760"/>
        <c:axId val="166470240"/>
      </c:lineChart>
      <c:catAx>
        <c:axId val="1664697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70240"/>
        <c:crosses val="autoZero"/>
        <c:auto val="1"/>
        <c:lblAlgn val="ctr"/>
        <c:lblOffset val="100"/>
        <c:noMultiLvlLbl val="0"/>
      </c:catAx>
      <c:valAx>
        <c:axId val="16647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6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MMR!$C$5:$C$24</c:f>
              <c:numCache>
                <c:formatCode>General</c:formatCode>
                <c:ptCount val="20"/>
                <c:pt idx="0">
                  <c:v>14895546.665213035</c:v>
                </c:pt>
                <c:pt idx="1">
                  <c:v>15916936.7598325</c:v>
                </c:pt>
                <c:pt idx="2">
                  <c:v>16440302.312529236</c:v>
                </c:pt>
                <c:pt idx="3">
                  <c:v>17051794.304503344</c:v>
                </c:pt>
                <c:pt idx="4">
                  <c:v>25753121.473489977</c:v>
                </c:pt>
                <c:pt idx="5">
                  <c:v>26516485.200317882</c:v>
                </c:pt>
                <c:pt idx="6">
                  <c:v>28053836.320973262</c:v>
                </c:pt>
                <c:pt idx="7">
                  <c:v>27963867.296271931</c:v>
                </c:pt>
                <c:pt idx="8">
                  <c:v>39454388.755779035</c:v>
                </c:pt>
                <c:pt idx="9">
                  <c:v>41213108.991875514</c:v>
                </c:pt>
                <c:pt idx="10">
                  <c:v>42926745.29106307</c:v>
                </c:pt>
                <c:pt idx="11">
                  <c:v>42885186.713556819</c:v>
                </c:pt>
                <c:pt idx="12">
                  <c:v>22148782.495467838</c:v>
                </c:pt>
                <c:pt idx="13">
                  <c:v>22105642.148086883</c:v>
                </c:pt>
                <c:pt idx="14">
                  <c:v>19837776.942030076</c:v>
                </c:pt>
                <c:pt idx="15">
                  <c:v>26434484.64704261</c:v>
                </c:pt>
                <c:pt idx="16">
                  <c:v>20737738.80000627</c:v>
                </c:pt>
                <c:pt idx="17">
                  <c:v>20303125.537451964</c:v>
                </c:pt>
                <c:pt idx="18">
                  <c:v>23934204.520910822</c:v>
                </c:pt>
                <c:pt idx="19">
                  <c:v>21792972.342667714</c:v>
                </c:pt>
              </c:numCache>
            </c:numRef>
          </c:xVal>
          <c:yVal>
            <c:numRef>
              <c:f>MMR!$H$27:$H$46</c:f>
              <c:numCache>
                <c:formatCode>General</c:formatCode>
                <c:ptCount val="20"/>
                <c:pt idx="0">
                  <c:v>-2099435.3467320222</c:v>
                </c:pt>
                <c:pt idx="1">
                  <c:v>-2323394.7961178124</c:v>
                </c:pt>
                <c:pt idx="2">
                  <c:v>-2094835.989827998</c:v>
                </c:pt>
                <c:pt idx="3">
                  <c:v>6159078.1323875487</c:v>
                </c:pt>
                <c:pt idx="4">
                  <c:v>555903.37510532141</c:v>
                </c:pt>
                <c:pt idx="5">
                  <c:v>1534720.7859209403</c:v>
                </c:pt>
                <c:pt idx="6">
                  <c:v>319911.27618102729</c:v>
                </c:pt>
                <c:pt idx="7">
                  <c:v>11876260.769390903</c:v>
                </c:pt>
                <c:pt idx="8">
                  <c:v>5227660.4147636294</c:v>
                </c:pt>
                <c:pt idx="9">
                  <c:v>5654486.1104147732</c:v>
                </c:pt>
                <c:pt idx="10">
                  <c:v>4359103.6926291957</c:v>
                </c:pt>
                <c:pt idx="11">
                  <c:v>-16346893.177488606</c:v>
                </c:pt>
                <c:pt idx="12">
                  <c:v>-1217737.0564559624</c:v>
                </c:pt>
                <c:pt idx="13">
                  <c:v>-3454037.5739905797</c:v>
                </c:pt>
                <c:pt idx="14">
                  <c:v>4802009.0836585909</c:v>
                </c:pt>
                <c:pt idx="15">
                  <c:v>-5721379.0280288868</c:v>
                </c:pt>
                <c:pt idx="16">
                  <c:v>-1987829.0937526897</c:v>
                </c:pt>
                <c:pt idx="17">
                  <c:v>1961245.2952368036</c:v>
                </c:pt>
                <c:pt idx="18">
                  <c:v>-2836754.4815663956</c:v>
                </c:pt>
                <c:pt idx="19">
                  <c:v>-4368082.3917278498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4A-473A-99B0-E194D9269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782815"/>
        <c:axId val="188785695"/>
      </c:scatterChart>
      <c:valAx>
        <c:axId val="1887828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8785695"/>
        <c:crosses val="autoZero"/>
        <c:crossBetween val="midCat"/>
      </c:valAx>
      <c:valAx>
        <c:axId val="18878569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878281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38100">
              <a:noFill/>
            </a:ln>
          </c:spPr>
          <c:xVal>
            <c:numRef>
              <c:f>MMR!$C$5:$C$24</c:f>
              <c:numCache>
                <c:formatCode>General</c:formatCode>
                <c:ptCount val="20"/>
                <c:pt idx="0">
                  <c:v>14895546.665213035</c:v>
                </c:pt>
                <c:pt idx="1">
                  <c:v>15916936.7598325</c:v>
                </c:pt>
                <c:pt idx="2">
                  <c:v>16440302.312529236</c:v>
                </c:pt>
                <c:pt idx="3">
                  <c:v>17051794.304503344</c:v>
                </c:pt>
                <c:pt idx="4">
                  <c:v>25753121.473489977</c:v>
                </c:pt>
                <c:pt idx="5">
                  <c:v>26516485.200317882</c:v>
                </c:pt>
                <c:pt idx="6">
                  <c:v>28053836.320973262</c:v>
                </c:pt>
                <c:pt idx="7">
                  <c:v>27963867.296271931</c:v>
                </c:pt>
                <c:pt idx="8">
                  <c:v>39454388.755779035</c:v>
                </c:pt>
                <c:pt idx="9">
                  <c:v>41213108.991875514</c:v>
                </c:pt>
                <c:pt idx="10">
                  <c:v>42926745.29106307</c:v>
                </c:pt>
                <c:pt idx="11">
                  <c:v>42885186.713556819</c:v>
                </c:pt>
                <c:pt idx="12">
                  <c:v>22148782.495467838</c:v>
                </c:pt>
                <c:pt idx="13">
                  <c:v>22105642.148086883</c:v>
                </c:pt>
                <c:pt idx="14">
                  <c:v>19837776.942030076</c:v>
                </c:pt>
                <c:pt idx="15">
                  <c:v>26434484.64704261</c:v>
                </c:pt>
                <c:pt idx="16">
                  <c:v>20737738.80000627</c:v>
                </c:pt>
                <c:pt idx="17">
                  <c:v>20303125.537451964</c:v>
                </c:pt>
                <c:pt idx="18">
                  <c:v>23934204.520910822</c:v>
                </c:pt>
                <c:pt idx="19">
                  <c:v>21792972.342667714</c:v>
                </c:pt>
              </c:numCache>
            </c:numRef>
          </c:xVal>
          <c:yVal>
            <c:numRef>
              <c:f>MMR!$B$5:$B$24</c:f>
              <c:numCache>
                <c:formatCode>General</c:formatCode>
                <c:ptCount val="20"/>
                <c:pt idx="0">
                  <c:v>15916936.7598325</c:v>
                </c:pt>
                <c:pt idx="1">
                  <c:v>16440302.312529236</c:v>
                </c:pt>
                <c:pt idx="2">
                  <c:v>17051794.304503344</c:v>
                </c:pt>
                <c:pt idx="3">
                  <c:v>25753121.473489977</c:v>
                </c:pt>
                <c:pt idx="4">
                  <c:v>26516485.200317882</c:v>
                </c:pt>
                <c:pt idx="5">
                  <c:v>28053836.320973262</c:v>
                </c:pt>
                <c:pt idx="6">
                  <c:v>27963867.296271931</c:v>
                </c:pt>
                <c:pt idx="7">
                  <c:v>39454388.755779035</c:v>
                </c:pt>
                <c:pt idx="8">
                  <c:v>41213108.991875514</c:v>
                </c:pt>
                <c:pt idx="9">
                  <c:v>42926745.29106307</c:v>
                </c:pt>
                <c:pt idx="10">
                  <c:v>42885186.713556819</c:v>
                </c:pt>
                <c:pt idx="11">
                  <c:v>22148782.495467838</c:v>
                </c:pt>
                <c:pt idx="12">
                  <c:v>22105642.148086883</c:v>
                </c:pt>
                <c:pt idx="13">
                  <c:v>19837776.942030076</c:v>
                </c:pt>
                <c:pt idx="14">
                  <c:v>26434484.64704261</c:v>
                </c:pt>
                <c:pt idx="15">
                  <c:v>20737738.80000627</c:v>
                </c:pt>
                <c:pt idx="16">
                  <c:v>20303125.537451964</c:v>
                </c:pt>
                <c:pt idx="17">
                  <c:v>23934204.520910822</c:v>
                </c:pt>
                <c:pt idx="18">
                  <c:v>21792972.342667714</c:v>
                </c:pt>
                <c:pt idx="19">
                  <c:v>18694959.626677111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67-4463-A83D-6BBD0A38CDCB}"/>
            </c:ext>
          </c:extLst>
        </c:ser>
        <c:ser>
          <c:idx val="1"/>
          <c:order val="1"/>
          <c:tx>
            <c:v>Predicted Y</c:v>
          </c:tx>
          <c:spPr>
            <a:ln w="38100">
              <a:noFill/>
            </a:ln>
          </c:spPr>
          <c:xVal>
            <c:numRef>
              <c:f>MMR!$C$5:$C$24</c:f>
              <c:numCache>
                <c:formatCode>General</c:formatCode>
                <c:ptCount val="20"/>
                <c:pt idx="0">
                  <c:v>14895546.665213035</c:v>
                </c:pt>
                <c:pt idx="1">
                  <c:v>15916936.7598325</c:v>
                </c:pt>
                <c:pt idx="2">
                  <c:v>16440302.312529236</c:v>
                </c:pt>
                <c:pt idx="3">
                  <c:v>17051794.304503344</c:v>
                </c:pt>
                <c:pt idx="4">
                  <c:v>25753121.473489977</c:v>
                </c:pt>
                <c:pt idx="5">
                  <c:v>26516485.200317882</c:v>
                </c:pt>
                <c:pt idx="6">
                  <c:v>28053836.320973262</c:v>
                </c:pt>
                <c:pt idx="7">
                  <c:v>27963867.296271931</c:v>
                </c:pt>
                <c:pt idx="8">
                  <c:v>39454388.755779035</c:v>
                </c:pt>
                <c:pt idx="9">
                  <c:v>41213108.991875514</c:v>
                </c:pt>
                <c:pt idx="10">
                  <c:v>42926745.29106307</c:v>
                </c:pt>
                <c:pt idx="11">
                  <c:v>42885186.713556819</c:v>
                </c:pt>
                <c:pt idx="12">
                  <c:v>22148782.495467838</c:v>
                </c:pt>
                <c:pt idx="13">
                  <c:v>22105642.148086883</c:v>
                </c:pt>
                <c:pt idx="14">
                  <c:v>19837776.942030076</c:v>
                </c:pt>
                <c:pt idx="15">
                  <c:v>26434484.64704261</c:v>
                </c:pt>
                <c:pt idx="16">
                  <c:v>20737738.80000627</c:v>
                </c:pt>
                <c:pt idx="17">
                  <c:v>20303125.537451964</c:v>
                </c:pt>
                <c:pt idx="18">
                  <c:v>23934204.520910822</c:v>
                </c:pt>
                <c:pt idx="19">
                  <c:v>21792972.342667714</c:v>
                </c:pt>
              </c:numCache>
            </c:numRef>
          </c:xVal>
          <c:yVal>
            <c:numRef>
              <c:f>MMR!$G$27:$G$46</c:f>
              <c:numCache>
                <c:formatCode>General</c:formatCode>
                <c:ptCount val="20"/>
                <c:pt idx="0">
                  <c:v>18016372.106564522</c:v>
                </c:pt>
                <c:pt idx="1">
                  <c:v>18763697.108647048</c:v>
                </c:pt>
                <c:pt idx="2">
                  <c:v>19146630.294331342</c:v>
                </c:pt>
                <c:pt idx="3">
                  <c:v>19594043.341102429</c:v>
                </c:pt>
                <c:pt idx="4">
                  <c:v>25960581.825212561</c:v>
                </c:pt>
                <c:pt idx="5">
                  <c:v>26519115.535052322</c:v>
                </c:pt>
                <c:pt idx="6">
                  <c:v>27643956.020090904</c:v>
                </c:pt>
                <c:pt idx="7">
                  <c:v>27578127.986388132</c:v>
                </c:pt>
                <c:pt idx="8">
                  <c:v>35985448.577111885</c:v>
                </c:pt>
                <c:pt idx="9">
                  <c:v>37272259.180648297</c:v>
                </c:pt>
                <c:pt idx="10">
                  <c:v>38526083.020927623</c:v>
                </c:pt>
                <c:pt idx="11">
                  <c:v>38495675.672956444</c:v>
                </c:pt>
                <c:pt idx="12">
                  <c:v>23323379.204542845</c:v>
                </c:pt>
                <c:pt idx="13">
                  <c:v>23291814.516020656</c:v>
                </c:pt>
                <c:pt idx="14">
                  <c:v>21632475.563384019</c:v>
                </c:pt>
                <c:pt idx="15">
                  <c:v>26459117.828035157</c:v>
                </c:pt>
                <c:pt idx="16">
                  <c:v>22290954.631204654</c:v>
                </c:pt>
                <c:pt idx="17">
                  <c:v>21972959.225674018</c:v>
                </c:pt>
                <c:pt idx="18">
                  <c:v>24629726.824234109</c:v>
                </c:pt>
                <c:pt idx="19">
                  <c:v>23063042.018404961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367-4463-A83D-6BBD0A38C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784255"/>
        <c:axId val="188784735"/>
      </c:scatterChart>
      <c:valAx>
        <c:axId val="1887842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8784735"/>
        <c:crosses val="autoZero"/>
        <c:crossBetween val="midCat"/>
      </c:valAx>
      <c:valAx>
        <c:axId val="18878473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878425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MMR!$K$27:$K$46</c:f>
              <c:numCache>
                <c:formatCode>General</c:formatCode>
                <c:ptCount val="2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</c:numCache>
            </c:numRef>
          </c:xVal>
          <c:yVal>
            <c:numRef>
              <c:f>MMR!$L$27:$L$46</c:f>
              <c:numCache>
                <c:formatCode>General</c:formatCode>
                <c:ptCount val="20"/>
                <c:pt idx="0">
                  <c:v>15916936.7598325</c:v>
                </c:pt>
                <c:pt idx="1">
                  <c:v>16440302.312529236</c:v>
                </c:pt>
                <c:pt idx="2">
                  <c:v>17051794.304503344</c:v>
                </c:pt>
                <c:pt idx="3">
                  <c:v>18694959.626677111</c:v>
                </c:pt>
                <c:pt idx="4">
                  <c:v>19837776.942030076</c:v>
                </c:pt>
                <c:pt idx="5">
                  <c:v>20303125.537451964</c:v>
                </c:pt>
                <c:pt idx="6">
                  <c:v>20737738.80000627</c:v>
                </c:pt>
                <c:pt idx="7">
                  <c:v>21792972.342667714</c:v>
                </c:pt>
                <c:pt idx="8">
                  <c:v>22105642.148086883</c:v>
                </c:pt>
                <c:pt idx="9">
                  <c:v>22148782.495467838</c:v>
                </c:pt>
                <c:pt idx="10">
                  <c:v>23934204.520910822</c:v>
                </c:pt>
                <c:pt idx="11">
                  <c:v>25753121.473489977</c:v>
                </c:pt>
                <c:pt idx="12">
                  <c:v>26434484.64704261</c:v>
                </c:pt>
                <c:pt idx="13">
                  <c:v>26516485.200317882</c:v>
                </c:pt>
                <c:pt idx="14">
                  <c:v>27963867.296271931</c:v>
                </c:pt>
                <c:pt idx="15">
                  <c:v>28053836.320973262</c:v>
                </c:pt>
                <c:pt idx="16">
                  <c:v>39454388.755779035</c:v>
                </c:pt>
                <c:pt idx="17">
                  <c:v>41213108.991875514</c:v>
                </c:pt>
                <c:pt idx="18">
                  <c:v>42885186.713556819</c:v>
                </c:pt>
                <c:pt idx="19">
                  <c:v>42926745.29106307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53-4421-BEE5-A959B1715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784255"/>
        <c:axId val="188786175"/>
      </c:scatterChart>
      <c:valAx>
        <c:axId val="1887842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8786175"/>
        <c:crosses val="autoZero"/>
        <c:crossBetween val="midCat"/>
      </c:valAx>
      <c:valAx>
        <c:axId val="18878617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878425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MMR!$B$4:$B$23</c:f>
              <c:numCache>
                <c:formatCode>General</c:formatCode>
                <c:ptCount val="20"/>
                <c:pt idx="0">
                  <c:v>14895546.665213035</c:v>
                </c:pt>
                <c:pt idx="1">
                  <c:v>15916936.7598325</c:v>
                </c:pt>
                <c:pt idx="2">
                  <c:v>16440302.312529236</c:v>
                </c:pt>
                <c:pt idx="3">
                  <c:v>17051794.304503344</c:v>
                </c:pt>
                <c:pt idx="4">
                  <c:v>25753121.473489977</c:v>
                </c:pt>
                <c:pt idx="5">
                  <c:v>26516485.200317882</c:v>
                </c:pt>
                <c:pt idx="6">
                  <c:v>28053836.320973262</c:v>
                </c:pt>
                <c:pt idx="7">
                  <c:v>27963867.296271931</c:v>
                </c:pt>
                <c:pt idx="8">
                  <c:v>39454388.755779035</c:v>
                </c:pt>
                <c:pt idx="9">
                  <c:v>41213108.991875514</c:v>
                </c:pt>
                <c:pt idx="10">
                  <c:v>42926745.29106307</c:v>
                </c:pt>
                <c:pt idx="11">
                  <c:v>42885186.713556819</c:v>
                </c:pt>
                <c:pt idx="12">
                  <c:v>22148782.495467838</c:v>
                </c:pt>
                <c:pt idx="13">
                  <c:v>22105642.148086883</c:v>
                </c:pt>
                <c:pt idx="14">
                  <c:v>19837776.942030076</c:v>
                </c:pt>
                <c:pt idx="15">
                  <c:v>26434484.64704261</c:v>
                </c:pt>
                <c:pt idx="16">
                  <c:v>20737738.80000627</c:v>
                </c:pt>
                <c:pt idx="17">
                  <c:v>20303125.537451964</c:v>
                </c:pt>
                <c:pt idx="18">
                  <c:v>23934204.520910822</c:v>
                </c:pt>
                <c:pt idx="19">
                  <c:v>21792972.342667714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8B-4321-A5FE-22DE36412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2699248"/>
        <c:axId val="372699728"/>
      </c:lineChart>
      <c:catAx>
        <c:axId val="3726992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699728"/>
        <c:crosses val="autoZero"/>
        <c:auto val="1"/>
        <c:lblAlgn val="ctr"/>
        <c:lblOffset val="100"/>
        <c:noMultiLvlLbl val="0"/>
      </c:catAx>
      <c:valAx>
        <c:axId val="37269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699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TT!$C$5:$C$24</c:f>
              <c:numCache>
                <c:formatCode>General</c:formatCode>
                <c:ptCount val="20"/>
                <c:pt idx="0">
                  <c:v>78159428.70084165</c:v>
                </c:pt>
                <c:pt idx="1">
                  <c:v>79754932.221154869</c:v>
                </c:pt>
                <c:pt idx="2">
                  <c:v>82572071.930308357</c:v>
                </c:pt>
                <c:pt idx="3">
                  <c:v>85747371.100018784</c:v>
                </c:pt>
                <c:pt idx="4">
                  <c:v>88823501.799946755</c:v>
                </c:pt>
                <c:pt idx="5">
                  <c:v>90980825.641051829</c:v>
                </c:pt>
                <c:pt idx="6">
                  <c:v>93434224.750214219</c:v>
                </c:pt>
                <c:pt idx="7">
                  <c:v>98105257.648446709</c:v>
                </c:pt>
                <c:pt idx="8">
                  <c:v>101078445.76415768</c:v>
                </c:pt>
                <c:pt idx="9">
                  <c:v>104582797.03656946</c:v>
                </c:pt>
                <c:pt idx="10">
                  <c:v>105776184.51721099</c:v>
                </c:pt>
                <c:pt idx="11">
                  <c:v>135372840.88102099</c:v>
                </c:pt>
                <c:pt idx="12">
                  <c:v>148582723.54941028</c:v>
                </c:pt>
                <c:pt idx="13">
                  <c:v>164282756.196031</c:v>
                </c:pt>
                <c:pt idx="14">
                  <c:v>173551045.36105618</c:v>
                </c:pt>
                <c:pt idx="15">
                  <c:v>177885694.95791954</c:v>
                </c:pt>
                <c:pt idx="16">
                  <c:v>149831513.85508409</c:v>
                </c:pt>
                <c:pt idx="17">
                  <c:v>186085427.29991889</c:v>
                </c:pt>
                <c:pt idx="18">
                  <c:v>164768260.88476095</c:v>
                </c:pt>
                <c:pt idx="19">
                  <c:v>42499759.782201052</c:v>
                </c:pt>
              </c:numCache>
            </c:numRef>
          </c:xVal>
          <c:yVal>
            <c:numRef>
              <c:f>TT!$H$28:$H$47</c:f>
              <c:numCache>
                <c:formatCode>General</c:formatCode>
                <c:ptCount val="20"/>
                <c:pt idx="0">
                  <c:v>-1224262.7588717937</c:v>
                </c:pt>
                <c:pt idx="1">
                  <c:v>248296.49313810468</c:v>
                </c:pt>
                <c:pt idx="2">
                  <c:v>1049504.3808516264</c:v>
                </c:pt>
                <c:pt idx="3">
                  <c:v>1449711.67802912</c:v>
                </c:pt>
                <c:pt idx="4">
                  <c:v>1014684.4712777734</c:v>
                </c:pt>
                <c:pt idx="5">
                  <c:v>1650039.6591642052</c:v>
                </c:pt>
                <c:pt idx="6">
                  <c:v>4253516.7959994078</c:v>
                </c:pt>
                <c:pt idx="7">
                  <c:v>3290280.1594758928</c:v>
                </c:pt>
                <c:pt idx="8">
                  <c:v>4289033.3025825322</c:v>
                </c:pt>
                <c:pt idx="9">
                  <c:v>2529194.9357961863</c:v>
                </c:pt>
                <c:pt idx="10">
                  <c:v>31120146.540048271</c:v>
                </c:pt>
                <c:pt idx="11">
                  <c:v>19388006.055921301</c:v>
                </c:pt>
                <c:pt idx="12">
                  <c:v>23955659.581504911</c:v>
                </c:pt>
                <c:pt idx="13">
                  <c:v>19993042.763308913</c:v>
                </c:pt>
                <c:pt idx="14">
                  <c:v>16517016.718414903</c:v>
                </c:pt>
                <c:pt idx="15">
                  <c:v>-15190108.4627662</c:v>
                </c:pt>
                <c:pt idx="16">
                  <c:v>44705936.241443336</c:v>
                </c:pt>
                <c:pt idx="17">
                  <c:v>-7163530.9942923486</c:v>
                </c:pt>
                <c:pt idx="18">
                  <c:v>-111467392.72214735</c:v>
                </c:pt>
                <c:pt idx="19">
                  <c:v>-40408774.8388796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4A-4747-95D7-928658BCA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8400991"/>
        <c:axId val="1488401471"/>
      </c:scatterChart>
      <c:valAx>
        <c:axId val="14884009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88401471"/>
        <c:crosses val="autoZero"/>
        <c:crossBetween val="midCat"/>
      </c:valAx>
      <c:valAx>
        <c:axId val="148840147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8840099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38100">
              <a:noFill/>
            </a:ln>
          </c:spPr>
          <c:xVal>
            <c:numRef>
              <c:f>TT!$C$5:$C$24</c:f>
              <c:numCache>
                <c:formatCode>General</c:formatCode>
                <c:ptCount val="20"/>
                <c:pt idx="0">
                  <c:v>78159428.70084165</c:v>
                </c:pt>
                <c:pt idx="1">
                  <c:v>79754932.221154869</c:v>
                </c:pt>
                <c:pt idx="2">
                  <c:v>82572071.930308357</c:v>
                </c:pt>
                <c:pt idx="3">
                  <c:v>85747371.100018784</c:v>
                </c:pt>
                <c:pt idx="4">
                  <c:v>88823501.799946755</c:v>
                </c:pt>
                <c:pt idx="5">
                  <c:v>90980825.641051829</c:v>
                </c:pt>
                <c:pt idx="6">
                  <c:v>93434224.750214219</c:v>
                </c:pt>
                <c:pt idx="7">
                  <c:v>98105257.648446709</c:v>
                </c:pt>
                <c:pt idx="8">
                  <c:v>101078445.76415768</c:v>
                </c:pt>
                <c:pt idx="9">
                  <c:v>104582797.03656946</c:v>
                </c:pt>
                <c:pt idx="10">
                  <c:v>105776184.51721099</c:v>
                </c:pt>
                <c:pt idx="11">
                  <c:v>135372840.88102099</c:v>
                </c:pt>
                <c:pt idx="12">
                  <c:v>148582723.54941028</c:v>
                </c:pt>
                <c:pt idx="13">
                  <c:v>164282756.196031</c:v>
                </c:pt>
                <c:pt idx="14">
                  <c:v>173551045.36105618</c:v>
                </c:pt>
                <c:pt idx="15">
                  <c:v>177885694.95791954</c:v>
                </c:pt>
                <c:pt idx="16">
                  <c:v>149831513.85508409</c:v>
                </c:pt>
                <c:pt idx="17">
                  <c:v>186085427.29991889</c:v>
                </c:pt>
                <c:pt idx="18">
                  <c:v>164768260.88476095</c:v>
                </c:pt>
                <c:pt idx="19">
                  <c:v>42499759.782201052</c:v>
                </c:pt>
              </c:numCache>
            </c:numRef>
          </c:xVal>
          <c:yVal>
            <c:numRef>
              <c:f>TT!$B$5:$B$24</c:f>
              <c:numCache>
                <c:formatCode>General</c:formatCode>
                <c:ptCount val="20"/>
                <c:pt idx="0">
                  <c:v>79754932.221154869</c:v>
                </c:pt>
                <c:pt idx="1">
                  <c:v>82572071.930308357</c:v>
                </c:pt>
                <c:pt idx="2">
                  <c:v>85747371.100018784</c:v>
                </c:pt>
                <c:pt idx="3">
                  <c:v>88823501.799946755</c:v>
                </c:pt>
                <c:pt idx="4">
                  <c:v>90980825.641051829</c:v>
                </c:pt>
                <c:pt idx="5">
                  <c:v>93434224.750214219</c:v>
                </c:pt>
                <c:pt idx="6">
                  <c:v>98105257.648446709</c:v>
                </c:pt>
                <c:pt idx="7">
                  <c:v>101078445.76415768</c:v>
                </c:pt>
                <c:pt idx="8">
                  <c:v>104582797.03656946</c:v>
                </c:pt>
                <c:pt idx="9">
                  <c:v>105776184.51721099</c:v>
                </c:pt>
                <c:pt idx="10">
                  <c:v>135372840.88102099</c:v>
                </c:pt>
                <c:pt idx="11">
                  <c:v>148582723.54941028</c:v>
                </c:pt>
                <c:pt idx="12">
                  <c:v>164282756.196031</c:v>
                </c:pt>
                <c:pt idx="13">
                  <c:v>173551045.36105618</c:v>
                </c:pt>
                <c:pt idx="14">
                  <c:v>177885694.95791954</c:v>
                </c:pt>
                <c:pt idx="15">
                  <c:v>149831513.85508409</c:v>
                </c:pt>
                <c:pt idx="16">
                  <c:v>186085427.29991889</c:v>
                </c:pt>
                <c:pt idx="17">
                  <c:v>164768260.88476095</c:v>
                </c:pt>
                <c:pt idx="18">
                  <c:v>42499759.782201052</c:v>
                </c:pt>
                <c:pt idx="19">
                  <c:v>10518907.671401918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AD-49B0-9DDE-A86055A337F2}"/>
            </c:ext>
          </c:extLst>
        </c:ser>
        <c:ser>
          <c:idx val="1"/>
          <c:order val="1"/>
          <c:tx>
            <c:v>Predicted Y</c:v>
          </c:tx>
          <c:spPr>
            <a:ln w="38100">
              <a:noFill/>
            </a:ln>
          </c:spPr>
          <c:xVal>
            <c:numRef>
              <c:f>TT!$C$5:$C$24</c:f>
              <c:numCache>
                <c:formatCode>General</c:formatCode>
                <c:ptCount val="20"/>
                <c:pt idx="0">
                  <c:v>78159428.70084165</c:v>
                </c:pt>
                <c:pt idx="1">
                  <c:v>79754932.221154869</c:v>
                </c:pt>
                <c:pt idx="2">
                  <c:v>82572071.930308357</c:v>
                </c:pt>
                <c:pt idx="3">
                  <c:v>85747371.100018784</c:v>
                </c:pt>
                <c:pt idx="4">
                  <c:v>88823501.799946755</c:v>
                </c:pt>
                <c:pt idx="5">
                  <c:v>90980825.641051829</c:v>
                </c:pt>
                <c:pt idx="6">
                  <c:v>93434224.750214219</c:v>
                </c:pt>
                <c:pt idx="7">
                  <c:v>98105257.648446709</c:v>
                </c:pt>
                <c:pt idx="8">
                  <c:v>101078445.76415768</c:v>
                </c:pt>
                <c:pt idx="9">
                  <c:v>104582797.03656946</c:v>
                </c:pt>
                <c:pt idx="10">
                  <c:v>105776184.51721099</c:v>
                </c:pt>
                <c:pt idx="11">
                  <c:v>135372840.88102099</c:v>
                </c:pt>
                <c:pt idx="12">
                  <c:v>148582723.54941028</c:v>
                </c:pt>
                <c:pt idx="13">
                  <c:v>164282756.196031</c:v>
                </c:pt>
                <c:pt idx="14">
                  <c:v>173551045.36105618</c:v>
                </c:pt>
                <c:pt idx="15">
                  <c:v>177885694.95791954</c:v>
                </c:pt>
                <c:pt idx="16">
                  <c:v>149831513.85508409</c:v>
                </c:pt>
                <c:pt idx="17">
                  <c:v>186085427.29991889</c:v>
                </c:pt>
                <c:pt idx="18">
                  <c:v>164768260.88476095</c:v>
                </c:pt>
                <c:pt idx="19">
                  <c:v>42499759.782201052</c:v>
                </c:pt>
              </c:numCache>
            </c:numRef>
          </c:xVal>
          <c:yVal>
            <c:numRef>
              <c:f>TT!$G$28:$G$47</c:f>
              <c:numCache>
                <c:formatCode>General</c:formatCode>
                <c:ptCount val="20"/>
                <c:pt idx="0">
                  <c:v>80979194.980026662</c:v>
                </c:pt>
                <c:pt idx="1">
                  <c:v>82323775.437170252</c:v>
                </c:pt>
                <c:pt idx="2">
                  <c:v>84697866.719167158</c:v>
                </c:pt>
                <c:pt idx="3">
                  <c:v>87373790.121917635</c:v>
                </c:pt>
                <c:pt idx="4">
                  <c:v>89966141.169774055</c:v>
                </c:pt>
                <c:pt idx="5">
                  <c:v>91784185.091050014</c:v>
                </c:pt>
                <c:pt idx="6">
                  <c:v>93851740.852447301</c:v>
                </c:pt>
                <c:pt idx="7">
                  <c:v>97788165.60468179</c:v>
                </c:pt>
                <c:pt idx="8">
                  <c:v>100293763.73398693</c:v>
                </c:pt>
                <c:pt idx="9">
                  <c:v>103246989.5814148</c:v>
                </c:pt>
                <c:pt idx="10">
                  <c:v>104252694.34097272</c:v>
                </c:pt>
                <c:pt idx="11">
                  <c:v>129194717.49348898</c:v>
                </c:pt>
                <c:pt idx="12">
                  <c:v>140327096.61452609</c:v>
                </c:pt>
                <c:pt idx="13">
                  <c:v>153558002.59774727</c:v>
                </c:pt>
                <c:pt idx="14">
                  <c:v>161368678.23950464</c:v>
                </c:pt>
                <c:pt idx="15">
                  <c:v>165021622.31785029</c:v>
                </c:pt>
                <c:pt idx="16">
                  <c:v>141379491.05847555</c:v>
                </c:pt>
                <c:pt idx="17">
                  <c:v>171931791.87905329</c:v>
                </c:pt>
                <c:pt idx="18">
                  <c:v>153967152.5043484</c:v>
                </c:pt>
                <c:pt idx="19">
                  <c:v>50927682.510281518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FAD-49B0-9DDE-A86055A33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8401951"/>
        <c:axId val="1498523823"/>
      </c:scatterChart>
      <c:valAx>
        <c:axId val="14884019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8523823"/>
        <c:crosses val="autoZero"/>
        <c:crossBetween val="midCat"/>
      </c:valAx>
      <c:valAx>
        <c:axId val="14985238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8840195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TT!$K$28:$K$47</c:f>
              <c:numCache>
                <c:formatCode>General</c:formatCode>
                <c:ptCount val="2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</c:numCache>
            </c:numRef>
          </c:xVal>
          <c:yVal>
            <c:numRef>
              <c:f>TT!$L$28:$L$47</c:f>
              <c:numCache>
                <c:formatCode>General</c:formatCode>
                <c:ptCount val="20"/>
                <c:pt idx="0">
                  <c:v>10518907.671401918</c:v>
                </c:pt>
                <c:pt idx="1">
                  <c:v>42499759.782201052</c:v>
                </c:pt>
                <c:pt idx="2">
                  <c:v>79754932.221154869</c:v>
                </c:pt>
                <c:pt idx="3">
                  <c:v>82572071.930308357</c:v>
                </c:pt>
                <c:pt idx="4">
                  <c:v>85747371.100018784</c:v>
                </c:pt>
                <c:pt idx="5">
                  <c:v>88823501.799946755</c:v>
                </c:pt>
                <c:pt idx="6">
                  <c:v>90980825.641051829</c:v>
                </c:pt>
                <c:pt idx="7">
                  <c:v>93434224.750214219</c:v>
                </c:pt>
                <c:pt idx="8">
                  <c:v>98105257.648446709</c:v>
                </c:pt>
                <c:pt idx="9">
                  <c:v>101078445.76415768</c:v>
                </c:pt>
                <c:pt idx="10">
                  <c:v>104582797.03656946</c:v>
                </c:pt>
                <c:pt idx="11">
                  <c:v>105776184.51721099</c:v>
                </c:pt>
                <c:pt idx="12">
                  <c:v>135372840.88102099</c:v>
                </c:pt>
                <c:pt idx="13">
                  <c:v>148582723.54941028</c:v>
                </c:pt>
                <c:pt idx="14">
                  <c:v>149831513.85508409</c:v>
                </c:pt>
                <c:pt idx="15">
                  <c:v>164282756.196031</c:v>
                </c:pt>
                <c:pt idx="16">
                  <c:v>164768260.88476095</c:v>
                </c:pt>
                <c:pt idx="17">
                  <c:v>173551045.36105618</c:v>
                </c:pt>
                <c:pt idx="18">
                  <c:v>177885694.95791954</c:v>
                </c:pt>
                <c:pt idx="19">
                  <c:v>186085427.29991889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0D-472E-B2AA-63D6E22A2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8401951"/>
        <c:axId val="1488402911"/>
      </c:scatterChart>
      <c:valAx>
        <c:axId val="14884019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88402911"/>
        <c:crosses val="autoZero"/>
        <c:crossBetween val="midCat"/>
      </c:valAx>
      <c:valAx>
        <c:axId val="14884029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8840195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TT!$B$4:$B$24</c:f>
              <c:numCache>
                <c:formatCode>General</c:formatCode>
                <c:ptCount val="21"/>
                <c:pt idx="0">
                  <c:v>78159428.70084165</c:v>
                </c:pt>
                <c:pt idx="1">
                  <c:v>79754932.221154869</c:v>
                </c:pt>
                <c:pt idx="2">
                  <c:v>82572071.930308357</c:v>
                </c:pt>
                <c:pt idx="3">
                  <c:v>85747371.100018784</c:v>
                </c:pt>
                <c:pt idx="4">
                  <c:v>88823501.799946755</c:v>
                </c:pt>
                <c:pt idx="5">
                  <c:v>90980825.641051829</c:v>
                </c:pt>
                <c:pt idx="6">
                  <c:v>93434224.750214219</c:v>
                </c:pt>
                <c:pt idx="7">
                  <c:v>98105257.648446709</c:v>
                </c:pt>
                <c:pt idx="8">
                  <c:v>101078445.76415768</c:v>
                </c:pt>
                <c:pt idx="9">
                  <c:v>104582797.03656946</c:v>
                </c:pt>
                <c:pt idx="10">
                  <c:v>105776184.51721099</c:v>
                </c:pt>
                <c:pt idx="11">
                  <c:v>135372840.88102099</c:v>
                </c:pt>
                <c:pt idx="12">
                  <c:v>148582723.54941028</c:v>
                </c:pt>
                <c:pt idx="13">
                  <c:v>164282756.196031</c:v>
                </c:pt>
                <c:pt idx="14">
                  <c:v>173551045.36105618</c:v>
                </c:pt>
                <c:pt idx="15">
                  <c:v>177885694.95791954</c:v>
                </c:pt>
                <c:pt idx="16">
                  <c:v>149831513.85508409</c:v>
                </c:pt>
                <c:pt idx="17">
                  <c:v>186085427.29991889</c:v>
                </c:pt>
                <c:pt idx="18">
                  <c:v>164768260.88476095</c:v>
                </c:pt>
                <c:pt idx="19">
                  <c:v>42499759.782201052</c:v>
                </c:pt>
                <c:pt idx="20">
                  <c:v>10518907.671401918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1D-4013-9746-B0A48190F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9434159"/>
        <c:axId val="1489435119"/>
      </c:lineChart>
      <c:catAx>
        <c:axId val="14894341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435119"/>
        <c:crosses val="autoZero"/>
        <c:auto val="1"/>
        <c:lblAlgn val="ctr"/>
        <c:lblOffset val="100"/>
        <c:noMultiLvlLbl val="0"/>
      </c:catAx>
      <c:valAx>
        <c:axId val="148943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434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Td!$C$5:$C$24</c:f>
              <c:numCache>
                <c:formatCode>General</c:formatCode>
                <c:ptCount val="20"/>
                <c:pt idx="0">
                  <c:v>50764265.476614729</c:v>
                </c:pt>
                <c:pt idx="1">
                  <c:v>50774337.539247289</c:v>
                </c:pt>
                <c:pt idx="2">
                  <c:v>50335231.889878154</c:v>
                </c:pt>
                <c:pt idx="3">
                  <c:v>52856121.30412057</c:v>
                </c:pt>
                <c:pt idx="4">
                  <c:v>69969918.250373557</c:v>
                </c:pt>
                <c:pt idx="5">
                  <c:v>68257614.967450723</c:v>
                </c:pt>
                <c:pt idx="6">
                  <c:v>54723842.706776053</c:v>
                </c:pt>
                <c:pt idx="7">
                  <c:v>53185019.472065121</c:v>
                </c:pt>
                <c:pt idx="8">
                  <c:v>38358186.250233114</c:v>
                </c:pt>
                <c:pt idx="9">
                  <c:v>36289140.125531644</c:v>
                </c:pt>
                <c:pt idx="10">
                  <c:v>31847542.07414145</c:v>
                </c:pt>
                <c:pt idx="11">
                  <c:v>29878049.329418853</c:v>
                </c:pt>
                <c:pt idx="12">
                  <c:v>27224650.822669961</c:v>
                </c:pt>
                <c:pt idx="13">
                  <c:v>28389437.100745611</c:v>
                </c:pt>
                <c:pt idx="14">
                  <c:v>29041953.411824565</c:v>
                </c:pt>
                <c:pt idx="15">
                  <c:v>34928665.468587726</c:v>
                </c:pt>
                <c:pt idx="16">
                  <c:v>74784905.956905723</c:v>
                </c:pt>
                <c:pt idx="17">
                  <c:v>94070115.624735251</c:v>
                </c:pt>
                <c:pt idx="18">
                  <c:v>129988736.12009519</c:v>
                </c:pt>
                <c:pt idx="19">
                  <c:v>244473057.03895932</c:v>
                </c:pt>
              </c:numCache>
            </c:numRef>
          </c:xVal>
          <c:yVal>
            <c:numRef>
              <c:f>Td!$H$28:$H$47</c:f>
              <c:numCache>
                <c:formatCode>General</c:formatCode>
                <c:ptCount val="20"/>
                <c:pt idx="0">
                  <c:v>-7815935.3244330436</c:v>
                </c:pt>
                <c:pt idx="1">
                  <c:v>-8267752.6664340347</c:v>
                </c:pt>
                <c:pt idx="2">
                  <c:v>-5192679.2432830632</c:v>
                </c:pt>
                <c:pt idx="3">
                  <c:v>8739567.6509331837</c:v>
                </c:pt>
                <c:pt idx="4">
                  <c:v>-14571621.032228589</c:v>
                </c:pt>
                <c:pt idx="5">
                  <c:v>-25944339.115711987</c:v>
                </c:pt>
                <c:pt idx="6">
                  <c:v>-10402534.538296983</c:v>
                </c:pt>
                <c:pt idx="7">
                  <c:v>-23287258.314625517</c:v>
                </c:pt>
                <c:pt idx="8">
                  <c:v>-6643737.4612011164</c:v>
                </c:pt>
                <c:pt idx="9">
                  <c:v>-8474045.3193288445</c:v>
                </c:pt>
                <c:pt idx="10">
                  <c:v>-4837910.7677134573</c:v>
                </c:pt>
                <c:pt idx="11">
                  <c:v>-5005662.8557592705</c:v>
                </c:pt>
                <c:pt idx="12">
                  <c:v>-492090.18922629952</c:v>
                </c:pt>
                <c:pt idx="13">
                  <c:v>-1309620.8475567289</c:v>
                </c:pt>
                <c:pt idx="14">
                  <c:v>3753567.0626337603</c:v>
                </c:pt>
                <c:pt idx="15">
                  <c:v>36180338.830623701</c:v>
                </c:pt>
                <c:pt idx="16">
                  <c:v>5164006.7952823192</c:v>
                </c:pt>
                <c:pt idx="17">
                  <c:v>16743257.433491424</c:v>
                </c:pt>
                <c:pt idx="18">
                  <c:v>85895606.128400177</c:v>
                </c:pt>
                <c:pt idx="19">
                  <c:v>-34231156.225565374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D4-4657-8258-2E21720F6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1969359"/>
        <c:axId val="2126406959"/>
      </c:scatterChart>
      <c:valAx>
        <c:axId val="15419693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26406959"/>
        <c:crosses val="autoZero"/>
        <c:crossBetween val="midCat"/>
      </c:valAx>
      <c:valAx>
        <c:axId val="212640695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1969359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38100">
              <a:noFill/>
            </a:ln>
          </c:spPr>
          <c:xVal>
            <c:numRef>
              <c:f>Td!$C$5:$C$24</c:f>
              <c:numCache>
                <c:formatCode>General</c:formatCode>
                <c:ptCount val="20"/>
                <c:pt idx="0">
                  <c:v>50764265.476614729</c:v>
                </c:pt>
                <c:pt idx="1">
                  <c:v>50774337.539247289</c:v>
                </c:pt>
                <c:pt idx="2">
                  <c:v>50335231.889878154</c:v>
                </c:pt>
                <c:pt idx="3">
                  <c:v>52856121.30412057</c:v>
                </c:pt>
                <c:pt idx="4">
                  <c:v>69969918.250373557</c:v>
                </c:pt>
                <c:pt idx="5">
                  <c:v>68257614.967450723</c:v>
                </c:pt>
                <c:pt idx="6">
                  <c:v>54723842.706776053</c:v>
                </c:pt>
                <c:pt idx="7">
                  <c:v>53185019.472065121</c:v>
                </c:pt>
                <c:pt idx="8">
                  <c:v>38358186.250233114</c:v>
                </c:pt>
                <c:pt idx="9">
                  <c:v>36289140.125531644</c:v>
                </c:pt>
                <c:pt idx="10">
                  <c:v>31847542.07414145</c:v>
                </c:pt>
                <c:pt idx="11">
                  <c:v>29878049.329418853</c:v>
                </c:pt>
                <c:pt idx="12">
                  <c:v>27224650.822669961</c:v>
                </c:pt>
                <c:pt idx="13">
                  <c:v>28389437.100745611</c:v>
                </c:pt>
                <c:pt idx="14">
                  <c:v>29041953.411824565</c:v>
                </c:pt>
                <c:pt idx="15">
                  <c:v>34928665.468587726</c:v>
                </c:pt>
                <c:pt idx="16">
                  <c:v>74784905.956905723</c:v>
                </c:pt>
                <c:pt idx="17">
                  <c:v>94070115.624735251</c:v>
                </c:pt>
                <c:pt idx="18">
                  <c:v>129988736.12009519</c:v>
                </c:pt>
                <c:pt idx="19">
                  <c:v>244473057.03895932</c:v>
                </c:pt>
              </c:numCache>
            </c:numRef>
          </c:xVal>
          <c:yVal>
            <c:numRef>
              <c:f>Td!$B$5:$B$24</c:f>
              <c:numCache>
                <c:formatCode>General</c:formatCode>
                <c:ptCount val="20"/>
                <c:pt idx="0">
                  <c:v>50774337.539247289</c:v>
                </c:pt>
                <c:pt idx="1">
                  <c:v>50335231.889878154</c:v>
                </c:pt>
                <c:pt idx="2">
                  <c:v>52856121.30412057</c:v>
                </c:pt>
                <c:pt idx="3">
                  <c:v>69969918.250373557</c:v>
                </c:pt>
                <c:pt idx="4">
                  <c:v>68257614.967450723</c:v>
                </c:pt>
                <c:pt idx="5">
                  <c:v>54723842.706776053</c:v>
                </c:pt>
                <c:pt idx="6">
                  <c:v>53185019.472065121</c:v>
                </c:pt>
                <c:pt idx="7">
                  <c:v>38358186.250233114</c:v>
                </c:pt>
                <c:pt idx="8">
                  <c:v>36289140.125531644</c:v>
                </c:pt>
                <c:pt idx="9">
                  <c:v>31847542.07414145</c:v>
                </c:pt>
                <c:pt idx="10">
                  <c:v>29878049.329418853</c:v>
                </c:pt>
                <c:pt idx="11">
                  <c:v>27224650.822669961</c:v>
                </c:pt>
                <c:pt idx="12">
                  <c:v>28389437.100745611</c:v>
                </c:pt>
                <c:pt idx="13">
                  <c:v>29041953.411824565</c:v>
                </c:pt>
                <c:pt idx="14">
                  <c:v>34928665.468587726</c:v>
                </c:pt>
                <c:pt idx="15">
                  <c:v>74784905.956905723</c:v>
                </c:pt>
                <c:pt idx="16">
                  <c:v>94070115.624735251</c:v>
                </c:pt>
                <c:pt idx="17">
                  <c:v>129988736.12009519</c:v>
                </c:pt>
                <c:pt idx="18">
                  <c:v>244473057.03895932</c:v>
                </c:pt>
                <c:pt idx="19">
                  <c:v>268834027.91079444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E6-4BE7-AA8E-28B4729FF83A}"/>
            </c:ext>
          </c:extLst>
        </c:ser>
        <c:ser>
          <c:idx val="1"/>
          <c:order val="1"/>
          <c:tx>
            <c:v>Predicted Y</c:v>
          </c:tx>
          <c:spPr>
            <a:ln w="38100">
              <a:noFill/>
            </a:ln>
          </c:spPr>
          <c:xVal>
            <c:numRef>
              <c:f>Td!$C$5:$C$24</c:f>
              <c:numCache>
                <c:formatCode>General</c:formatCode>
                <c:ptCount val="20"/>
                <c:pt idx="0">
                  <c:v>50764265.476614729</c:v>
                </c:pt>
                <c:pt idx="1">
                  <c:v>50774337.539247289</c:v>
                </c:pt>
                <c:pt idx="2">
                  <c:v>50335231.889878154</c:v>
                </c:pt>
                <c:pt idx="3">
                  <c:v>52856121.30412057</c:v>
                </c:pt>
                <c:pt idx="4">
                  <c:v>69969918.250373557</c:v>
                </c:pt>
                <c:pt idx="5">
                  <c:v>68257614.967450723</c:v>
                </c:pt>
                <c:pt idx="6">
                  <c:v>54723842.706776053</c:v>
                </c:pt>
                <c:pt idx="7">
                  <c:v>53185019.472065121</c:v>
                </c:pt>
                <c:pt idx="8">
                  <c:v>38358186.250233114</c:v>
                </c:pt>
                <c:pt idx="9">
                  <c:v>36289140.125531644</c:v>
                </c:pt>
                <c:pt idx="10">
                  <c:v>31847542.07414145</c:v>
                </c:pt>
                <c:pt idx="11">
                  <c:v>29878049.329418853</c:v>
                </c:pt>
                <c:pt idx="12">
                  <c:v>27224650.822669961</c:v>
                </c:pt>
                <c:pt idx="13">
                  <c:v>28389437.100745611</c:v>
                </c:pt>
                <c:pt idx="14">
                  <c:v>29041953.411824565</c:v>
                </c:pt>
                <c:pt idx="15">
                  <c:v>34928665.468587726</c:v>
                </c:pt>
                <c:pt idx="16">
                  <c:v>74784905.956905723</c:v>
                </c:pt>
                <c:pt idx="17">
                  <c:v>94070115.624735251</c:v>
                </c:pt>
                <c:pt idx="18">
                  <c:v>129988736.12009519</c:v>
                </c:pt>
                <c:pt idx="19">
                  <c:v>244473057.03895932</c:v>
                </c:pt>
              </c:numCache>
            </c:numRef>
          </c:xVal>
          <c:yVal>
            <c:numRef>
              <c:f>Td!$G$28:$G$47</c:f>
              <c:numCache>
                <c:formatCode>General</c:formatCode>
                <c:ptCount val="20"/>
                <c:pt idx="0">
                  <c:v>58590272.863680333</c:v>
                </c:pt>
                <c:pt idx="1">
                  <c:v>58602984.556312189</c:v>
                </c:pt>
                <c:pt idx="2">
                  <c:v>58048800.547403634</c:v>
                </c:pt>
                <c:pt idx="3">
                  <c:v>61230350.599440373</c:v>
                </c:pt>
                <c:pt idx="4">
                  <c:v>82829235.999679312</c:v>
                </c:pt>
                <c:pt idx="5">
                  <c:v>80668181.82248804</c:v>
                </c:pt>
                <c:pt idx="6">
                  <c:v>63587554.010362104</c:v>
                </c:pt>
                <c:pt idx="7">
                  <c:v>61645444.56485863</c:v>
                </c:pt>
                <c:pt idx="8">
                  <c:v>42932877.58673276</c:v>
                </c:pt>
                <c:pt idx="9">
                  <c:v>40321587.393470295</c:v>
                </c:pt>
                <c:pt idx="10">
                  <c:v>34715960.09713231</c:v>
                </c:pt>
                <c:pt idx="11">
                  <c:v>32230313.678429231</c:v>
                </c:pt>
                <c:pt idx="12">
                  <c:v>28881527.28997191</c:v>
                </c:pt>
                <c:pt idx="13">
                  <c:v>30351574.259381294</c:v>
                </c:pt>
                <c:pt idx="14">
                  <c:v>31175098.405953966</c:v>
                </c:pt>
                <c:pt idx="15">
                  <c:v>38604567.126282021</c:v>
                </c:pt>
                <c:pt idx="16">
                  <c:v>88906108.829452932</c:v>
                </c:pt>
                <c:pt idx="17">
                  <c:v>113245478.68660377</c:v>
                </c:pt>
                <c:pt idx="18">
                  <c:v>158577450.91055915</c:v>
                </c:pt>
                <c:pt idx="19">
                  <c:v>303065184.13635981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5E6-4BE7-AA8E-28B4729FF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6409359"/>
        <c:axId val="1541969359"/>
      </c:scatterChart>
      <c:valAx>
        <c:axId val="21264093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1969359"/>
        <c:crosses val="autoZero"/>
        <c:crossBetween val="midCat"/>
      </c:valAx>
      <c:valAx>
        <c:axId val="154196935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264093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Td!$K$28:$K$47</c:f>
              <c:numCache>
                <c:formatCode>General</c:formatCode>
                <c:ptCount val="2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</c:numCache>
            </c:numRef>
          </c:xVal>
          <c:yVal>
            <c:numRef>
              <c:f>Td!$L$28:$L$47</c:f>
              <c:numCache>
                <c:formatCode>General</c:formatCode>
                <c:ptCount val="20"/>
                <c:pt idx="0">
                  <c:v>27224650.822669961</c:v>
                </c:pt>
                <c:pt idx="1">
                  <c:v>28389437.100745611</c:v>
                </c:pt>
                <c:pt idx="2">
                  <c:v>29041953.411824565</c:v>
                </c:pt>
                <c:pt idx="3">
                  <c:v>29878049.329418853</c:v>
                </c:pt>
                <c:pt idx="4">
                  <c:v>31847542.07414145</c:v>
                </c:pt>
                <c:pt idx="5">
                  <c:v>34928665.468587726</c:v>
                </c:pt>
                <c:pt idx="6">
                  <c:v>36289140.125531644</c:v>
                </c:pt>
                <c:pt idx="7">
                  <c:v>38358186.250233114</c:v>
                </c:pt>
                <c:pt idx="8">
                  <c:v>50335231.889878154</c:v>
                </c:pt>
                <c:pt idx="9">
                  <c:v>50774337.539247289</c:v>
                </c:pt>
                <c:pt idx="10">
                  <c:v>52856121.30412057</c:v>
                </c:pt>
                <c:pt idx="11">
                  <c:v>53185019.472065121</c:v>
                </c:pt>
                <c:pt idx="12">
                  <c:v>54723842.706776053</c:v>
                </c:pt>
                <c:pt idx="13">
                  <c:v>68257614.967450723</c:v>
                </c:pt>
                <c:pt idx="14">
                  <c:v>69969918.250373557</c:v>
                </c:pt>
                <c:pt idx="15">
                  <c:v>74784905.956905723</c:v>
                </c:pt>
                <c:pt idx="16">
                  <c:v>94070115.624735251</c:v>
                </c:pt>
                <c:pt idx="17">
                  <c:v>129988736.12009519</c:v>
                </c:pt>
                <c:pt idx="18">
                  <c:v>244473057.03895932</c:v>
                </c:pt>
                <c:pt idx="19">
                  <c:v>268834027.91079444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D3-4AAF-B89A-BFD91881C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1681583"/>
        <c:axId val="1541680143"/>
      </c:scatterChart>
      <c:valAx>
        <c:axId val="15416815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1680143"/>
        <c:crosses val="autoZero"/>
        <c:crossBetween val="midCat"/>
      </c:valAx>
      <c:valAx>
        <c:axId val="15416801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1681583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Td!$B$4:$B$24</c:f>
              <c:numCache>
                <c:formatCode>General</c:formatCode>
                <c:ptCount val="21"/>
                <c:pt idx="0">
                  <c:v>50764265.476614729</c:v>
                </c:pt>
                <c:pt idx="1">
                  <c:v>50774337.539247289</c:v>
                </c:pt>
                <c:pt idx="2">
                  <c:v>50335231.889878154</c:v>
                </c:pt>
                <c:pt idx="3">
                  <c:v>52856121.30412057</c:v>
                </c:pt>
                <c:pt idx="4">
                  <c:v>69969918.250373557</c:v>
                </c:pt>
                <c:pt idx="5">
                  <c:v>68257614.967450723</c:v>
                </c:pt>
                <c:pt idx="6">
                  <c:v>54723842.706776053</c:v>
                </c:pt>
                <c:pt idx="7">
                  <c:v>53185019.472065121</c:v>
                </c:pt>
                <c:pt idx="8">
                  <c:v>38358186.250233114</c:v>
                </c:pt>
                <c:pt idx="9">
                  <c:v>36289140.125531644</c:v>
                </c:pt>
                <c:pt idx="10">
                  <c:v>31847542.07414145</c:v>
                </c:pt>
                <c:pt idx="11">
                  <c:v>29878049.329418853</c:v>
                </c:pt>
                <c:pt idx="12">
                  <c:v>27224650.822669961</c:v>
                </c:pt>
                <c:pt idx="13">
                  <c:v>28389437.100745611</c:v>
                </c:pt>
                <c:pt idx="14">
                  <c:v>29041953.411824565</c:v>
                </c:pt>
                <c:pt idx="15">
                  <c:v>34928665.468587726</c:v>
                </c:pt>
                <c:pt idx="16">
                  <c:v>74784905.956905723</c:v>
                </c:pt>
                <c:pt idx="17">
                  <c:v>94070115.624735251</c:v>
                </c:pt>
                <c:pt idx="18">
                  <c:v>129988736.12009519</c:v>
                </c:pt>
                <c:pt idx="19">
                  <c:v>244473057.03895932</c:v>
                </c:pt>
                <c:pt idx="20">
                  <c:v>268834027.91079444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A4-452A-BE82-7D13808AD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7514655"/>
        <c:axId val="1867515135"/>
      </c:lineChart>
      <c:catAx>
        <c:axId val="18675146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515135"/>
        <c:crosses val="autoZero"/>
        <c:auto val="1"/>
        <c:lblAlgn val="ctr"/>
        <c:lblOffset val="100"/>
        <c:noMultiLvlLbl val="0"/>
      </c:catAx>
      <c:valAx>
        <c:axId val="186751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514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DT!$C$5:$C$24</c:f>
              <c:numCache>
                <c:formatCode>General</c:formatCode>
                <c:ptCount val="20"/>
                <c:pt idx="0">
                  <c:v>20923950.020323381</c:v>
                </c:pt>
                <c:pt idx="1">
                  <c:v>20532693.853786986</c:v>
                </c:pt>
                <c:pt idx="2">
                  <c:v>20111574.529954832</c:v>
                </c:pt>
                <c:pt idx="3">
                  <c:v>19392670.084334902</c:v>
                </c:pt>
                <c:pt idx="4">
                  <c:v>19054703.122363184</c:v>
                </c:pt>
                <c:pt idx="5">
                  <c:v>18693917.72138387</c:v>
                </c:pt>
                <c:pt idx="6">
                  <c:v>20305661.86554661</c:v>
                </c:pt>
                <c:pt idx="7">
                  <c:v>19916221.87937418</c:v>
                </c:pt>
                <c:pt idx="8">
                  <c:v>19937955.877736975</c:v>
                </c:pt>
                <c:pt idx="9">
                  <c:v>19825403.520701751</c:v>
                </c:pt>
                <c:pt idx="10">
                  <c:v>19155298.849561401</c:v>
                </c:pt>
                <c:pt idx="11">
                  <c:v>19326300.843421053</c:v>
                </c:pt>
                <c:pt idx="12">
                  <c:v>1956106.5441666669</c:v>
                </c:pt>
                <c:pt idx="13">
                  <c:v>1868860.0933333333</c:v>
                </c:pt>
                <c:pt idx="14">
                  <c:v>1900870.4433333334</c:v>
                </c:pt>
                <c:pt idx="15">
                  <c:v>1887280.7208333334</c:v>
                </c:pt>
                <c:pt idx="16">
                  <c:v>1784486.5525000002</c:v>
                </c:pt>
                <c:pt idx="17">
                  <c:v>2200512.6324999998</c:v>
                </c:pt>
                <c:pt idx="18">
                  <c:v>2217689.2383333333</c:v>
                </c:pt>
                <c:pt idx="19">
                  <c:v>2177787.5541666667</c:v>
                </c:pt>
              </c:numCache>
            </c:numRef>
          </c:xVal>
          <c:yVal>
            <c:numRef>
              <c:f>DT!$H$28:$H$47</c:f>
              <c:numCache>
                <c:formatCode>General</c:formatCode>
                <c:ptCount val="20"/>
                <c:pt idx="0">
                  <c:v>1286033.9685784243</c:v>
                </c:pt>
                <c:pt idx="1">
                  <c:v>1214314.4583429582</c:v>
                </c:pt>
                <c:pt idx="2">
                  <c:v>871478.24073709548</c:v>
                </c:pt>
                <c:pt idx="3">
                  <c:v>1175507.7526281588</c:v>
                </c:pt>
                <c:pt idx="4">
                  <c:v>1116533.8082199097</c:v>
                </c:pt>
                <c:pt idx="5">
                  <c:v>3050466.7448725216</c:v>
                </c:pt>
                <c:pt idx="6">
                  <c:v>1221706.0483806692</c:v>
                </c:pt>
                <c:pt idx="7">
                  <c:v>1591217.973875735</c:v>
                </c:pt>
                <c:pt idx="8">
                  <c:v>1459256.7087486684</c:v>
                </c:pt>
                <c:pt idx="9">
                  <c:v>889663.61015707999</c:v>
                </c:pt>
                <c:pt idx="10">
                  <c:v>1659082.8743677475</c:v>
                </c:pt>
                <c:pt idx="11">
                  <c:v>-15863819.726734364</c:v>
                </c:pt>
                <c:pt idx="12">
                  <c:v>-439124.97540080268</c:v>
                </c:pt>
                <c:pt idx="13">
                  <c:v>-329201.74819812737</c:v>
                </c:pt>
                <c:pt idx="14">
                  <c:v>-371377.37241611187</c:v>
                </c:pt>
                <c:pt idx="15">
                  <c:v>-462035.63871277031</c:v>
                </c:pt>
                <c:pt idx="16">
                  <c:v>45787.750381276477</c:v>
                </c:pt>
                <c:pt idx="17">
                  <c:v>-308555.50017553894</c:v>
                </c:pt>
                <c:pt idx="18">
                  <c:v>-363796.24705786584</c:v>
                </c:pt>
                <c:pt idx="19">
                  <c:v>2556861.2694053152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AE-4E70-89EF-B024D10C4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5535727"/>
        <c:axId val="1695536207"/>
      </c:scatterChart>
      <c:valAx>
        <c:axId val="16955357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95536207"/>
        <c:crosses val="autoZero"/>
        <c:crossBetween val="midCat"/>
      </c:valAx>
      <c:valAx>
        <c:axId val="16955362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9553572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38100">
              <a:noFill/>
            </a:ln>
          </c:spPr>
          <c:xVal>
            <c:numRef>
              <c:f>DT!$C$5:$C$24</c:f>
              <c:numCache>
                <c:formatCode>General</c:formatCode>
                <c:ptCount val="20"/>
                <c:pt idx="0">
                  <c:v>20923950.020323381</c:v>
                </c:pt>
                <c:pt idx="1">
                  <c:v>20532693.853786986</c:v>
                </c:pt>
                <c:pt idx="2">
                  <c:v>20111574.529954832</c:v>
                </c:pt>
                <c:pt idx="3">
                  <c:v>19392670.084334902</c:v>
                </c:pt>
                <c:pt idx="4">
                  <c:v>19054703.122363184</c:v>
                </c:pt>
                <c:pt idx="5">
                  <c:v>18693917.72138387</c:v>
                </c:pt>
                <c:pt idx="6">
                  <c:v>20305661.86554661</c:v>
                </c:pt>
                <c:pt idx="7">
                  <c:v>19916221.87937418</c:v>
                </c:pt>
                <c:pt idx="8">
                  <c:v>19937955.877736975</c:v>
                </c:pt>
                <c:pt idx="9">
                  <c:v>19825403.520701751</c:v>
                </c:pt>
                <c:pt idx="10">
                  <c:v>19155298.849561401</c:v>
                </c:pt>
                <c:pt idx="11">
                  <c:v>19326300.843421053</c:v>
                </c:pt>
                <c:pt idx="12">
                  <c:v>1956106.5441666669</c:v>
                </c:pt>
                <c:pt idx="13">
                  <c:v>1868860.0933333333</c:v>
                </c:pt>
                <c:pt idx="14">
                  <c:v>1900870.4433333334</c:v>
                </c:pt>
                <c:pt idx="15">
                  <c:v>1887280.7208333334</c:v>
                </c:pt>
                <c:pt idx="16">
                  <c:v>1784486.5525000002</c:v>
                </c:pt>
                <c:pt idx="17">
                  <c:v>2200512.6324999998</c:v>
                </c:pt>
                <c:pt idx="18">
                  <c:v>2217689.2383333333</c:v>
                </c:pt>
                <c:pt idx="19">
                  <c:v>2177787.5541666667</c:v>
                </c:pt>
              </c:numCache>
            </c:numRef>
          </c:xVal>
          <c:yVal>
            <c:numRef>
              <c:f>DT!$B$5:$B$24</c:f>
              <c:numCache>
                <c:formatCode>General</c:formatCode>
                <c:ptCount val="20"/>
                <c:pt idx="0">
                  <c:v>20532693.853786986</c:v>
                </c:pt>
                <c:pt idx="1">
                  <c:v>20111574.529954832</c:v>
                </c:pt>
                <c:pt idx="2">
                  <c:v>19392670.084334902</c:v>
                </c:pt>
                <c:pt idx="3">
                  <c:v>19054703.122363184</c:v>
                </c:pt>
                <c:pt idx="4">
                  <c:v>18693917.72138387</c:v>
                </c:pt>
                <c:pt idx="5">
                  <c:v>20305661.86554661</c:v>
                </c:pt>
                <c:pt idx="6">
                  <c:v>19916221.87937418</c:v>
                </c:pt>
                <c:pt idx="7">
                  <c:v>19937955.877736975</c:v>
                </c:pt>
                <c:pt idx="8">
                  <c:v>19825403.520701751</c:v>
                </c:pt>
                <c:pt idx="9">
                  <c:v>19155298.849561401</c:v>
                </c:pt>
                <c:pt idx="10">
                  <c:v>19326300.843421053</c:v>
                </c:pt>
                <c:pt idx="11">
                  <c:v>1956106.5441666669</c:v>
                </c:pt>
                <c:pt idx="12">
                  <c:v>1868860.0933333333</c:v>
                </c:pt>
                <c:pt idx="13">
                  <c:v>1900870.4433333334</c:v>
                </c:pt>
                <c:pt idx="14">
                  <c:v>1887280.7208333334</c:v>
                </c:pt>
                <c:pt idx="15">
                  <c:v>1784486.5525000002</c:v>
                </c:pt>
                <c:pt idx="16">
                  <c:v>2200512.6324999998</c:v>
                </c:pt>
                <c:pt idx="17">
                  <c:v>2217689.2383333333</c:v>
                </c:pt>
                <c:pt idx="18">
                  <c:v>2177787.5541666667</c:v>
                </c:pt>
                <c:pt idx="19">
                  <c:v>5062812.0449999999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04-4B85-ACF9-393012EDAFAD}"/>
            </c:ext>
          </c:extLst>
        </c:ser>
        <c:ser>
          <c:idx val="1"/>
          <c:order val="1"/>
          <c:tx>
            <c:v>Predicted Y</c:v>
          </c:tx>
          <c:spPr>
            <a:ln w="38100">
              <a:noFill/>
            </a:ln>
          </c:spPr>
          <c:xVal>
            <c:numRef>
              <c:f>DT!$C$5:$C$24</c:f>
              <c:numCache>
                <c:formatCode>General</c:formatCode>
                <c:ptCount val="20"/>
                <c:pt idx="0">
                  <c:v>20923950.020323381</c:v>
                </c:pt>
                <c:pt idx="1">
                  <c:v>20532693.853786986</c:v>
                </c:pt>
                <c:pt idx="2">
                  <c:v>20111574.529954832</c:v>
                </c:pt>
                <c:pt idx="3">
                  <c:v>19392670.084334902</c:v>
                </c:pt>
                <c:pt idx="4">
                  <c:v>19054703.122363184</c:v>
                </c:pt>
                <c:pt idx="5">
                  <c:v>18693917.72138387</c:v>
                </c:pt>
                <c:pt idx="6">
                  <c:v>20305661.86554661</c:v>
                </c:pt>
                <c:pt idx="7">
                  <c:v>19916221.87937418</c:v>
                </c:pt>
                <c:pt idx="8">
                  <c:v>19937955.877736975</c:v>
                </c:pt>
                <c:pt idx="9">
                  <c:v>19825403.520701751</c:v>
                </c:pt>
                <c:pt idx="10">
                  <c:v>19155298.849561401</c:v>
                </c:pt>
                <c:pt idx="11">
                  <c:v>19326300.843421053</c:v>
                </c:pt>
                <c:pt idx="12">
                  <c:v>1956106.5441666669</c:v>
                </c:pt>
                <c:pt idx="13">
                  <c:v>1868860.0933333333</c:v>
                </c:pt>
                <c:pt idx="14">
                  <c:v>1900870.4433333334</c:v>
                </c:pt>
                <c:pt idx="15">
                  <c:v>1887280.7208333334</c:v>
                </c:pt>
                <c:pt idx="16">
                  <c:v>1784486.5525000002</c:v>
                </c:pt>
                <c:pt idx="17">
                  <c:v>2200512.6324999998</c:v>
                </c:pt>
                <c:pt idx="18">
                  <c:v>2217689.2383333333</c:v>
                </c:pt>
                <c:pt idx="19">
                  <c:v>2177787.5541666667</c:v>
                </c:pt>
              </c:numCache>
            </c:numRef>
          </c:xVal>
          <c:yVal>
            <c:numRef>
              <c:f>DT!$G$28:$G$47</c:f>
              <c:numCache>
                <c:formatCode>General</c:formatCode>
                <c:ptCount val="20"/>
                <c:pt idx="0">
                  <c:v>19246659.885208562</c:v>
                </c:pt>
                <c:pt idx="1">
                  <c:v>18897260.071611874</c:v>
                </c:pt>
                <c:pt idx="2">
                  <c:v>18521191.843597807</c:v>
                </c:pt>
                <c:pt idx="3">
                  <c:v>17879195.369735025</c:v>
                </c:pt>
                <c:pt idx="4">
                  <c:v>17577383.91316396</c:v>
                </c:pt>
                <c:pt idx="5">
                  <c:v>17255195.120674089</c:v>
                </c:pt>
                <c:pt idx="6">
                  <c:v>18694515.830993511</c:v>
                </c:pt>
                <c:pt idx="7">
                  <c:v>18346737.90386124</c:v>
                </c:pt>
                <c:pt idx="8">
                  <c:v>18366146.811953083</c:v>
                </c:pt>
                <c:pt idx="9">
                  <c:v>18265635.239404321</c:v>
                </c:pt>
                <c:pt idx="10">
                  <c:v>17667217.969053306</c:v>
                </c:pt>
                <c:pt idx="11">
                  <c:v>17819926.270901032</c:v>
                </c:pt>
                <c:pt idx="12">
                  <c:v>2307985.0687341359</c:v>
                </c:pt>
                <c:pt idx="13">
                  <c:v>2230072.1915314607</c:v>
                </c:pt>
                <c:pt idx="14">
                  <c:v>2258658.0932494453</c:v>
                </c:pt>
                <c:pt idx="15">
                  <c:v>2246522.1912127705</c:v>
                </c:pt>
                <c:pt idx="16">
                  <c:v>2154724.8821187234</c:v>
                </c:pt>
                <c:pt idx="17">
                  <c:v>2526244.7385088722</c:v>
                </c:pt>
                <c:pt idx="18">
                  <c:v>2541583.8012245325</c:v>
                </c:pt>
                <c:pt idx="19">
                  <c:v>2505950.7755946848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04-4B85-ACF9-393012EDA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5536687"/>
        <c:axId val="2133118271"/>
      </c:scatterChart>
      <c:valAx>
        <c:axId val="1695536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33118271"/>
        <c:crosses val="autoZero"/>
        <c:crossBetween val="midCat"/>
      </c:valAx>
      <c:valAx>
        <c:axId val="213311827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9553668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DT!$K$28:$K$47</c:f>
              <c:numCache>
                <c:formatCode>General</c:formatCode>
                <c:ptCount val="2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</c:numCache>
            </c:numRef>
          </c:xVal>
          <c:yVal>
            <c:numRef>
              <c:f>DT!$L$28:$L$47</c:f>
              <c:numCache>
                <c:formatCode>General</c:formatCode>
                <c:ptCount val="20"/>
                <c:pt idx="0">
                  <c:v>1784486.5525000002</c:v>
                </c:pt>
                <c:pt idx="1">
                  <c:v>1868860.0933333333</c:v>
                </c:pt>
                <c:pt idx="2">
                  <c:v>1887280.7208333334</c:v>
                </c:pt>
                <c:pt idx="3">
                  <c:v>1900870.4433333334</c:v>
                </c:pt>
                <c:pt idx="4">
                  <c:v>1956106.5441666669</c:v>
                </c:pt>
                <c:pt idx="5">
                  <c:v>2177787.5541666667</c:v>
                </c:pt>
                <c:pt idx="6">
                  <c:v>2200512.6324999998</c:v>
                </c:pt>
                <c:pt idx="7">
                  <c:v>2217689.2383333333</c:v>
                </c:pt>
                <c:pt idx="8">
                  <c:v>5062812.0449999999</c:v>
                </c:pt>
                <c:pt idx="9">
                  <c:v>18693917.72138387</c:v>
                </c:pt>
                <c:pt idx="10">
                  <c:v>19054703.122363184</c:v>
                </c:pt>
                <c:pt idx="11">
                  <c:v>19155298.849561401</c:v>
                </c:pt>
                <c:pt idx="12">
                  <c:v>19326300.843421053</c:v>
                </c:pt>
                <c:pt idx="13">
                  <c:v>19392670.084334902</c:v>
                </c:pt>
                <c:pt idx="14">
                  <c:v>19825403.520701751</c:v>
                </c:pt>
                <c:pt idx="15">
                  <c:v>19916221.87937418</c:v>
                </c:pt>
                <c:pt idx="16">
                  <c:v>19937955.877736975</c:v>
                </c:pt>
                <c:pt idx="17">
                  <c:v>20111574.529954832</c:v>
                </c:pt>
                <c:pt idx="18">
                  <c:v>20305661.86554661</c:v>
                </c:pt>
                <c:pt idx="19">
                  <c:v>20532693.853786986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2D-47EA-8105-EC3E9938E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5534767"/>
        <c:axId val="1695537647"/>
      </c:scatterChart>
      <c:valAx>
        <c:axId val="16955347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95537647"/>
        <c:crosses val="autoZero"/>
        <c:crossBetween val="midCat"/>
      </c:valAx>
      <c:valAx>
        <c:axId val="16955376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9553476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DT!$C$5:$C$25</c:f>
              <c:numCache>
                <c:formatCode>General</c:formatCode>
                <c:ptCount val="21"/>
                <c:pt idx="0">
                  <c:v>20923950.020323381</c:v>
                </c:pt>
                <c:pt idx="1">
                  <c:v>20532693.853786986</c:v>
                </c:pt>
                <c:pt idx="2">
                  <c:v>20111574.529954832</c:v>
                </c:pt>
                <c:pt idx="3">
                  <c:v>19392670.084334902</c:v>
                </c:pt>
                <c:pt idx="4">
                  <c:v>19054703.122363184</c:v>
                </c:pt>
                <c:pt idx="5">
                  <c:v>18693917.72138387</c:v>
                </c:pt>
                <c:pt idx="6">
                  <c:v>20305661.86554661</c:v>
                </c:pt>
                <c:pt idx="7">
                  <c:v>19916221.87937418</c:v>
                </c:pt>
                <c:pt idx="8">
                  <c:v>19937955.877736975</c:v>
                </c:pt>
                <c:pt idx="9">
                  <c:v>19825403.520701751</c:v>
                </c:pt>
                <c:pt idx="10">
                  <c:v>19155298.849561401</c:v>
                </c:pt>
                <c:pt idx="11">
                  <c:v>19326300.843421053</c:v>
                </c:pt>
                <c:pt idx="12">
                  <c:v>1956106.5441666669</c:v>
                </c:pt>
                <c:pt idx="13">
                  <c:v>1868860.0933333333</c:v>
                </c:pt>
                <c:pt idx="14">
                  <c:v>1900870.4433333334</c:v>
                </c:pt>
                <c:pt idx="15">
                  <c:v>1887280.7208333334</c:v>
                </c:pt>
                <c:pt idx="16">
                  <c:v>1784486.5525000002</c:v>
                </c:pt>
                <c:pt idx="17">
                  <c:v>2200512.6324999998</c:v>
                </c:pt>
                <c:pt idx="18">
                  <c:v>2217689.2383333333</c:v>
                </c:pt>
                <c:pt idx="19">
                  <c:v>2177787.5541666667</c:v>
                </c:pt>
                <c:pt idx="20">
                  <c:v>5062812.0449999999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82-4FF9-AC4B-DF555A480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1521775"/>
        <c:axId val="1521520335"/>
      </c:lineChart>
      <c:catAx>
        <c:axId val="15215217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520335"/>
        <c:crosses val="autoZero"/>
        <c:auto val="1"/>
        <c:lblAlgn val="ctr"/>
        <c:lblOffset val="100"/>
        <c:noMultiLvlLbl val="0"/>
      </c:catAx>
      <c:valAx>
        <c:axId val="152152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521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DTP!$C$5:$C$24</c:f>
              <c:numCache>
                <c:formatCode>General</c:formatCode>
                <c:ptCount val="20"/>
                <c:pt idx="0">
                  <c:v>311598814.06162727</c:v>
                </c:pt>
                <c:pt idx="1">
                  <c:v>314913212.59057081</c:v>
                </c:pt>
                <c:pt idx="2">
                  <c:v>275098221.46512675</c:v>
                </c:pt>
                <c:pt idx="3">
                  <c:v>262871459.77782801</c:v>
                </c:pt>
                <c:pt idx="4">
                  <c:v>261128636.20449466</c:v>
                </c:pt>
                <c:pt idx="5">
                  <c:v>257038004.93187308</c:v>
                </c:pt>
                <c:pt idx="6">
                  <c:v>243336949.27765125</c:v>
                </c:pt>
                <c:pt idx="7">
                  <c:v>227800791.45995286</c:v>
                </c:pt>
                <c:pt idx="8">
                  <c:v>225945393.95778477</c:v>
                </c:pt>
                <c:pt idx="9">
                  <c:v>232813533.26876855</c:v>
                </c:pt>
                <c:pt idx="10">
                  <c:v>235328125.65923217</c:v>
                </c:pt>
                <c:pt idx="11">
                  <c:v>232957520.37821281</c:v>
                </c:pt>
                <c:pt idx="12">
                  <c:v>144417830.43723875</c:v>
                </c:pt>
                <c:pt idx="13">
                  <c:v>142191816.79626864</c:v>
                </c:pt>
                <c:pt idx="14">
                  <c:v>138986007.87026119</c:v>
                </c:pt>
                <c:pt idx="15">
                  <c:v>91307954.436380625</c:v>
                </c:pt>
                <c:pt idx="16">
                  <c:v>64954166.940870769</c:v>
                </c:pt>
                <c:pt idx="17">
                  <c:v>66630415.072983138</c:v>
                </c:pt>
                <c:pt idx="18">
                  <c:v>66455709.460084438</c:v>
                </c:pt>
                <c:pt idx="19">
                  <c:v>65876338.938094288</c:v>
                </c:pt>
              </c:numCache>
            </c:numRef>
          </c:xVal>
          <c:yVal>
            <c:numRef>
              <c:f>DTP!$H$28:$H$47</c:f>
              <c:numCache>
                <c:formatCode>General</c:formatCode>
                <c:ptCount val="20"/>
                <c:pt idx="0">
                  <c:v>19928522.054348111</c:v>
                </c:pt>
                <c:pt idx="1">
                  <c:v>-23085934.398622632</c:v>
                </c:pt>
                <c:pt idx="2">
                  <c:v>3121632.9512216449</c:v>
                </c:pt>
                <c:pt idx="3">
                  <c:v>13181584.374566942</c:v>
                </c:pt>
                <c:pt idx="4">
                  <c:v>10773340.885484934</c:v>
                </c:pt>
                <c:pt idx="5">
                  <c:v>1021065.9256054461</c:v>
                </c:pt>
                <c:pt idx="6">
                  <c:v>-1289146.9330333173</c:v>
                </c:pt>
                <c:pt idx="7">
                  <c:v>11852866.958337903</c:v>
                </c:pt>
                <c:pt idx="8">
                  <c:v>20512064.262235552</c:v>
                </c:pt>
                <c:pt idx="9">
                  <c:v>16396683.401679307</c:v>
                </c:pt>
                <c:pt idx="10">
                  <c:v>11598684.101536036</c:v>
                </c:pt>
                <c:pt idx="11">
                  <c:v>-74652605.897295088</c:v>
                </c:pt>
                <c:pt idx="12">
                  <c:v>8590784.8204194009</c:v>
                </c:pt>
                <c:pt idx="13">
                  <c:v>7533798.192240864</c:v>
                </c:pt>
                <c:pt idx="14">
                  <c:v>-37049613.961821869</c:v>
                </c:pt>
                <c:pt idx="15">
                  <c:v>-17378677.05755166</c:v>
                </c:pt>
                <c:pt idx="16">
                  <c:v>9737489.8424962386</c:v>
                </c:pt>
                <c:pt idx="17">
                  <c:v>7944663.2546481937</c:v>
                </c:pt>
                <c:pt idx="18">
                  <c:v>7533940.0893692002</c:v>
                </c:pt>
                <c:pt idx="19">
                  <c:v>3728857.1341348439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FC-4687-AA1F-CB2FAE502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0328911"/>
        <c:axId val="1490329871"/>
      </c:scatterChart>
      <c:valAx>
        <c:axId val="14903289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0329871"/>
        <c:crosses val="autoZero"/>
        <c:crossBetween val="midCat"/>
      </c:valAx>
      <c:valAx>
        <c:axId val="149032987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032891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38100">
              <a:noFill/>
            </a:ln>
          </c:spPr>
          <c:xVal>
            <c:numRef>
              <c:f>DTP!$C$5:$C$24</c:f>
              <c:numCache>
                <c:formatCode>General</c:formatCode>
                <c:ptCount val="20"/>
                <c:pt idx="0">
                  <c:v>311598814.06162727</c:v>
                </c:pt>
                <c:pt idx="1">
                  <c:v>314913212.59057081</c:v>
                </c:pt>
                <c:pt idx="2">
                  <c:v>275098221.46512675</c:v>
                </c:pt>
                <c:pt idx="3">
                  <c:v>262871459.77782801</c:v>
                </c:pt>
                <c:pt idx="4">
                  <c:v>261128636.20449466</c:v>
                </c:pt>
                <c:pt idx="5">
                  <c:v>257038004.93187308</c:v>
                </c:pt>
                <c:pt idx="6">
                  <c:v>243336949.27765125</c:v>
                </c:pt>
                <c:pt idx="7">
                  <c:v>227800791.45995286</c:v>
                </c:pt>
                <c:pt idx="8">
                  <c:v>225945393.95778477</c:v>
                </c:pt>
                <c:pt idx="9">
                  <c:v>232813533.26876855</c:v>
                </c:pt>
                <c:pt idx="10">
                  <c:v>235328125.65923217</c:v>
                </c:pt>
                <c:pt idx="11">
                  <c:v>232957520.37821281</c:v>
                </c:pt>
                <c:pt idx="12">
                  <c:v>144417830.43723875</c:v>
                </c:pt>
                <c:pt idx="13">
                  <c:v>142191816.79626864</c:v>
                </c:pt>
                <c:pt idx="14">
                  <c:v>138986007.87026119</c:v>
                </c:pt>
                <c:pt idx="15">
                  <c:v>91307954.436380625</c:v>
                </c:pt>
                <c:pt idx="16">
                  <c:v>64954166.940870769</c:v>
                </c:pt>
                <c:pt idx="17">
                  <c:v>66630415.072983138</c:v>
                </c:pt>
                <c:pt idx="18">
                  <c:v>66455709.460084438</c:v>
                </c:pt>
                <c:pt idx="19">
                  <c:v>65876338.938094288</c:v>
                </c:pt>
              </c:numCache>
            </c:numRef>
          </c:xVal>
          <c:yVal>
            <c:numRef>
              <c:f>DTP!$B$5:$B$24</c:f>
              <c:numCache>
                <c:formatCode>General</c:formatCode>
                <c:ptCount val="20"/>
                <c:pt idx="0">
                  <c:v>314913212.59057081</c:v>
                </c:pt>
                <c:pt idx="1">
                  <c:v>275098221.46512675</c:v>
                </c:pt>
                <c:pt idx="2">
                  <c:v>262871459.77782801</c:v>
                </c:pt>
                <c:pt idx="3">
                  <c:v>261128636.20449466</c:v>
                </c:pt>
                <c:pt idx="4">
                  <c:v>257038004.93187308</c:v>
                </c:pt>
                <c:pt idx="5">
                  <c:v>243336949.27765125</c:v>
                </c:pt>
                <c:pt idx="6">
                  <c:v>227800791.45995286</c:v>
                </c:pt>
                <c:pt idx="7">
                  <c:v>225945393.95778477</c:v>
                </c:pt>
                <c:pt idx="8">
                  <c:v>232813533.26876855</c:v>
                </c:pt>
                <c:pt idx="9">
                  <c:v>235328125.65923217</c:v>
                </c:pt>
                <c:pt idx="10">
                  <c:v>232957520.37821281</c:v>
                </c:pt>
                <c:pt idx="11">
                  <c:v>144417830.43723875</c:v>
                </c:pt>
                <c:pt idx="12">
                  <c:v>142191816.79626864</c:v>
                </c:pt>
                <c:pt idx="13">
                  <c:v>138986007.87026119</c:v>
                </c:pt>
                <c:pt idx="14">
                  <c:v>91307954.436380625</c:v>
                </c:pt>
                <c:pt idx="15">
                  <c:v>64954166.940870769</c:v>
                </c:pt>
                <c:pt idx="16">
                  <c:v>66630415.072983138</c:v>
                </c:pt>
                <c:pt idx="17">
                  <c:v>66455709.460084438</c:v>
                </c:pt>
                <c:pt idx="18">
                  <c:v>65876338.938094288</c:v>
                </c:pt>
                <c:pt idx="19">
                  <c:v>61511976.258134328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04-4025-98D6-0A8480AD1AB7}"/>
            </c:ext>
          </c:extLst>
        </c:ser>
        <c:ser>
          <c:idx val="1"/>
          <c:order val="1"/>
          <c:tx>
            <c:v>Predicted Y</c:v>
          </c:tx>
          <c:spPr>
            <a:ln w="38100">
              <a:noFill/>
            </a:ln>
          </c:spPr>
          <c:xVal>
            <c:numRef>
              <c:f>DTP!$C$5:$C$24</c:f>
              <c:numCache>
                <c:formatCode>General</c:formatCode>
                <c:ptCount val="20"/>
                <c:pt idx="0">
                  <c:v>311598814.06162727</c:v>
                </c:pt>
                <c:pt idx="1">
                  <c:v>314913212.59057081</c:v>
                </c:pt>
                <c:pt idx="2">
                  <c:v>275098221.46512675</c:v>
                </c:pt>
                <c:pt idx="3">
                  <c:v>262871459.77782801</c:v>
                </c:pt>
                <c:pt idx="4">
                  <c:v>261128636.20449466</c:v>
                </c:pt>
                <c:pt idx="5">
                  <c:v>257038004.93187308</c:v>
                </c:pt>
                <c:pt idx="6">
                  <c:v>243336949.27765125</c:v>
                </c:pt>
                <c:pt idx="7">
                  <c:v>227800791.45995286</c:v>
                </c:pt>
                <c:pt idx="8">
                  <c:v>225945393.95778477</c:v>
                </c:pt>
                <c:pt idx="9">
                  <c:v>232813533.26876855</c:v>
                </c:pt>
                <c:pt idx="10">
                  <c:v>235328125.65923217</c:v>
                </c:pt>
                <c:pt idx="11">
                  <c:v>232957520.37821281</c:v>
                </c:pt>
                <c:pt idx="12">
                  <c:v>144417830.43723875</c:v>
                </c:pt>
                <c:pt idx="13">
                  <c:v>142191816.79626864</c:v>
                </c:pt>
                <c:pt idx="14">
                  <c:v>138986007.87026119</c:v>
                </c:pt>
                <c:pt idx="15">
                  <c:v>91307954.436380625</c:v>
                </c:pt>
                <c:pt idx="16">
                  <c:v>64954166.940870769</c:v>
                </c:pt>
                <c:pt idx="17">
                  <c:v>66630415.072983138</c:v>
                </c:pt>
                <c:pt idx="18">
                  <c:v>66455709.460084438</c:v>
                </c:pt>
                <c:pt idx="19">
                  <c:v>65876338.938094288</c:v>
                </c:pt>
              </c:numCache>
            </c:numRef>
          </c:xVal>
          <c:yVal>
            <c:numRef>
              <c:f>DTP!$G$28:$G$47</c:f>
              <c:numCache>
                <c:formatCode>General</c:formatCode>
                <c:ptCount val="20"/>
                <c:pt idx="0">
                  <c:v>294984690.5362227</c:v>
                </c:pt>
                <c:pt idx="1">
                  <c:v>298184155.86374938</c:v>
                </c:pt>
                <c:pt idx="2">
                  <c:v>259749826.82660636</c:v>
                </c:pt>
                <c:pt idx="3">
                  <c:v>247947051.82992771</c:v>
                </c:pt>
                <c:pt idx="4">
                  <c:v>246264664.04638815</c:v>
                </c:pt>
                <c:pt idx="5">
                  <c:v>242315883.3520458</c:v>
                </c:pt>
                <c:pt idx="6">
                  <c:v>229089938.39298618</c:v>
                </c:pt>
                <c:pt idx="7">
                  <c:v>214092526.99944687</c:v>
                </c:pt>
                <c:pt idx="8">
                  <c:v>212301469.006533</c:v>
                </c:pt>
                <c:pt idx="9">
                  <c:v>218931442.25755286</c:v>
                </c:pt>
                <c:pt idx="10">
                  <c:v>221358836.27667677</c:v>
                </c:pt>
                <c:pt idx="11">
                  <c:v>219070436.33453384</c:v>
                </c:pt>
                <c:pt idx="12">
                  <c:v>133601031.97584924</c:v>
                </c:pt>
                <c:pt idx="13">
                  <c:v>131452209.67802033</c:v>
                </c:pt>
                <c:pt idx="14">
                  <c:v>128357568.39820249</c:v>
                </c:pt>
                <c:pt idx="15">
                  <c:v>82332843.998422429</c:v>
                </c:pt>
                <c:pt idx="16">
                  <c:v>56892925.2304869</c:v>
                </c:pt>
                <c:pt idx="17">
                  <c:v>58511046.205436245</c:v>
                </c:pt>
                <c:pt idx="18">
                  <c:v>58342398.848725088</c:v>
                </c:pt>
                <c:pt idx="19">
                  <c:v>57783119.123999484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504-4025-98D6-0A8480AD1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2137567"/>
        <c:axId val="1927691551"/>
      </c:scatterChart>
      <c:valAx>
        <c:axId val="14921375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27691551"/>
        <c:crosses val="autoZero"/>
        <c:crossBetween val="midCat"/>
      </c:valAx>
      <c:valAx>
        <c:axId val="19276915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213756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30405402449693786"/>
          <c:y val="0.30112757964078019"/>
          <c:w val="0.64870652887139113"/>
          <c:h val="0.42325099068498789"/>
        </c:manualLayout>
      </c:layout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DTP!$K$28:$K$47</c:f>
              <c:numCache>
                <c:formatCode>General</c:formatCode>
                <c:ptCount val="2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</c:numCache>
            </c:numRef>
          </c:xVal>
          <c:yVal>
            <c:numRef>
              <c:f>DTP!$L$28:$L$47</c:f>
              <c:numCache>
                <c:formatCode>General</c:formatCode>
                <c:ptCount val="20"/>
                <c:pt idx="0">
                  <c:v>61511976.258134328</c:v>
                </c:pt>
                <c:pt idx="1">
                  <c:v>64954166.940870769</c:v>
                </c:pt>
                <c:pt idx="2">
                  <c:v>65876338.938094288</c:v>
                </c:pt>
                <c:pt idx="3">
                  <c:v>66455709.460084438</c:v>
                </c:pt>
                <c:pt idx="4">
                  <c:v>66630415.072983138</c:v>
                </c:pt>
                <c:pt idx="5">
                  <c:v>91307954.436380625</c:v>
                </c:pt>
                <c:pt idx="6">
                  <c:v>138986007.87026119</c:v>
                </c:pt>
                <c:pt idx="7">
                  <c:v>142191816.79626864</c:v>
                </c:pt>
                <c:pt idx="8">
                  <c:v>144417830.43723875</c:v>
                </c:pt>
                <c:pt idx="9">
                  <c:v>225945393.95778477</c:v>
                </c:pt>
                <c:pt idx="10">
                  <c:v>227800791.45995286</c:v>
                </c:pt>
                <c:pt idx="11">
                  <c:v>232813533.26876855</c:v>
                </c:pt>
                <c:pt idx="12">
                  <c:v>232957520.37821281</c:v>
                </c:pt>
                <c:pt idx="13">
                  <c:v>235328125.65923217</c:v>
                </c:pt>
                <c:pt idx="14">
                  <c:v>243336949.27765125</c:v>
                </c:pt>
                <c:pt idx="15">
                  <c:v>257038004.93187308</c:v>
                </c:pt>
                <c:pt idx="16">
                  <c:v>261128636.20449466</c:v>
                </c:pt>
                <c:pt idx="17">
                  <c:v>262871459.77782801</c:v>
                </c:pt>
                <c:pt idx="18">
                  <c:v>275098221.46512675</c:v>
                </c:pt>
                <c:pt idx="19">
                  <c:v>314913212.59057081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C4-4A02-A892-21559C3B9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0328911"/>
        <c:axId val="1492138047"/>
      </c:scatterChart>
      <c:valAx>
        <c:axId val="14903289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2138047"/>
        <c:crosses val="autoZero"/>
        <c:crossBetween val="midCat"/>
      </c:valAx>
      <c:valAx>
        <c:axId val="14921380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032891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DTP!$C$5:$C$25</c:f>
              <c:numCache>
                <c:formatCode>General</c:formatCode>
                <c:ptCount val="21"/>
                <c:pt idx="0">
                  <c:v>311598814.06162727</c:v>
                </c:pt>
                <c:pt idx="1">
                  <c:v>314913212.59057081</c:v>
                </c:pt>
                <c:pt idx="2">
                  <c:v>275098221.46512675</c:v>
                </c:pt>
                <c:pt idx="3">
                  <c:v>262871459.77782801</c:v>
                </c:pt>
                <c:pt idx="4">
                  <c:v>261128636.20449466</c:v>
                </c:pt>
                <c:pt idx="5">
                  <c:v>257038004.93187308</c:v>
                </c:pt>
                <c:pt idx="6">
                  <c:v>243336949.27765125</c:v>
                </c:pt>
                <c:pt idx="7">
                  <c:v>227800791.45995286</c:v>
                </c:pt>
                <c:pt idx="8">
                  <c:v>225945393.95778477</c:v>
                </c:pt>
                <c:pt idx="9">
                  <c:v>232813533.26876855</c:v>
                </c:pt>
                <c:pt idx="10">
                  <c:v>235328125.65923217</c:v>
                </c:pt>
                <c:pt idx="11">
                  <c:v>232957520.37821281</c:v>
                </c:pt>
                <c:pt idx="12">
                  <c:v>144417830.43723875</c:v>
                </c:pt>
                <c:pt idx="13">
                  <c:v>142191816.79626864</c:v>
                </c:pt>
                <c:pt idx="14">
                  <c:v>138986007.87026119</c:v>
                </c:pt>
                <c:pt idx="15">
                  <c:v>91307954.436380625</c:v>
                </c:pt>
                <c:pt idx="16">
                  <c:v>64954166.940870769</c:v>
                </c:pt>
                <c:pt idx="17">
                  <c:v>66630415.072983138</c:v>
                </c:pt>
                <c:pt idx="18">
                  <c:v>66455709.460084438</c:v>
                </c:pt>
                <c:pt idx="19">
                  <c:v>65876338.938094288</c:v>
                </c:pt>
                <c:pt idx="20">
                  <c:v>61511976.258134328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4-474F-AEA3-5B17C1090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4381760"/>
        <c:axId val="1384379840"/>
      </c:lineChart>
      <c:catAx>
        <c:axId val="13843817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379840"/>
        <c:crosses val="autoZero"/>
        <c:auto val="1"/>
        <c:lblAlgn val="ctr"/>
        <c:lblOffset val="100"/>
        <c:noMultiLvlLbl val="0"/>
      </c:catAx>
      <c:valAx>
        <c:axId val="138437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381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'DTP-hib'!$C$5:$C$24</c:f>
              <c:numCache>
                <c:formatCode>General</c:formatCode>
                <c:ptCount val="20"/>
                <c:pt idx="0">
                  <c:v>4569986.5263157897</c:v>
                </c:pt>
                <c:pt idx="1">
                  <c:v>2613786.0340789473</c:v>
                </c:pt>
                <c:pt idx="2">
                  <c:v>2314794.7413157895</c:v>
                </c:pt>
                <c:pt idx="3">
                  <c:v>4993056.5542105269</c:v>
                </c:pt>
                <c:pt idx="4">
                  <c:v>6731549.5777631579</c:v>
                </c:pt>
                <c:pt idx="5">
                  <c:v>5829500.5882894741</c:v>
                </c:pt>
                <c:pt idx="6">
                  <c:v>2388879.1685526315</c:v>
                </c:pt>
                <c:pt idx="7">
                  <c:v>2682333.9976315787</c:v>
                </c:pt>
                <c:pt idx="8">
                  <c:v>5503855.038947368</c:v>
                </c:pt>
                <c:pt idx="9">
                  <c:v>6149962.5543421051</c:v>
                </c:pt>
                <c:pt idx="10">
                  <c:v>2755123.0750000002</c:v>
                </c:pt>
                <c:pt idx="11">
                  <c:v>3016433.5149999997</c:v>
                </c:pt>
                <c:pt idx="12">
                  <c:v>2770511.5999999996</c:v>
                </c:pt>
                <c:pt idx="13">
                  <c:v>2616817.8899999997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2577182.4</c:v>
                </c:pt>
              </c:numCache>
            </c:numRef>
          </c:xVal>
          <c:yVal>
            <c:numRef>
              <c:f>'DTP-hib'!$H$28:$H$47</c:f>
              <c:numCache>
                <c:formatCode>General</c:formatCode>
                <c:ptCount val="20"/>
                <c:pt idx="0">
                  <c:v>-1265615.4496980407</c:v>
                </c:pt>
                <c:pt idx="1">
                  <c:v>-288875.48339239135</c:v>
                </c:pt>
                <c:pt idx="2">
                  <c:v>2584372.7533791745</c:v>
                </c:pt>
                <c:pt idx="3">
                  <c:v>2576244.0332815973</c:v>
                </c:pt>
                <c:pt idx="4">
                  <c:v>540441.16601233743</c:v>
                </c:pt>
                <c:pt idx="5">
                  <c:v>-2311911.2610267568</c:v>
                </c:pt>
                <c:pt idx="6">
                  <c:v>225336.22284340672</c:v>
                </c:pt>
                <c:pt idx="7">
                  <c:v>2855481.4312287848</c:v>
                </c:pt>
                <c:pt idx="8">
                  <c:v>1661541.0554122142</c:v>
                </c:pt>
                <c:pt idx="9">
                  <c:v>-2154655.8243494341</c:v>
                </c:pt>
                <c:pt idx="10">
                  <c:v>320590.69250195753</c:v>
                </c:pt>
                <c:pt idx="11">
                  <c:v>-95744.172475289553</c:v>
                </c:pt>
                <c:pt idx="12">
                  <c:v>-89060.520594133995</c:v>
                </c:pt>
                <c:pt idx="13">
                  <c:v>-2605647.4419652205</c:v>
                </c:pt>
                <c:pt idx="14">
                  <c:v>-899096.19897570834</c:v>
                </c:pt>
                <c:pt idx="15">
                  <c:v>-899096.19897570834</c:v>
                </c:pt>
                <c:pt idx="16">
                  <c:v>-899096.19897570834</c:v>
                </c:pt>
                <c:pt idx="17">
                  <c:v>-899096.19897570834</c:v>
                </c:pt>
                <c:pt idx="18">
                  <c:v>1678086.2010242916</c:v>
                </c:pt>
                <c:pt idx="19">
                  <c:v>-34198.606279667001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AD-4CC4-8389-C00A51051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4125007"/>
        <c:axId val="1864128367"/>
      </c:scatterChart>
      <c:valAx>
        <c:axId val="18641250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64128367"/>
        <c:crosses val="autoZero"/>
        <c:crossBetween val="midCat"/>
      </c:valAx>
      <c:valAx>
        <c:axId val="186412836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6412500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38100">
              <a:noFill/>
            </a:ln>
          </c:spPr>
          <c:xVal>
            <c:numRef>
              <c:f>'DTP-hib'!$C$5:$C$24</c:f>
              <c:numCache>
                <c:formatCode>General</c:formatCode>
                <c:ptCount val="20"/>
                <c:pt idx="0">
                  <c:v>4569986.5263157897</c:v>
                </c:pt>
                <c:pt idx="1">
                  <c:v>2613786.0340789473</c:v>
                </c:pt>
                <c:pt idx="2">
                  <c:v>2314794.7413157895</c:v>
                </c:pt>
                <c:pt idx="3">
                  <c:v>4993056.5542105269</c:v>
                </c:pt>
                <c:pt idx="4">
                  <c:v>6731549.5777631579</c:v>
                </c:pt>
                <c:pt idx="5">
                  <c:v>5829500.5882894741</c:v>
                </c:pt>
                <c:pt idx="6">
                  <c:v>2388879.1685526315</c:v>
                </c:pt>
                <c:pt idx="7">
                  <c:v>2682333.9976315787</c:v>
                </c:pt>
                <c:pt idx="8">
                  <c:v>5503855.038947368</c:v>
                </c:pt>
                <c:pt idx="9">
                  <c:v>6149962.5543421051</c:v>
                </c:pt>
                <c:pt idx="10">
                  <c:v>2755123.0750000002</c:v>
                </c:pt>
                <c:pt idx="11">
                  <c:v>3016433.5149999997</c:v>
                </c:pt>
                <c:pt idx="12">
                  <c:v>2770511.5999999996</c:v>
                </c:pt>
                <c:pt idx="13">
                  <c:v>2616817.8899999997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2577182.4</c:v>
                </c:pt>
              </c:numCache>
            </c:numRef>
          </c:xVal>
          <c:yVal>
            <c:numRef>
              <c:f>'DTP-hib'!$B$5:$B$24</c:f>
              <c:numCache>
                <c:formatCode>General</c:formatCode>
                <c:ptCount val="20"/>
                <c:pt idx="0">
                  <c:v>2613786.0340789473</c:v>
                </c:pt>
                <c:pt idx="1">
                  <c:v>2314794.7413157895</c:v>
                </c:pt>
                <c:pt idx="2">
                  <c:v>4993056.5542105269</c:v>
                </c:pt>
                <c:pt idx="3">
                  <c:v>6731549.5777631579</c:v>
                </c:pt>
                <c:pt idx="4">
                  <c:v>5829500.5882894741</c:v>
                </c:pt>
                <c:pt idx="5">
                  <c:v>2388879.1685526315</c:v>
                </c:pt>
                <c:pt idx="6">
                  <c:v>2682333.9976315787</c:v>
                </c:pt>
                <c:pt idx="7">
                  <c:v>5503855.038947368</c:v>
                </c:pt>
                <c:pt idx="8">
                  <c:v>6149962.5543421051</c:v>
                </c:pt>
                <c:pt idx="9">
                  <c:v>2755123.0750000002</c:v>
                </c:pt>
                <c:pt idx="10">
                  <c:v>3016433.5149999997</c:v>
                </c:pt>
                <c:pt idx="11">
                  <c:v>2770511.5999999996</c:v>
                </c:pt>
                <c:pt idx="12">
                  <c:v>2616817.8899999997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2577182.4</c:v>
                </c:pt>
                <c:pt idx="19">
                  <c:v>2545600.65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C9-4AE1-8ECD-B097BEC64BD3}"/>
            </c:ext>
          </c:extLst>
        </c:ser>
        <c:ser>
          <c:idx val="1"/>
          <c:order val="1"/>
          <c:tx>
            <c:v>Predicted Y</c:v>
          </c:tx>
          <c:spPr>
            <a:ln w="38100">
              <a:noFill/>
            </a:ln>
          </c:spPr>
          <c:xVal>
            <c:numRef>
              <c:f>'DTP-hib'!$C$5:$C$24</c:f>
              <c:numCache>
                <c:formatCode>General</c:formatCode>
                <c:ptCount val="20"/>
                <c:pt idx="0">
                  <c:v>4569986.5263157897</c:v>
                </c:pt>
                <c:pt idx="1">
                  <c:v>2613786.0340789473</c:v>
                </c:pt>
                <c:pt idx="2">
                  <c:v>2314794.7413157895</c:v>
                </c:pt>
                <c:pt idx="3">
                  <c:v>4993056.5542105269</c:v>
                </c:pt>
                <c:pt idx="4">
                  <c:v>6731549.5777631579</c:v>
                </c:pt>
                <c:pt idx="5">
                  <c:v>5829500.5882894741</c:v>
                </c:pt>
                <c:pt idx="6">
                  <c:v>2388879.1685526315</c:v>
                </c:pt>
                <c:pt idx="7">
                  <c:v>2682333.9976315787</c:v>
                </c:pt>
                <c:pt idx="8">
                  <c:v>5503855.038947368</c:v>
                </c:pt>
                <c:pt idx="9">
                  <c:v>6149962.5543421051</c:v>
                </c:pt>
                <c:pt idx="10">
                  <c:v>2755123.0750000002</c:v>
                </c:pt>
                <c:pt idx="11">
                  <c:v>3016433.5149999997</c:v>
                </c:pt>
                <c:pt idx="12">
                  <c:v>2770511.5999999996</c:v>
                </c:pt>
                <c:pt idx="13">
                  <c:v>2616817.8899999997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2577182.4</c:v>
                </c:pt>
              </c:numCache>
            </c:numRef>
          </c:xVal>
          <c:yVal>
            <c:numRef>
              <c:f>'DTP-hib'!$G$28:$G$47</c:f>
              <c:numCache>
                <c:formatCode>General</c:formatCode>
                <c:ptCount val="20"/>
                <c:pt idx="0">
                  <c:v>3879401.483776988</c:v>
                </c:pt>
                <c:pt idx="1">
                  <c:v>2603670.2247081809</c:v>
                </c:pt>
                <c:pt idx="2">
                  <c:v>2408683.8008313524</c:v>
                </c:pt>
                <c:pt idx="3">
                  <c:v>4155305.5444815606</c:v>
                </c:pt>
                <c:pt idx="4">
                  <c:v>5289059.4222771367</c:v>
                </c:pt>
                <c:pt idx="5">
                  <c:v>4700790.4295793884</c:v>
                </c:pt>
                <c:pt idx="6">
                  <c:v>2456997.774788172</c:v>
                </c:pt>
                <c:pt idx="7">
                  <c:v>2648373.6077185832</c:v>
                </c:pt>
                <c:pt idx="8">
                  <c:v>4488421.4989298908</c:v>
                </c:pt>
                <c:pt idx="9">
                  <c:v>4909778.8993494343</c:v>
                </c:pt>
                <c:pt idx="10">
                  <c:v>2695842.8224980421</c:v>
                </c:pt>
                <c:pt idx="11">
                  <c:v>2866255.7724752892</c:v>
                </c:pt>
                <c:pt idx="12">
                  <c:v>2705878.4105941337</c:v>
                </c:pt>
                <c:pt idx="13">
                  <c:v>2605647.4419652205</c:v>
                </c:pt>
                <c:pt idx="14">
                  <c:v>899096.19897570834</c:v>
                </c:pt>
                <c:pt idx="15">
                  <c:v>899096.19897570834</c:v>
                </c:pt>
                <c:pt idx="16">
                  <c:v>899096.19897570834</c:v>
                </c:pt>
                <c:pt idx="17">
                  <c:v>899096.19897570834</c:v>
                </c:pt>
                <c:pt idx="18">
                  <c:v>899096.19897570834</c:v>
                </c:pt>
                <c:pt idx="19">
                  <c:v>2579799.2562796669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C9-4AE1-8ECD-B097BEC64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4125007"/>
        <c:axId val="1489815375"/>
      </c:scatterChart>
      <c:valAx>
        <c:axId val="18641250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89815375"/>
        <c:crosses val="autoZero"/>
        <c:crossBetween val="midCat"/>
      </c:valAx>
      <c:valAx>
        <c:axId val="148981537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6412500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'DTP-hib'!$K$28:$K$47</c:f>
              <c:numCache>
                <c:formatCode>General</c:formatCode>
                <c:ptCount val="2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</c:numCache>
            </c:numRef>
          </c:xVal>
          <c:yVal>
            <c:numRef>
              <c:f>'DTP-hib'!$L$28:$L$47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2314794.7413157895</c:v>
                </c:pt>
                <c:pt idx="6">
                  <c:v>2388879.1685526315</c:v>
                </c:pt>
                <c:pt idx="7">
                  <c:v>2545600.65</c:v>
                </c:pt>
                <c:pt idx="8">
                  <c:v>2577182.4</c:v>
                </c:pt>
                <c:pt idx="9">
                  <c:v>2613786.0340789473</c:v>
                </c:pt>
                <c:pt idx="10">
                  <c:v>2616817.8899999997</c:v>
                </c:pt>
                <c:pt idx="11">
                  <c:v>2682333.9976315787</c:v>
                </c:pt>
                <c:pt idx="12">
                  <c:v>2755123.0750000002</c:v>
                </c:pt>
                <c:pt idx="13">
                  <c:v>2770511.5999999996</c:v>
                </c:pt>
                <c:pt idx="14">
                  <c:v>3016433.5149999997</c:v>
                </c:pt>
                <c:pt idx="15">
                  <c:v>4993056.5542105269</c:v>
                </c:pt>
                <c:pt idx="16">
                  <c:v>5503855.038947368</c:v>
                </c:pt>
                <c:pt idx="17">
                  <c:v>5829500.5882894741</c:v>
                </c:pt>
                <c:pt idx="18">
                  <c:v>6149962.5543421051</c:v>
                </c:pt>
                <c:pt idx="19">
                  <c:v>6731549.5777631579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7F-4995-B170-1E2EDF8D1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4125007"/>
        <c:axId val="1489812015"/>
      </c:scatterChart>
      <c:valAx>
        <c:axId val="18641250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89812015"/>
        <c:crosses val="autoZero"/>
        <c:crossBetween val="midCat"/>
      </c:valAx>
      <c:valAx>
        <c:axId val="14898120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6412500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'DTP-hib'!$C$5:$C$25</c:f>
              <c:numCache>
                <c:formatCode>General</c:formatCode>
                <c:ptCount val="21"/>
                <c:pt idx="0">
                  <c:v>4569986.5263157897</c:v>
                </c:pt>
                <c:pt idx="1">
                  <c:v>2613786.0340789473</c:v>
                </c:pt>
                <c:pt idx="2">
                  <c:v>2314794.7413157895</c:v>
                </c:pt>
                <c:pt idx="3">
                  <c:v>4993056.5542105269</c:v>
                </c:pt>
                <c:pt idx="4">
                  <c:v>6731549.5777631579</c:v>
                </c:pt>
                <c:pt idx="5">
                  <c:v>5829500.5882894741</c:v>
                </c:pt>
                <c:pt idx="6">
                  <c:v>2388879.1685526315</c:v>
                </c:pt>
                <c:pt idx="7">
                  <c:v>2682333.9976315787</c:v>
                </c:pt>
                <c:pt idx="8">
                  <c:v>5503855.038947368</c:v>
                </c:pt>
                <c:pt idx="9">
                  <c:v>6149962.5543421051</c:v>
                </c:pt>
                <c:pt idx="10">
                  <c:v>2755123.0750000002</c:v>
                </c:pt>
                <c:pt idx="11">
                  <c:v>3016433.5149999997</c:v>
                </c:pt>
                <c:pt idx="12">
                  <c:v>2770511.5999999996</c:v>
                </c:pt>
                <c:pt idx="13">
                  <c:v>2616817.8899999997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2577182.4</c:v>
                </c:pt>
                <c:pt idx="20">
                  <c:v>2545600.65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09-4CB2-8534-9A6E2F720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1967824"/>
        <c:axId val="1231968304"/>
      </c:lineChart>
      <c:catAx>
        <c:axId val="12319678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968304"/>
        <c:crosses val="autoZero"/>
        <c:auto val="1"/>
        <c:lblAlgn val="ctr"/>
        <c:lblOffset val="100"/>
        <c:noMultiLvlLbl val="0"/>
      </c:catAx>
      <c:valAx>
        <c:axId val="123196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96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Penta!$C$5:$C$24</c:f>
              <c:numCache>
                <c:formatCode>General</c:formatCode>
                <c:ptCount val="20"/>
                <c:pt idx="0">
                  <c:v>5598384.2381578945</c:v>
                </c:pt>
                <c:pt idx="1">
                  <c:v>11321282.009342104</c:v>
                </c:pt>
                <c:pt idx="2">
                  <c:v>21742186.647105262</c:v>
                </c:pt>
                <c:pt idx="3">
                  <c:v>23354085.385394737</c:v>
                </c:pt>
                <c:pt idx="4">
                  <c:v>34313913.773947358</c:v>
                </c:pt>
                <c:pt idx="5">
                  <c:v>44391889.895394735</c:v>
                </c:pt>
                <c:pt idx="6">
                  <c:v>49168454.713947371</c:v>
                </c:pt>
                <c:pt idx="7">
                  <c:v>61360525.330131561</c:v>
                </c:pt>
                <c:pt idx="8">
                  <c:v>68262550.020394742</c:v>
                </c:pt>
                <c:pt idx="9">
                  <c:v>121877662.13407895</c:v>
                </c:pt>
                <c:pt idx="10">
                  <c:v>123733296.76793858</c:v>
                </c:pt>
                <c:pt idx="11">
                  <c:v>129845141.81893274</c:v>
                </c:pt>
                <c:pt idx="12">
                  <c:v>142806746.3986842</c:v>
                </c:pt>
                <c:pt idx="13">
                  <c:v>151228547.34372807</c:v>
                </c:pt>
                <c:pt idx="14">
                  <c:v>175493078.55431286</c:v>
                </c:pt>
                <c:pt idx="15">
                  <c:v>234133328.25460526</c:v>
                </c:pt>
                <c:pt idx="16">
                  <c:v>261276329.46746492</c:v>
                </c:pt>
                <c:pt idx="17">
                  <c:v>266757548.93412569</c:v>
                </c:pt>
                <c:pt idx="18">
                  <c:v>275438932.44827187</c:v>
                </c:pt>
                <c:pt idx="19">
                  <c:v>280161656.13334793</c:v>
                </c:pt>
              </c:numCache>
            </c:numRef>
          </c:xVal>
          <c:yVal>
            <c:numRef>
              <c:f>Penta!$H$28:$H$47</c:f>
              <c:numCache>
                <c:formatCode>General</c:formatCode>
                <c:ptCount val="20"/>
                <c:pt idx="0">
                  <c:v>-8052735.6894534975</c:v>
                </c:pt>
                <c:pt idx="1">
                  <c:v>-3325527.7008696683</c:v>
                </c:pt>
                <c:pt idx="2">
                  <c:v>-12081360.868644252</c:v>
                </c:pt>
                <c:pt idx="3">
                  <c:v>-2725206.4948934168</c:v>
                </c:pt>
                <c:pt idx="4">
                  <c:v>-3551136.1684590429</c:v>
                </c:pt>
                <c:pt idx="5">
                  <c:v>-8801124.5345740244</c:v>
                </c:pt>
                <c:pt idx="6">
                  <c:v>-1361246.2848023847</c:v>
                </c:pt>
                <c:pt idx="7">
                  <c:v>-6589082.0934384167</c:v>
                </c:pt>
                <c:pt idx="8">
                  <c:v>40159222.954535663</c:v>
                </c:pt>
                <c:pt idx="9">
                  <c:v>-11326683.077268243</c:v>
                </c:pt>
                <c:pt idx="10">
                  <c:v>-7061004.2727002203</c:v>
                </c:pt>
                <c:pt idx="11">
                  <c:v>-180059.01598745584</c:v>
                </c:pt>
                <c:pt idx="12">
                  <c:v>-4653725.9815030694</c:v>
                </c:pt>
                <c:pt idx="13">
                  <c:v>11231976.576524943</c:v>
                </c:pt>
                <c:pt idx="14">
                  <c:v>45731504.989911288</c:v>
                </c:pt>
                <c:pt idx="15">
                  <c:v>14533468.746757507</c:v>
                </c:pt>
                <c:pt idx="16">
                  <c:v>-6989815.6644048989</c:v>
                </c:pt>
                <c:pt idx="17">
                  <c:v>-3761683.6599891186</c:v>
                </c:pt>
                <c:pt idx="18">
                  <c:v>-7676046.6748746037</c:v>
                </c:pt>
                <c:pt idx="19">
                  <c:v>-23519735.085867345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4A-42AC-A36A-DDE77366D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68544"/>
        <c:axId val="168369024"/>
      </c:scatterChart>
      <c:valAx>
        <c:axId val="1683685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369024"/>
        <c:crosses val="autoZero"/>
        <c:crossBetween val="midCat"/>
      </c:valAx>
      <c:valAx>
        <c:axId val="1683690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36854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38100">
              <a:noFill/>
            </a:ln>
          </c:spPr>
          <c:xVal>
            <c:numRef>
              <c:f>Penta!$C$5:$C$24</c:f>
              <c:numCache>
                <c:formatCode>General</c:formatCode>
                <c:ptCount val="20"/>
                <c:pt idx="0">
                  <c:v>5598384.2381578945</c:v>
                </c:pt>
                <c:pt idx="1">
                  <c:v>11321282.009342104</c:v>
                </c:pt>
                <c:pt idx="2">
                  <c:v>21742186.647105262</c:v>
                </c:pt>
                <c:pt idx="3">
                  <c:v>23354085.385394737</c:v>
                </c:pt>
                <c:pt idx="4">
                  <c:v>34313913.773947358</c:v>
                </c:pt>
                <c:pt idx="5">
                  <c:v>44391889.895394735</c:v>
                </c:pt>
                <c:pt idx="6">
                  <c:v>49168454.713947371</c:v>
                </c:pt>
                <c:pt idx="7">
                  <c:v>61360525.330131561</c:v>
                </c:pt>
                <c:pt idx="8">
                  <c:v>68262550.020394742</c:v>
                </c:pt>
                <c:pt idx="9">
                  <c:v>121877662.13407895</c:v>
                </c:pt>
                <c:pt idx="10">
                  <c:v>123733296.76793858</c:v>
                </c:pt>
                <c:pt idx="11">
                  <c:v>129845141.81893274</c:v>
                </c:pt>
                <c:pt idx="12">
                  <c:v>142806746.3986842</c:v>
                </c:pt>
                <c:pt idx="13">
                  <c:v>151228547.34372807</c:v>
                </c:pt>
                <c:pt idx="14">
                  <c:v>175493078.55431286</c:v>
                </c:pt>
                <c:pt idx="15">
                  <c:v>234133328.25460526</c:v>
                </c:pt>
                <c:pt idx="16">
                  <c:v>261276329.46746492</c:v>
                </c:pt>
                <c:pt idx="17">
                  <c:v>266757548.93412569</c:v>
                </c:pt>
                <c:pt idx="18">
                  <c:v>275438932.44827187</c:v>
                </c:pt>
                <c:pt idx="19">
                  <c:v>280161656.13334793</c:v>
                </c:pt>
              </c:numCache>
            </c:numRef>
          </c:xVal>
          <c:yVal>
            <c:numRef>
              <c:f>Penta!$B$5:$B$24</c:f>
              <c:numCache>
                <c:formatCode>General</c:formatCode>
                <c:ptCount val="20"/>
                <c:pt idx="0">
                  <c:v>11321282.009342104</c:v>
                </c:pt>
                <c:pt idx="1">
                  <c:v>21742186.647105262</c:v>
                </c:pt>
                <c:pt idx="2">
                  <c:v>23354085.385394737</c:v>
                </c:pt>
                <c:pt idx="3">
                  <c:v>34313913.773947358</c:v>
                </c:pt>
                <c:pt idx="4">
                  <c:v>44391889.895394735</c:v>
                </c:pt>
                <c:pt idx="5">
                  <c:v>49168454.713947371</c:v>
                </c:pt>
                <c:pt idx="6">
                  <c:v>61360525.330131561</c:v>
                </c:pt>
                <c:pt idx="7">
                  <c:v>68262550.020394742</c:v>
                </c:pt>
                <c:pt idx="8">
                  <c:v>121877662.13407895</c:v>
                </c:pt>
                <c:pt idx="9">
                  <c:v>123733296.76793858</c:v>
                </c:pt>
                <c:pt idx="10">
                  <c:v>129845141.81893274</c:v>
                </c:pt>
                <c:pt idx="11">
                  <c:v>142806746.3986842</c:v>
                </c:pt>
                <c:pt idx="12">
                  <c:v>151228547.34372807</c:v>
                </c:pt>
                <c:pt idx="13">
                  <c:v>175493078.55431286</c:v>
                </c:pt>
                <c:pt idx="14">
                  <c:v>234133328.25460526</c:v>
                </c:pt>
                <c:pt idx="15">
                  <c:v>261276329.46746492</c:v>
                </c:pt>
                <c:pt idx="16">
                  <c:v>266757548.93412569</c:v>
                </c:pt>
                <c:pt idx="17">
                  <c:v>275438932.44827187</c:v>
                </c:pt>
                <c:pt idx="18">
                  <c:v>280161656.13334793</c:v>
                </c:pt>
                <c:pt idx="19">
                  <c:v>269016593.68001461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9A-43FD-ACE7-2A18E049FC2C}"/>
            </c:ext>
          </c:extLst>
        </c:ser>
        <c:ser>
          <c:idx val="1"/>
          <c:order val="1"/>
          <c:tx>
            <c:v>Predicted Y</c:v>
          </c:tx>
          <c:spPr>
            <a:ln w="38100">
              <a:noFill/>
            </a:ln>
          </c:spPr>
          <c:xVal>
            <c:numRef>
              <c:f>Penta!$C$5:$C$24</c:f>
              <c:numCache>
                <c:formatCode>General</c:formatCode>
                <c:ptCount val="20"/>
                <c:pt idx="0">
                  <c:v>5598384.2381578945</c:v>
                </c:pt>
                <c:pt idx="1">
                  <c:v>11321282.009342104</c:v>
                </c:pt>
                <c:pt idx="2">
                  <c:v>21742186.647105262</c:v>
                </c:pt>
                <c:pt idx="3">
                  <c:v>23354085.385394737</c:v>
                </c:pt>
                <c:pt idx="4">
                  <c:v>34313913.773947358</c:v>
                </c:pt>
                <c:pt idx="5">
                  <c:v>44391889.895394735</c:v>
                </c:pt>
                <c:pt idx="6">
                  <c:v>49168454.713947371</c:v>
                </c:pt>
                <c:pt idx="7">
                  <c:v>61360525.330131561</c:v>
                </c:pt>
                <c:pt idx="8">
                  <c:v>68262550.020394742</c:v>
                </c:pt>
                <c:pt idx="9">
                  <c:v>121877662.13407895</c:v>
                </c:pt>
                <c:pt idx="10">
                  <c:v>123733296.76793858</c:v>
                </c:pt>
                <c:pt idx="11">
                  <c:v>129845141.81893274</c:v>
                </c:pt>
                <c:pt idx="12">
                  <c:v>142806746.3986842</c:v>
                </c:pt>
                <c:pt idx="13">
                  <c:v>151228547.34372807</c:v>
                </c:pt>
                <c:pt idx="14">
                  <c:v>175493078.55431286</c:v>
                </c:pt>
                <c:pt idx="15">
                  <c:v>234133328.25460526</c:v>
                </c:pt>
                <c:pt idx="16">
                  <c:v>261276329.46746492</c:v>
                </c:pt>
                <c:pt idx="17">
                  <c:v>266757548.93412569</c:v>
                </c:pt>
                <c:pt idx="18">
                  <c:v>275438932.44827187</c:v>
                </c:pt>
                <c:pt idx="19">
                  <c:v>280161656.13334793</c:v>
                </c:pt>
              </c:numCache>
            </c:numRef>
          </c:xVal>
          <c:yVal>
            <c:numRef>
              <c:f>Penta!$G$28:$G$47</c:f>
              <c:numCache>
                <c:formatCode>General</c:formatCode>
                <c:ptCount val="20"/>
                <c:pt idx="0">
                  <c:v>19374017.698795602</c:v>
                </c:pt>
                <c:pt idx="1">
                  <c:v>25067714.34797493</c:v>
                </c:pt>
                <c:pt idx="2">
                  <c:v>35435446.25403899</c:v>
                </c:pt>
                <c:pt idx="3">
                  <c:v>37039120.268840775</c:v>
                </c:pt>
                <c:pt idx="4">
                  <c:v>47943026.063853778</c:v>
                </c:pt>
                <c:pt idx="5">
                  <c:v>57969579.248521395</c:v>
                </c:pt>
                <c:pt idx="6">
                  <c:v>62721771.614933945</c:v>
                </c:pt>
                <c:pt idx="7">
                  <c:v>74851632.113833159</c:v>
                </c:pt>
                <c:pt idx="8">
                  <c:v>81718439.179543287</c:v>
                </c:pt>
                <c:pt idx="9">
                  <c:v>135059979.84520683</c:v>
                </c:pt>
                <c:pt idx="10">
                  <c:v>136906146.09163296</c:v>
                </c:pt>
                <c:pt idx="11">
                  <c:v>142986805.41467166</c:v>
                </c:pt>
                <c:pt idx="12">
                  <c:v>155882273.32523113</c:v>
                </c:pt>
                <c:pt idx="13">
                  <c:v>164261101.97778791</c:v>
                </c:pt>
                <c:pt idx="14">
                  <c:v>188401823.26469398</c:v>
                </c:pt>
                <c:pt idx="15">
                  <c:v>246742860.72070742</c:v>
                </c:pt>
                <c:pt idx="16">
                  <c:v>273747364.59853059</c:v>
                </c:pt>
                <c:pt idx="17">
                  <c:v>279200616.10826099</c:v>
                </c:pt>
                <c:pt idx="18">
                  <c:v>287837702.80822253</c:v>
                </c:pt>
                <c:pt idx="19">
                  <c:v>292536328.76588196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9A-43FD-ACE7-2A18E049F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5245727"/>
        <c:axId val="2035244767"/>
      </c:scatterChart>
      <c:valAx>
        <c:axId val="20352457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35244767"/>
        <c:crosses val="autoZero"/>
        <c:crossBetween val="midCat"/>
      </c:valAx>
      <c:valAx>
        <c:axId val="203524476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3524572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Penta!$K$28:$K$47</c:f>
              <c:numCache>
                <c:formatCode>General</c:formatCode>
                <c:ptCount val="2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</c:numCache>
            </c:numRef>
          </c:xVal>
          <c:yVal>
            <c:numRef>
              <c:f>Penta!$L$28:$L$47</c:f>
              <c:numCache>
                <c:formatCode>General</c:formatCode>
                <c:ptCount val="20"/>
                <c:pt idx="0">
                  <c:v>11321282.009342104</c:v>
                </c:pt>
                <c:pt idx="1">
                  <c:v>21742186.647105262</c:v>
                </c:pt>
                <c:pt idx="2">
                  <c:v>23354085.385394737</c:v>
                </c:pt>
                <c:pt idx="3">
                  <c:v>34313913.773947358</c:v>
                </c:pt>
                <c:pt idx="4">
                  <c:v>44391889.895394735</c:v>
                </c:pt>
                <c:pt idx="5">
                  <c:v>49168454.713947371</c:v>
                </c:pt>
                <c:pt idx="6">
                  <c:v>61360525.330131561</c:v>
                </c:pt>
                <c:pt idx="7">
                  <c:v>68262550.020394742</c:v>
                </c:pt>
                <c:pt idx="8">
                  <c:v>121877662.13407895</c:v>
                </c:pt>
                <c:pt idx="9">
                  <c:v>123733296.76793858</c:v>
                </c:pt>
                <c:pt idx="10">
                  <c:v>129845141.81893274</c:v>
                </c:pt>
                <c:pt idx="11">
                  <c:v>142806746.3986842</c:v>
                </c:pt>
                <c:pt idx="12">
                  <c:v>151228547.34372807</c:v>
                </c:pt>
                <c:pt idx="13">
                  <c:v>175493078.55431286</c:v>
                </c:pt>
                <c:pt idx="14">
                  <c:v>234133328.25460526</c:v>
                </c:pt>
                <c:pt idx="15">
                  <c:v>261276329.46746492</c:v>
                </c:pt>
                <c:pt idx="16">
                  <c:v>266757548.93412569</c:v>
                </c:pt>
                <c:pt idx="17">
                  <c:v>269016593.68001461</c:v>
                </c:pt>
                <c:pt idx="18">
                  <c:v>275438932.44827187</c:v>
                </c:pt>
                <c:pt idx="19">
                  <c:v>280161656.13334793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3C-4D6F-A1DE-BCCDCE071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66144"/>
        <c:axId val="168368544"/>
      </c:scatterChart>
      <c:valAx>
        <c:axId val="168366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368544"/>
        <c:crosses val="autoZero"/>
        <c:crossBetween val="midCat"/>
      </c:valAx>
      <c:valAx>
        <c:axId val="1683685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36614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Penta!$Z$31:$Z$40</c:f>
              <c:strCache>
                <c:ptCount val="10"/>
                <c:pt idx="0">
                  <c:v>-0.5</c:v>
                </c:pt>
                <c:pt idx="1">
                  <c:v>-0.3</c:v>
                </c:pt>
                <c:pt idx="2">
                  <c:v>-0.1</c:v>
                </c:pt>
                <c:pt idx="3">
                  <c:v>0.1</c:v>
                </c:pt>
                <c:pt idx="4">
                  <c:v>0.3</c:v>
                </c:pt>
                <c:pt idx="5">
                  <c:v>0.5</c:v>
                </c:pt>
                <c:pt idx="6">
                  <c:v>0.7</c:v>
                </c:pt>
                <c:pt idx="7">
                  <c:v>0.9</c:v>
                </c:pt>
                <c:pt idx="8">
                  <c:v>1.1</c:v>
                </c:pt>
                <c:pt idx="9">
                  <c:v>More</c:v>
                </c:pt>
              </c:strCache>
            </c:strRef>
          </c:cat>
          <c:val>
            <c:numRef>
              <c:f>Penta!$AA$31:$AA$40</c:f>
              <c:numCache>
                <c:formatCode>General</c:formatCode>
                <c:ptCount val="10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5E-4148-B9BA-2B67D92A4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4750112"/>
        <c:axId val="264750592"/>
      </c:barChart>
      <c:catAx>
        <c:axId val="26475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4750592"/>
        <c:crosses val="autoZero"/>
        <c:auto val="1"/>
        <c:lblAlgn val="ctr"/>
        <c:lblOffset val="100"/>
        <c:noMultiLvlLbl val="0"/>
      </c:catAx>
      <c:valAx>
        <c:axId val="2647505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4750112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Penta!$B$4:$B$24</c:f>
              <c:numCache>
                <c:formatCode>General</c:formatCode>
                <c:ptCount val="21"/>
                <c:pt idx="0">
                  <c:v>5598384.2381578945</c:v>
                </c:pt>
                <c:pt idx="1">
                  <c:v>11321282.009342104</c:v>
                </c:pt>
                <c:pt idx="2">
                  <c:v>21742186.647105262</c:v>
                </c:pt>
                <c:pt idx="3">
                  <c:v>23354085.385394737</c:v>
                </c:pt>
                <c:pt idx="4">
                  <c:v>34313913.773947358</c:v>
                </c:pt>
                <c:pt idx="5">
                  <c:v>44391889.895394735</c:v>
                </c:pt>
                <c:pt idx="6">
                  <c:v>49168454.713947371</c:v>
                </c:pt>
                <c:pt idx="7">
                  <c:v>61360525.330131561</c:v>
                </c:pt>
                <c:pt idx="8">
                  <c:v>68262550.020394742</c:v>
                </c:pt>
                <c:pt idx="9">
                  <c:v>121877662.13407895</c:v>
                </c:pt>
                <c:pt idx="10">
                  <c:v>123733296.76793858</c:v>
                </c:pt>
                <c:pt idx="11">
                  <c:v>129845141.81893274</c:v>
                </c:pt>
                <c:pt idx="12">
                  <c:v>142806746.3986842</c:v>
                </c:pt>
                <c:pt idx="13">
                  <c:v>151228547.34372807</c:v>
                </c:pt>
                <c:pt idx="14">
                  <c:v>175493078.55431286</c:v>
                </c:pt>
                <c:pt idx="15">
                  <c:v>234133328.25460526</c:v>
                </c:pt>
                <c:pt idx="16">
                  <c:v>261276329.46746492</c:v>
                </c:pt>
                <c:pt idx="17">
                  <c:v>266757548.93412569</c:v>
                </c:pt>
                <c:pt idx="18">
                  <c:v>275438932.44827187</c:v>
                </c:pt>
                <c:pt idx="19">
                  <c:v>280161656.13334793</c:v>
                </c:pt>
                <c:pt idx="20">
                  <c:v>269016593.68001461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0B-433D-B1F2-48F3C04D5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8137536"/>
        <c:axId val="1358138496"/>
      </c:lineChart>
      <c:catAx>
        <c:axId val="13581375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138496"/>
        <c:crosses val="autoZero"/>
        <c:auto val="1"/>
        <c:lblAlgn val="ctr"/>
        <c:lblOffset val="100"/>
        <c:noMultiLvlLbl val="0"/>
      </c:catAx>
      <c:valAx>
        <c:axId val="135813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137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Hexa!$C$5:$C$24</c:f>
              <c:numCache>
                <c:formatCode>General</c:formatCode>
                <c:ptCount val="20"/>
                <c:pt idx="0">
                  <c:v>77147.621052631584</c:v>
                </c:pt>
                <c:pt idx="1">
                  <c:v>78898.436052631587</c:v>
                </c:pt>
                <c:pt idx="2">
                  <c:v>77949.259342105273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14724.549928421055</c:v>
                </c:pt>
                <c:pt idx="16">
                  <c:v>213958.16491831583</c:v>
                </c:pt>
                <c:pt idx="17">
                  <c:v>0</c:v>
                </c:pt>
                <c:pt idx="18">
                  <c:v>896285.52631578944</c:v>
                </c:pt>
                <c:pt idx="19">
                  <c:v>160009.85263157895</c:v>
                </c:pt>
              </c:numCache>
            </c:numRef>
          </c:xVal>
          <c:yVal>
            <c:numRef>
              <c:f>Hexa!$H$28:$H$47</c:f>
              <c:numCache>
                <c:formatCode>General</c:formatCode>
                <c:ptCount val="20"/>
                <c:pt idx="0">
                  <c:v>6731.1583214144193</c:v>
                </c:pt>
                <c:pt idx="1">
                  <c:v>5671.016728228351</c:v>
                </c:pt>
                <c:pt idx="2">
                  <c:v>-72218.084754647411</c:v>
                </c:pt>
                <c:pt idx="3">
                  <c:v>-67277.739591788166</c:v>
                </c:pt>
                <c:pt idx="4">
                  <c:v>-67277.739591788166</c:v>
                </c:pt>
                <c:pt idx="5">
                  <c:v>-67277.739591788166</c:v>
                </c:pt>
                <c:pt idx="6">
                  <c:v>-67277.739591788166</c:v>
                </c:pt>
                <c:pt idx="7">
                  <c:v>-67277.739591788166</c:v>
                </c:pt>
                <c:pt idx="8">
                  <c:v>-67277.739591788166</c:v>
                </c:pt>
                <c:pt idx="9">
                  <c:v>-67277.739591788166</c:v>
                </c:pt>
                <c:pt idx="10">
                  <c:v>-67277.739591788166</c:v>
                </c:pt>
                <c:pt idx="11">
                  <c:v>-67277.739591788166</c:v>
                </c:pt>
                <c:pt idx="12">
                  <c:v>-67277.739591788166</c:v>
                </c:pt>
                <c:pt idx="13">
                  <c:v>-67277.739591788166</c:v>
                </c:pt>
                <c:pt idx="14">
                  <c:v>-52553.189663367113</c:v>
                </c:pt>
                <c:pt idx="15">
                  <c:v>145747.19825512095</c:v>
                </c:pt>
                <c:pt idx="16">
                  <c:v>-80838.191532317054</c:v>
                </c:pt>
                <c:pt idx="17">
                  <c:v>829007.78672400129</c:v>
                </c:pt>
                <c:pt idx="18">
                  <c:v>35926.443533151352</c:v>
                </c:pt>
                <c:pt idx="19">
                  <c:v>-77419.002101914928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5A-482B-8098-5EF2F95B3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4491935"/>
        <c:axId val="2024495295"/>
      </c:scatterChart>
      <c:valAx>
        <c:axId val="20244919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24495295"/>
        <c:crosses val="autoZero"/>
        <c:crossBetween val="midCat"/>
      </c:valAx>
      <c:valAx>
        <c:axId val="202449529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2449193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38100">
              <a:noFill/>
            </a:ln>
          </c:spPr>
          <c:xVal>
            <c:numRef>
              <c:f>Hexa!$C$5:$C$24</c:f>
              <c:numCache>
                <c:formatCode>General</c:formatCode>
                <c:ptCount val="20"/>
                <c:pt idx="0">
                  <c:v>77147.621052631584</c:v>
                </c:pt>
                <c:pt idx="1">
                  <c:v>78898.436052631587</c:v>
                </c:pt>
                <c:pt idx="2">
                  <c:v>77949.259342105273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14724.549928421055</c:v>
                </c:pt>
                <c:pt idx="16">
                  <c:v>213958.16491831583</c:v>
                </c:pt>
                <c:pt idx="17">
                  <c:v>0</c:v>
                </c:pt>
                <c:pt idx="18">
                  <c:v>896285.52631578944</c:v>
                </c:pt>
                <c:pt idx="19">
                  <c:v>160009.85263157895</c:v>
                </c:pt>
              </c:numCache>
            </c:numRef>
          </c:xVal>
          <c:yVal>
            <c:numRef>
              <c:f>Hexa!$B$5:$B$24</c:f>
              <c:numCache>
                <c:formatCode>General</c:formatCode>
                <c:ptCount val="20"/>
                <c:pt idx="0">
                  <c:v>78898.436052631587</c:v>
                </c:pt>
                <c:pt idx="1">
                  <c:v>77949.259342105273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14724.549928421055</c:v>
                </c:pt>
                <c:pt idx="15">
                  <c:v>213958.16491831583</c:v>
                </c:pt>
                <c:pt idx="16">
                  <c:v>0</c:v>
                </c:pt>
                <c:pt idx="17">
                  <c:v>896285.52631578944</c:v>
                </c:pt>
                <c:pt idx="18">
                  <c:v>160009.85263157895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D2-4C4F-9494-3F0325B247B2}"/>
            </c:ext>
          </c:extLst>
        </c:ser>
        <c:ser>
          <c:idx val="1"/>
          <c:order val="1"/>
          <c:tx>
            <c:v>Predicted Y</c:v>
          </c:tx>
          <c:spPr>
            <a:ln w="38100">
              <a:noFill/>
            </a:ln>
          </c:spPr>
          <c:xVal>
            <c:numRef>
              <c:f>Hexa!$C$5:$C$24</c:f>
              <c:numCache>
                <c:formatCode>General</c:formatCode>
                <c:ptCount val="20"/>
                <c:pt idx="0">
                  <c:v>77147.621052631584</c:v>
                </c:pt>
                <c:pt idx="1">
                  <c:v>78898.436052631587</c:v>
                </c:pt>
                <c:pt idx="2">
                  <c:v>77949.259342105273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14724.549928421055</c:v>
                </c:pt>
                <c:pt idx="16">
                  <c:v>213958.16491831583</c:v>
                </c:pt>
                <c:pt idx="17">
                  <c:v>0</c:v>
                </c:pt>
                <c:pt idx="18">
                  <c:v>896285.52631578944</c:v>
                </c:pt>
                <c:pt idx="19">
                  <c:v>160009.85263157895</c:v>
                </c:pt>
              </c:numCache>
            </c:numRef>
          </c:xVal>
          <c:yVal>
            <c:numRef>
              <c:f>Hexa!$G$28:$G$47</c:f>
              <c:numCache>
                <c:formatCode>General</c:formatCode>
                <c:ptCount val="20"/>
                <c:pt idx="0">
                  <c:v>72167.277731217167</c:v>
                </c:pt>
                <c:pt idx="1">
                  <c:v>72278.242613876922</c:v>
                </c:pt>
                <c:pt idx="2">
                  <c:v>72218.084754647411</c:v>
                </c:pt>
                <c:pt idx="3">
                  <c:v>67277.739591788166</c:v>
                </c:pt>
                <c:pt idx="4">
                  <c:v>67277.739591788166</c:v>
                </c:pt>
                <c:pt idx="5">
                  <c:v>67277.739591788166</c:v>
                </c:pt>
                <c:pt idx="6">
                  <c:v>67277.739591788166</c:v>
                </c:pt>
                <c:pt idx="7">
                  <c:v>67277.739591788166</c:v>
                </c:pt>
                <c:pt idx="8">
                  <c:v>67277.739591788166</c:v>
                </c:pt>
                <c:pt idx="9">
                  <c:v>67277.739591788166</c:v>
                </c:pt>
                <c:pt idx="10">
                  <c:v>67277.739591788166</c:v>
                </c:pt>
                <c:pt idx="11">
                  <c:v>67277.739591788166</c:v>
                </c:pt>
                <c:pt idx="12">
                  <c:v>67277.739591788166</c:v>
                </c:pt>
                <c:pt idx="13">
                  <c:v>67277.739591788166</c:v>
                </c:pt>
                <c:pt idx="14">
                  <c:v>67277.739591788166</c:v>
                </c:pt>
                <c:pt idx="15">
                  <c:v>68210.966663194864</c:v>
                </c:pt>
                <c:pt idx="16">
                  <c:v>80838.191532317054</c:v>
                </c:pt>
                <c:pt idx="17">
                  <c:v>67277.739591788166</c:v>
                </c:pt>
                <c:pt idx="18">
                  <c:v>124083.4090984276</c:v>
                </c:pt>
                <c:pt idx="19">
                  <c:v>77419.002101914928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D2-4C4F-9494-3F0325B24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4488095"/>
        <c:axId val="2024494335"/>
      </c:scatterChart>
      <c:valAx>
        <c:axId val="2024488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24494335"/>
        <c:crosses val="autoZero"/>
        <c:crossBetween val="midCat"/>
      </c:valAx>
      <c:valAx>
        <c:axId val="202449433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2448809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Hexa!$K$28:$K$47</c:f>
              <c:numCache>
                <c:formatCode>General</c:formatCode>
                <c:ptCount val="2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</c:numCache>
            </c:numRef>
          </c:xVal>
          <c:yVal>
            <c:numRef>
              <c:f>Hexa!$L$28:$L$47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14724.549928421055</c:v>
                </c:pt>
                <c:pt idx="15">
                  <c:v>77949.259342105273</c:v>
                </c:pt>
                <c:pt idx="16">
                  <c:v>78898.436052631587</c:v>
                </c:pt>
                <c:pt idx="17">
                  <c:v>160009.85263157895</c:v>
                </c:pt>
                <c:pt idx="18">
                  <c:v>213958.16491831583</c:v>
                </c:pt>
                <c:pt idx="19">
                  <c:v>896285.52631578944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5F-476B-9B1C-E43204AE0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347055"/>
        <c:axId val="2058352335"/>
      </c:scatterChart>
      <c:valAx>
        <c:axId val="20583470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58352335"/>
        <c:crosses val="autoZero"/>
        <c:crossBetween val="midCat"/>
      </c:valAx>
      <c:valAx>
        <c:axId val="205835233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5834705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IPV!$C$11:$C$24</c:f>
              <c:numCache>
                <c:formatCode>General</c:formatCode>
                <c:ptCount val="14"/>
                <c:pt idx="0">
                  <c:v>538568.79999999993</c:v>
                </c:pt>
                <c:pt idx="1">
                  <c:v>572237.67999999993</c:v>
                </c:pt>
                <c:pt idx="2">
                  <c:v>1564054.0750000002</c:v>
                </c:pt>
                <c:pt idx="3">
                  <c:v>1802422.5724999998</c:v>
                </c:pt>
                <c:pt idx="4">
                  <c:v>1596326.35</c:v>
                </c:pt>
                <c:pt idx="5">
                  <c:v>1432203.1749999998</c:v>
                </c:pt>
                <c:pt idx="6">
                  <c:v>1193206.3599999999</c:v>
                </c:pt>
                <c:pt idx="7">
                  <c:v>1051750.0339473682</c:v>
                </c:pt>
                <c:pt idx="8">
                  <c:v>838163.73810307006</c:v>
                </c:pt>
                <c:pt idx="9">
                  <c:v>14134727.231597047</c:v>
                </c:pt>
                <c:pt idx="10">
                  <c:v>45560280.206873044</c:v>
                </c:pt>
                <c:pt idx="11">
                  <c:v>51668555.84326534</c:v>
                </c:pt>
                <c:pt idx="12">
                  <c:v>65056520.774600595</c:v>
                </c:pt>
                <c:pt idx="13">
                  <c:v>82074178.903402403</c:v>
                </c:pt>
              </c:numCache>
            </c:numRef>
          </c:xVal>
          <c:yVal>
            <c:numRef>
              <c:f>IPV!$H$28:$H$41</c:f>
              <c:numCache>
                <c:formatCode>General</c:formatCode>
                <c:ptCount val="14"/>
                <c:pt idx="0">
                  <c:v>-4198002.5831740433</c:v>
                </c:pt>
                <c:pt idx="1">
                  <c:v>-3242439.4335336918</c:v>
                </c:pt>
                <c:pt idx="2">
                  <c:v>-4072017.452806985</c:v>
                </c:pt>
                <c:pt idx="3">
                  <c:v>-4534778.9289738275</c:v>
                </c:pt>
                <c:pt idx="4">
                  <c:v>-4476986.2896672813</c:v>
                </c:pt>
                <c:pt idx="5">
                  <c:v>-4539262.1168447081</c:v>
                </c:pt>
                <c:pt idx="6">
                  <c:v>-4423376.6431591315</c:v>
                </c:pt>
                <c:pt idx="7">
                  <c:v>-4484648.6684942646</c:v>
                </c:pt>
                <c:pt idx="8">
                  <c:v>9041895.6378067322</c:v>
                </c:pt>
                <c:pt idx="9">
                  <c:v>26150263.759598017</c:v>
                </c:pt>
                <c:pt idx="10">
                  <c:v>-1579185.012286447</c:v>
                </c:pt>
                <c:pt idx="11">
                  <c:v>5231643.5435442328</c:v>
                </c:pt>
                <c:pt idx="12">
                  <c:v>7833699.5637496412</c:v>
                </c:pt>
                <c:pt idx="13">
                  <c:v>-12706805.375758231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5D-4624-899C-C006377C0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9331823"/>
        <c:axId val="1689332303"/>
      </c:scatterChart>
      <c:valAx>
        <c:axId val="16893318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9332303"/>
        <c:crosses val="autoZero"/>
        <c:crossBetween val="midCat"/>
      </c:valAx>
      <c:valAx>
        <c:axId val="16893323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9331823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38100">
              <a:noFill/>
            </a:ln>
          </c:spPr>
          <c:xVal>
            <c:numRef>
              <c:f>IPV!$C$11:$C$24</c:f>
              <c:numCache>
                <c:formatCode>General</c:formatCode>
                <c:ptCount val="14"/>
                <c:pt idx="0">
                  <c:v>538568.79999999993</c:v>
                </c:pt>
                <c:pt idx="1">
                  <c:v>572237.67999999993</c:v>
                </c:pt>
                <c:pt idx="2">
                  <c:v>1564054.0750000002</c:v>
                </c:pt>
                <c:pt idx="3">
                  <c:v>1802422.5724999998</c:v>
                </c:pt>
                <c:pt idx="4">
                  <c:v>1596326.35</c:v>
                </c:pt>
                <c:pt idx="5">
                  <c:v>1432203.1749999998</c:v>
                </c:pt>
                <c:pt idx="6">
                  <c:v>1193206.3599999999</c:v>
                </c:pt>
                <c:pt idx="7">
                  <c:v>1051750.0339473682</c:v>
                </c:pt>
                <c:pt idx="8">
                  <c:v>838163.73810307006</c:v>
                </c:pt>
                <c:pt idx="9">
                  <c:v>14134727.231597047</c:v>
                </c:pt>
                <c:pt idx="10">
                  <c:v>45560280.206873044</c:v>
                </c:pt>
                <c:pt idx="11">
                  <c:v>51668555.84326534</c:v>
                </c:pt>
                <c:pt idx="12">
                  <c:v>65056520.774600595</c:v>
                </c:pt>
                <c:pt idx="13">
                  <c:v>82074178.903402403</c:v>
                </c:pt>
              </c:numCache>
            </c:numRef>
          </c:xVal>
          <c:yVal>
            <c:numRef>
              <c:f>IPV!$B$11:$B$24</c:f>
              <c:numCache>
                <c:formatCode>General</c:formatCode>
                <c:ptCount val="14"/>
                <c:pt idx="0">
                  <c:v>572237.67999999993</c:v>
                </c:pt>
                <c:pt idx="1">
                  <c:v>1564054.0750000002</c:v>
                </c:pt>
                <c:pt idx="2">
                  <c:v>1802422.5724999998</c:v>
                </c:pt>
                <c:pt idx="3">
                  <c:v>1596326.35</c:v>
                </c:pt>
                <c:pt idx="4">
                  <c:v>1432203.1749999998</c:v>
                </c:pt>
                <c:pt idx="5">
                  <c:v>1193206.3599999999</c:v>
                </c:pt>
                <c:pt idx="6">
                  <c:v>1051750.0339473682</c:v>
                </c:pt>
                <c:pt idx="7">
                  <c:v>838163.73810307006</c:v>
                </c:pt>
                <c:pt idx="8">
                  <c:v>14134727.231597047</c:v>
                </c:pt>
                <c:pt idx="9">
                  <c:v>45560280.206873044</c:v>
                </c:pt>
                <c:pt idx="10">
                  <c:v>51668555.84326534</c:v>
                </c:pt>
                <c:pt idx="11">
                  <c:v>65056520.774600595</c:v>
                </c:pt>
                <c:pt idx="12">
                  <c:v>82074178.903402403</c:v>
                </c:pt>
                <c:pt idx="13">
                  <c:v>79857578.281177551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1F-4CCA-8179-B6B4E2228BF9}"/>
            </c:ext>
          </c:extLst>
        </c:ser>
        <c:ser>
          <c:idx val="1"/>
          <c:order val="1"/>
          <c:tx>
            <c:v>Predicted Y</c:v>
          </c:tx>
          <c:spPr>
            <a:ln w="38100">
              <a:noFill/>
            </a:ln>
          </c:spPr>
          <c:xVal>
            <c:numRef>
              <c:f>IPV!$C$11:$C$24</c:f>
              <c:numCache>
                <c:formatCode>General</c:formatCode>
                <c:ptCount val="14"/>
                <c:pt idx="0">
                  <c:v>538568.79999999993</c:v>
                </c:pt>
                <c:pt idx="1">
                  <c:v>572237.67999999993</c:v>
                </c:pt>
                <c:pt idx="2">
                  <c:v>1564054.0750000002</c:v>
                </c:pt>
                <c:pt idx="3">
                  <c:v>1802422.5724999998</c:v>
                </c:pt>
                <c:pt idx="4">
                  <c:v>1596326.35</c:v>
                </c:pt>
                <c:pt idx="5">
                  <c:v>1432203.1749999998</c:v>
                </c:pt>
                <c:pt idx="6">
                  <c:v>1193206.3599999999</c:v>
                </c:pt>
                <c:pt idx="7">
                  <c:v>1051750.0339473682</c:v>
                </c:pt>
                <c:pt idx="8">
                  <c:v>838163.73810307006</c:v>
                </c:pt>
                <c:pt idx="9">
                  <c:v>14134727.231597047</c:v>
                </c:pt>
                <c:pt idx="10">
                  <c:v>45560280.206873044</c:v>
                </c:pt>
                <c:pt idx="11">
                  <c:v>51668555.84326534</c:v>
                </c:pt>
                <c:pt idx="12">
                  <c:v>65056520.774600595</c:v>
                </c:pt>
                <c:pt idx="13">
                  <c:v>82074178.903402403</c:v>
                </c:pt>
              </c:numCache>
            </c:numRef>
          </c:xVal>
          <c:yVal>
            <c:numRef>
              <c:f>IPV!$G$28:$G$41</c:f>
              <c:numCache>
                <c:formatCode>General</c:formatCode>
                <c:ptCount val="14"/>
                <c:pt idx="0">
                  <c:v>4770240.263174043</c:v>
                </c:pt>
                <c:pt idx="1">
                  <c:v>4806493.508533692</c:v>
                </c:pt>
                <c:pt idx="2">
                  <c:v>5874440.0253069848</c:v>
                </c:pt>
                <c:pt idx="3">
                  <c:v>6131105.2789738271</c:v>
                </c:pt>
                <c:pt idx="4">
                  <c:v>5909189.4646672811</c:v>
                </c:pt>
                <c:pt idx="5">
                  <c:v>5732468.4768447075</c:v>
                </c:pt>
                <c:pt idx="6">
                  <c:v>5475126.6771064997</c:v>
                </c:pt>
                <c:pt idx="7">
                  <c:v>5322812.4065973349</c:v>
                </c:pt>
                <c:pt idx="8">
                  <c:v>5092831.5937903151</c:v>
                </c:pt>
                <c:pt idx="9">
                  <c:v>19410016.447275028</c:v>
                </c:pt>
                <c:pt idx="10">
                  <c:v>53247740.855551787</c:v>
                </c:pt>
                <c:pt idx="11">
                  <c:v>59824877.231056362</c:v>
                </c:pt>
                <c:pt idx="12">
                  <c:v>74240479.339652762</c:v>
                </c:pt>
                <c:pt idx="13">
                  <c:v>92564383.656935781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51F-4CCA-8179-B6B4E2228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9330383"/>
        <c:axId val="1131784911"/>
      </c:scatterChart>
      <c:valAx>
        <c:axId val="16893303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31784911"/>
        <c:crosses val="autoZero"/>
        <c:crossBetween val="midCat"/>
      </c:valAx>
      <c:valAx>
        <c:axId val="11317849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933038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IPV!$K$28:$K$41</c:f>
              <c:numCache>
                <c:formatCode>General</c:formatCode>
                <c:ptCount val="14"/>
                <c:pt idx="0">
                  <c:v>3.5714285714285716</c:v>
                </c:pt>
                <c:pt idx="1">
                  <c:v>10.714285714285715</c:v>
                </c:pt>
                <c:pt idx="2">
                  <c:v>17.857142857142858</c:v>
                </c:pt>
                <c:pt idx="3">
                  <c:v>25.000000000000004</c:v>
                </c:pt>
                <c:pt idx="4">
                  <c:v>32.142857142857146</c:v>
                </c:pt>
                <c:pt idx="5">
                  <c:v>39.285714285714285</c:v>
                </c:pt>
                <c:pt idx="6">
                  <c:v>46.428571428571431</c:v>
                </c:pt>
                <c:pt idx="7">
                  <c:v>53.571428571428569</c:v>
                </c:pt>
                <c:pt idx="8">
                  <c:v>60.714285714285715</c:v>
                </c:pt>
                <c:pt idx="9">
                  <c:v>67.857142857142861</c:v>
                </c:pt>
                <c:pt idx="10">
                  <c:v>75</c:v>
                </c:pt>
                <c:pt idx="11">
                  <c:v>82.142857142857139</c:v>
                </c:pt>
                <c:pt idx="12">
                  <c:v>89.285714285714292</c:v>
                </c:pt>
                <c:pt idx="13">
                  <c:v>96.428571428571431</c:v>
                </c:pt>
              </c:numCache>
            </c:numRef>
          </c:xVal>
          <c:yVal>
            <c:numRef>
              <c:f>IPV!$L$28:$L$41</c:f>
              <c:numCache>
                <c:formatCode>General</c:formatCode>
                <c:ptCount val="14"/>
                <c:pt idx="0">
                  <c:v>572237.67999999993</c:v>
                </c:pt>
                <c:pt idx="1">
                  <c:v>838163.73810307006</c:v>
                </c:pt>
                <c:pt idx="2">
                  <c:v>1051750.0339473682</c:v>
                </c:pt>
                <c:pt idx="3">
                  <c:v>1193206.3599999999</c:v>
                </c:pt>
                <c:pt idx="4">
                  <c:v>1432203.1749999998</c:v>
                </c:pt>
                <c:pt idx="5">
                  <c:v>1564054.0750000002</c:v>
                </c:pt>
                <c:pt idx="6">
                  <c:v>1596326.35</c:v>
                </c:pt>
                <c:pt idx="7">
                  <c:v>1802422.5724999998</c:v>
                </c:pt>
                <c:pt idx="8">
                  <c:v>14134727.231597047</c:v>
                </c:pt>
                <c:pt idx="9">
                  <c:v>45560280.206873044</c:v>
                </c:pt>
                <c:pt idx="10">
                  <c:v>51668555.84326534</c:v>
                </c:pt>
                <c:pt idx="11">
                  <c:v>65056520.774600595</c:v>
                </c:pt>
                <c:pt idx="12">
                  <c:v>79857578.281177551</c:v>
                </c:pt>
                <c:pt idx="13">
                  <c:v>82074178.903402403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C0-4EE3-A69B-3829293D8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3213647"/>
        <c:axId val="1133214127"/>
      </c:scatterChart>
      <c:valAx>
        <c:axId val="11332136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33214127"/>
        <c:crosses val="autoZero"/>
        <c:crossBetween val="midCat"/>
      </c:valAx>
      <c:valAx>
        <c:axId val="113321412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3321364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OPV!$C$21:$C$24</c:f>
              <c:numCache>
                <c:formatCode>General</c:formatCode>
                <c:ptCount val="4"/>
                <c:pt idx="0">
                  <c:v>320876850.3015002</c:v>
                </c:pt>
                <c:pt idx="1">
                  <c:v>459080985.56667638</c:v>
                </c:pt>
                <c:pt idx="2">
                  <c:v>455559619.02462643</c:v>
                </c:pt>
                <c:pt idx="3">
                  <c:v>463818185.3418051</c:v>
                </c:pt>
              </c:numCache>
            </c:numRef>
          </c:xVal>
          <c:yVal>
            <c:numRef>
              <c:f>OPV!$H$28:$H$31</c:f>
              <c:numCache>
                <c:formatCode>General</c:formatCode>
                <c:ptCount val="4"/>
                <c:pt idx="0">
                  <c:v>-529796.81073862314</c:v>
                </c:pt>
                <c:pt idx="1">
                  <c:v>655313.4675988555</c:v>
                </c:pt>
                <c:pt idx="2">
                  <c:v>8793961.3035074472</c:v>
                </c:pt>
                <c:pt idx="3">
                  <c:v>-8919477.9603677988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D6-4D68-816D-F7F759045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364320"/>
        <c:axId val="160364800"/>
      </c:scatterChart>
      <c:valAx>
        <c:axId val="160364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0364800"/>
        <c:crosses val="autoZero"/>
        <c:crossBetween val="midCat"/>
      </c:valAx>
      <c:valAx>
        <c:axId val="1603648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036432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38100">
              <a:noFill/>
            </a:ln>
          </c:spPr>
          <c:xVal>
            <c:numRef>
              <c:f>OPV!$C$21:$C$24</c:f>
              <c:numCache>
                <c:formatCode>General</c:formatCode>
                <c:ptCount val="4"/>
                <c:pt idx="0">
                  <c:v>320876850.3015002</c:v>
                </c:pt>
                <c:pt idx="1">
                  <c:v>459080985.56667638</c:v>
                </c:pt>
                <c:pt idx="2">
                  <c:v>455559619.02462643</c:v>
                </c:pt>
                <c:pt idx="3">
                  <c:v>463818185.3418051</c:v>
                </c:pt>
              </c:numCache>
            </c:numRef>
          </c:xVal>
          <c:yVal>
            <c:numRef>
              <c:f>OPV!$B$21:$B$24</c:f>
              <c:numCache>
                <c:formatCode>General</c:formatCode>
                <c:ptCount val="4"/>
                <c:pt idx="0">
                  <c:v>459080985.56667638</c:v>
                </c:pt>
                <c:pt idx="1">
                  <c:v>455559619.02462643</c:v>
                </c:pt>
                <c:pt idx="2">
                  <c:v>463818185.3418051</c:v>
                </c:pt>
                <c:pt idx="3">
                  <c:v>445823504.48651975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A4-4382-9D98-4A08FD1F149B}"/>
            </c:ext>
          </c:extLst>
        </c:ser>
        <c:ser>
          <c:idx val="1"/>
          <c:order val="1"/>
          <c:tx>
            <c:v>Predicted Y</c:v>
          </c:tx>
          <c:spPr>
            <a:ln w="38100">
              <a:noFill/>
            </a:ln>
          </c:spPr>
          <c:xVal>
            <c:numRef>
              <c:f>OPV!$C$21:$C$24</c:f>
              <c:numCache>
                <c:formatCode>General</c:formatCode>
                <c:ptCount val="4"/>
                <c:pt idx="0">
                  <c:v>320876850.3015002</c:v>
                </c:pt>
                <c:pt idx="1">
                  <c:v>459080985.56667638</c:v>
                </c:pt>
                <c:pt idx="2">
                  <c:v>455559619.02462643</c:v>
                </c:pt>
                <c:pt idx="3">
                  <c:v>463818185.3418051</c:v>
                </c:pt>
              </c:numCache>
            </c:numRef>
          </c:xVal>
          <c:yVal>
            <c:numRef>
              <c:f>OPV!$G$28:$G$31</c:f>
              <c:numCache>
                <c:formatCode>General</c:formatCode>
                <c:ptCount val="4"/>
                <c:pt idx="0">
                  <c:v>459610782.377415</c:v>
                </c:pt>
                <c:pt idx="1">
                  <c:v>454904305.55702758</c:v>
                </c:pt>
                <c:pt idx="2">
                  <c:v>455024224.03829765</c:v>
                </c:pt>
                <c:pt idx="3">
                  <c:v>454742982.44688755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A4-4382-9D98-4A08FD1F1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352815"/>
        <c:axId val="2058353775"/>
      </c:scatterChart>
      <c:valAx>
        <c:axId val="20583528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58353775"/>
        <c:crosses val="autoZero"/>
        <c:crossBetween val="midCat"/>
      </c:valAx>
      <c:valAx>
        <c:axId val="205835377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5835281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OPV!$K$28:$K$31</c:f>
              <c:numCache>
                <c:formatCode>General</c:formatCode>
                <c:ptCount val="4"/>
                <c:pt idx="0">
                  <c:v>12.5</c:v>
                </c:pt>
                <c:pt idx="1">
                  <c:v>37.5</c:v>
                </c:pt>
                <c:pt idx="2">
                  <c:v>62.5</c:v>
                </c:pt>
                <c:pt idx="3">
                  <c:v>87.5</c:v>
                </c:pt>
              </c:numCache>
            </c:numRef>
          </c:xVal>
          <c:yVal>
            <c:numRef>
              <c:f>OPV!$L$28:$L$31</c:f>
              <c:numCache>
                <c:formatCode>General</c:formatCode>
                <c:ptCount val="4"/>
                <c:pt idx="0">
                  <c:v>445823504.48651975</c:v>
                </c:pt>
                <c:pt idx="1">
                  <c:v>455559619.02462643</c:v>
                </c:pt>
                <c:pt idx="2">
                  <c:v>459080985.56667638</c:v>
                </c:pt>
                <c:pt idx="3">
                  <c:v>463818185.3418051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58-40DF-BBC4-FD671E2CE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341295"/>
        <c:axId val="2058341775"/>
      </c:scatterChart>
      <c:valAx>
        <c:axId val="20583412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58341775"/>
        <c:crosses val="autoZero"/>
        <c:crossBetween val="midCat"/>
      </c:valAx>
      <c:valAx>
        <c:axId val="205834177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5834129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HPV!$C$13:$C$24</c:f>
              <c:numCache>
                <c:formatCode>General</c:formatCode>
                <c:ptCount val="12"/>
                <c:pt idx="0">
                  <c:v>9436.6315789473701</c:v>
                </c:pt>
                <c:pt idx="1">
                  <c:v>15032.895438596493</c:v>
                </c:pt>
                <c:pt idx="2">
                  <c:v>7007.8355259009822</c:v>
                </c:pt>
                <c:pt idx="3">
                  <c:v>15317.590603642133</c:v>
                </c:pt>
                <c:pt idx="4">
                  <c:v>60837.389938961685</c:v>
                </c:pt>
                <c:pt idx="5">
                  <c:v>181340.93608095459</c:v>
                </c:pt>
                <c:pt idx="6">
                  <c:v>349924.57230215997</c:v>
                </c:pt>
                <c:pt idx="7">
                  <c:v>514653.5207172652</c:v>
                </c:pt>
                <c:pt idx="8">
                  <c:v>1545657.2710516718</c:v>
                </c:pt>
                <c:pt idx="9">
                  <c:v>2487800.8389640441</c:v>
                </c:pt>
                <c:pt idx="10">
                  <c:v>6959716.6980569791</c:v>
                </c:pt>
                <c:pt idx="11">
                  <c:v>10275960.501184968</c:v>
                </c:pt>
              </c:numCache>
            </c:numRef>
          </c:xVal>
          <c:yVal>
            <c:numRef>
              <c:f>HPV!$H$28:$H$39</c:f>
              <c:numCache>
                <c:formatCode>General</c:formatCode>
                <c:ptCount val="12"/>
                <c:pt idx="0">
                  <c:v>-508106.29063906177</c:v>
                </c:pt>
                <c:pt idx="1">
                  <c:v>-523192.08950160822</c:v>
                </c:pt>
                <c:pt idx="2">
                  <c:v>-504757.2126423489</c:v>
                </c:pt>
                <c:pt idx="3">
                  <c:v>-469721.73156160256</c:v>
                </c:pt>
                <c:pt idx="4">
                  <c:v>-406649.96994887583</c:v>
                </c:pt>
                <c:pt idx="5">
                  <c:v>-390104.21170815418</c:v>
                </c:pt>
                <c:pt idx="6">
                  <c:v>-438075.21390781342</c:v>
                </c:pt>
                <c:pt idx="7">
                  <c:v>385091.99915591534</c:v>
                </c:pt>
                <c:pt idx="8">
                  <c:v>26430.508551100735</c:v>
                </c:pt>
                <c:pt idx="9">
                  <c:v>3309655.1348601216</c:v>
                </c:pt>
                <c:pt idx="10">
                  <c:v>983736.36691642925</c:v>
                </c:pt>
                <c:pt idx="11">
                  <c:v>-1464307.289574096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B4-451A-B322-D31D52366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742432"/>
        <c:axId val="264747712"/>
      </c:scatterChart>
      <c:valAx>
        <c:axId val="264742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4747712"/>
        <c:crosses val="autoZero"/>
        <c:crossBetween val="midCat"/>
      </c:valAx>
      <c:valAx>
        <c:axId val="264747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474243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38100">
              <a:noFill/>
            </a:ln>
          </c:spPr>
          <c:xVal>
            <c:numRef>
              <c:f>HPV!$C$13:$C$24</c:f>
              <c:numCache>
                <c:formatCode>General</c:formatCode>
                <c:ptCount val="12"/>
                <c:pt idx="0">
                  <c:v>9436.6315789473701</c:v>
                </c:pt>
                <c:pt idx="1">
                  <c:v>15032.895438596493</c:v>
                </c:pt>
                <c:pt idx="2">
                  <c:v>7007.8355259009822</c:v>
                </c:pt>
                <c:pt idx="3">
                  <c:v>15317.590603642133</c:v>
                </c:pt>
                <c:pt idx="4">
                  <c:v>60837.389938961685</c:v>
                </c:pt>
                <c:pt idx="5">
                  <c:v>181340.93608095459</c:v>
                </c:pt>
                <c:pt idx="6">
                  <c:v>349924.57230215997</c:v>
                </c:pt>
                <c:pt idx="7">
                  <c:v>514653.5207172652</c:v>
                </c:pt>
                <c:pt idx="8">
                  <c:v>1545657.2710516718</c:v>
                </c:pt>
                <c:pt idx="9">
                  <c:v>2487800.8389640441</c:v>
                </c:pt>
                <c:pt idx="10">
                  <c:v>6959716.6980569791</c:v>
                </c:pt>
                <c:pt idx="11">
                  <c:v>10275960.501184968</c:v>
                </c:pt>
              </c:numCache>
            </c:numRef>
          </c:xVal>
          <c:yVal>
            <c:numRef>
              <c:f>HPV!$B$13:$B$24</c:f>
              <c:numCache>
                <c:formatCode>General</c:formatCode>
                <c:ptCount val="12"/>
                <c:pt idx="0">
                  <c:v>15032.895438596493</c:v>
                </c:pt>
                <c:pt idx="1">
                  <c:v>7007.8355259009822</c:v>
                </c:pt>
                <c:pt idx="2">
                  <c:v>15317.590603642133</c:v>
                </c:pt>
                <c:pt idx="3">
                  <c:v>60837.389938961685</c:v>
                </c:pt>
                <c:pt idx="4">
                  <c:v>181340.93608095459</c:v>
                </c:pt>
                <c:pt idx="5">
                  <c:v>349924.57230215997</c:v>
                </c:pt>
                <c:pt idx="6">
                  <c:v>514653.5207172652</c:v>
                </c:pt>
                <c:pt idx="7">
                  <c:v>1545657.2710516718</c:v>
                </c:pt>
                <c:pt idx="8">
                  <c:v>2487800.8389640441</c:v>
                </c:pt>
                <c:pt idx="9">
                  <c:v>6959716.6980569791</c:v>
                </c:pt>
                <c:pt idx="10">
                  <c:v>10275960.501184968</c:v>
                </c:pt>
                <c:pt idx="11">
                  <c:v>12011981.852203855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C5-4946-9167-A4A8E3028EBC}"/>
            </c:ext>
          </c:extLst>
        </c:ser>
        <c:ser>
          <c:idx val="1"/>
          <c:order val="1"/>
          <c:tx>
            <c:v>Predicted Y</c:v>
          </c:tx>
          <c:spPr>
            <a:ln w="38100">
              <a:noFill/>
            </a:ln>
          </c:spPr>
          <c:xVal>
            <c:numRef>
              <c:f>HPV!$C$13:$C$24</c:f>
              <c:numCache>
                <c:formatCode>General</c:formatCode>
                <c:ptCount val="12"/>
                <c:pt idx="0">
                  <c:v>9436.6315789473701</c:v>
                </c:pt>
                <c:pt idx="1">
                  <c:v>15032.895438596493</c:v>
                </c:pt>
                <c:pt idx="2">
                  <c:v>7007.8355259009822</c:v>
                </c:pt>
                <c:pt idx="3">
                  <c:v>15317.590603642133</c:v>
                </c:pt>
                <c:pt idx="4">
                  <c:v>60837.389938961685</c:v>
                </c:pt>
                <c:pt idx="5">
                  <c:v>181340.93608095459</c:v>
                </c:pt>
                <c:pt idx="6">
                  <c:v>349924.57230215997</c:v>
                </c:pt>
                <c:pt idx="7">
                  <c:v>514653.5207172652</c:v>
                </c:pt>
                <c:pt idx="8">
                  <c:v>1545657.2710516718</c:v>
                </c:pt>
                <c:pt idx="9">
                  <c:v>2487800.8389640441</c:v>
                </c:pt>
                <c:pt idx="10">
                  <c:v>6959716.6980569791</c:v>
                </c:pt>
                <c:pt idx="11">
                  <c:v>10275960.501184968</c:v>
                </c:pt>
              </c:numCache>
            </c:numRef>
          </c:xVal>
          <c:yVal>
            <c:numRef>
              <c:f>HPV!$G$28:$G$39</c:f>
              <c:numCache>
                <c:formatCode>General</c:formatCode>
                <c:ptCount val="12"/>
                <c:pt idx="0">
                  <c:v>523139.18607765826</c:v>
                </c:pt>
                <c:pt idx="1">
                  <c:v>530199.92502750922</c:v>
                </c:pt>
                <c:pt idx="2">
                  <c:v>520074.803245991</c:v>
                </c:pt>
                <c:pt idx="3">
                  <c:v>530559.12150056427</c:v>
                </c:pt>
                <c:pt idx="4">
                  <c:v>587990.90602983045</c:v>
                </c:pt>
                <c:pt idx="5">
                  <c:v>740028.78401031415</c:v>
                </c:pt>
                <c:pt idx="6">
                  <c:v>952728.73462507862</c:v>
                </c:pt>
                <c:pt idx="7">
                  <c:v>1160565.2718957565</c:v>
                </c:pt>
                <c:pt idx="8">
                  <c:v>2461370.3304129434</c:v>
                </c:pt>
                <c:pt idx="9">
                  <c:v>3650061.5631968575</c:v>
                </c:pt>
                <c:pt idx="10">
                  <c:v>9292224.134268539</c:v>
                </c:pt>
                <c:pt idx="11">
                  <c:v>13476289.141777951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C5-4946-9167-A4A8E3028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744352"/>
        <c:axId val="2058347055"/>
      </c:scatterChart>
      <c:valAx>
        <c:axId val="264744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58347055"/>
        <c:crosses val="autoZero"/>
        <c:crossBetween val="midCat"/>
      </c:valAx>
      <c:valAx>
        <c:axId val="20583470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474435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HPV!$K$28:$K$39</c:f>
              <c:numCache>
                <c:formatCode>General</c:formatCode>
                <c:ptCount val="12"/>
                <c:pt idx="0">
                  <c:v>4.166666666666667</c:v>
                </c:pt>
                <c:pt idx="1">
                  <c:v>12.5</c:v>
                </c:pt>
                <c:pt idx="2">
                  <c:v>20.833333333333336</c:v>
                </c:pt>
                <c:pt idx="3">
                  <c:v>29.166666666666668</c:v>
                </c:pt>
                <c:pt idx="4">
                  <c:v>37.5</c:v>
                </c:pt>
                <c:pt idx="5">
                  <c:v>45.833333333333336</c:v>
                </c:pt>
                <c:pt idx="6">
                  <c:v>54.166666666666664</c:v>
                </c:pt>
                <c:pt idx="7">
                  <c:v>62.5</c:v>
                </c:pt>
                <c:pt idx="8">
                  <c:v>70.833333333333343</c:v>
                </c:pt>
                <c:pt idx="9">
                  <c:v>79.166666666666671</c:v>
                </c:pt>
                <c:pt idx="10">
                  <c:v>87.500000000000014</c:v>
                </c:pt>
                <c:pt idx="11">
                  <c:v>95.833333333333343</c:v>
                </c:pt>
              </c:numCache>
            </c:numRef>
          </c:xVal>
          <c:yVal>
            <c:numRef>
              <c:f>HPV!$L$28:$L$39</c:f>
              <c:numCache>
                <c:formatCode>General</c:formatCode>
                <c:ptCount val="12"/>
                <c:pt idx="0">
                  <c:v>7007.8355259009822</c:v>
                </c:pt>
                <c:pt idx="1">
                  <c:v>15032.895438596493</c:v>
                </c:pt>
                <c:pt idx="2">
                  <c:v>15317.590603642133</c:v>
                </c:pt>
                <c:pt idx="3">
                  <c:v>60837.389938961685</c:v>
                </c:pt>
                <c:pt idx="4">
                  <c:v>181340.93608095459</c:v>
                </c:pt>
                <c:pt idx="5">
                  <c:v>349924.57230215997</c:v>
                </c:pt>
                <c:pt idx="6">
                  <c:v>514653.5207172652</c:v>
                </c:pt>
                <c:pt idx="7">
                  <c:v>1545657.2710516718</c:v>
                </c:pt>
                <c:pt idx="8">
                  <c:v>2487800.8389640441</c:v>
                </c:pt>
                <c:pt idx="9">
                  <c:v>6959716.6980569791</c:v>
                </c:pt>
                <c:pt idx="10">
                  <c:v>10275960.501184968</c:v>
                </c:pt>
                <c:pt idx="11">
                  <c:v>12011981.852203855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68-4ED1-B5DB-6148926D2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1641183"/>
        <c:axId val="264749632"/>
      </c:scatterChart>
      <c:valAx>
        <c:axId val="15416411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4749632"/>
        <c:crosses val="autoZero"/>
        <c:crossBetween val="midCat"/>
      </c:valAx>
      <c:valAx>
        <c:axId val="2647496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1641183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HepB!$C$5:$C$24</c:f>
              <c:numCache>
                <c:formatCode>General</c:formatCode>
                <c:ptCount val="20"/>
                <c:pt idx="0">
                  <c:v>20888757.51754386</c:v>
                </c:pt>
                <c:pt idx="1">
                  <c:v>23446088.279385965</c:v>
                </c:pt>
                <c:pt idx="2">
                  <c:v>67753162.671099514</c:v>
                </c:pt>
                <c:pt idx="3">
                  <c:v>74823326.876657188</c:v>
                </c:pt>
                <c:pt idx="4">
                  <c:v>82156425.247354388</c:v>
                </c:pt>
                <c:pt idx="5">
                  <c:v>85718419.53491953</c:v>
                </c:pt>
                <c:pt idx="6">
                  <c:v>83892402.907327384</c:v>
                </c:pt>
                <c:pt idx="7">
                  <c:v>85888544.02203387</c:v>
                </c:pt>
                <c:pt idx="8">
                  <c:v>102825622.13488758</c:v>
                </c:pt>
                <c:pt idx="9">
                  <c:v>115113933.70078091</c:v>
                </c:pt>
                <c:pt idx="10">
                  <c:v>110872800.30737072</c:v>
                </c:pt>
                <c:pt idx="11">
                  <c:v>157250570.88601673</c:v>
                </c:pt>
                <c:pt idx="12">
                  <c:v>123609468.01898211</c:v>
                </c:pt>
                <c:pt idx="13">
                  <c:v>123120221.73499703</c:v>
                </c:pt>
                <c:pt idx="14">
                  <c:v>119703177.4361579</c:v>
                </c:pt>
                <c:pt idx="15">
                  <c:v>72453269.549125701</c:v>
                </c:pt>
                <c:pt idx="16">
                  <c:v>49638967.158254378</c:v>
                </c:pt>
                <c:pt idx="17">
                  <c:v>52064037.488535091</c:v>
                </c:pt>
                <c:pt idx="18">
                  <c:v>56898909.745938599</c:v>
                </c:pt>
                <c:pt idx="19">
                  <c:v>59897866.107681289</c:v>
                </c:pt>
              </c:numCache>
            </c:numRef>
          </c:xVal>
          <c:yVal>
            <c:numRef>
              <c:f>HepB!$H$28:$H$47</c:f>
              <c:numCache>
                <c:formatCode>General</c:formatCode>
                <c:ptCount val="20"/>
                <c:pt idx="0">
                  <c:v>-15428043.226752412</c:v>
                </c:pt>
                <c:pt idx="1">
                  <c:v>26976910.681000397</c:v>
                </c:pt>
                <c:pt idx="2">
                  <c:v>1091856.4837011844</c:v>
                </c:pt>
                <c:pt idx="3">
                  <c:v>3166227.9188688695</c:v>
                </c:pt>
                <c:pt idx="4">
                  <c:v>1273927.1148773134</c:v>
                </c:pt>
                <c:pt idx="5">
                  <c:v>-3201470.0305671096</c:v>
                </c:pt>
                <c:pt idx="6">
                  <c:v>152846.44542664289</c:v>
                </c:pt>
                <c:pt idx="7">
                  <c:v>15605212.076104432</c:v>
                </c:pt>
                <c:pt idx="8">
                  <c:v>15295871.551934898</c:v>
                </c:pt>
                <c:pt idx="9">
                  <c:v>1914798.3855636418</c:v>
                </c:pt>
                <c:pt idx="10">
                  <c:v>51447087.270243913</c:v>
                </c:pt>
                <c:pt idx="11">
                  <c:v>-16689399.899183571</c:v>
                </c:pt>
                <c:pt idx="12">
                  <c:v>7843314.9261264205</c:v>
                </c:pt>
                <c:pt idx="13">
                  <c:v>4790167.7783149332</c:v>
                </c:pt>
                <c:pt idx="14">
                  <c:v>-39918172.137767211</c:v>
                </c:pt>
                <c:pt idx="15">
                  <c:v>-27588402.045639403</c:v>
                </c:pt>
                <c:pt idx="16">
                  <c:v>-8194251.081576243</c:v>
                </c:pt>
                <c:pt idx="17">
                  <c:v>-5163125.1440072879</c:v>
                </c:pt>
                <c:pt idx="18">
                  <c:v>-5760304.9158307835</c:v>
                </c:pt>
                <c:pt idx="19">
                  <c:v>-7615052.1508386657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86-44BD-B123-B3D7EA1D2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4160751"/>
        <c:axId val="1860297679"/>
      </c:scatterChart>
      <c:valAx>
        <c:axId val="1864160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60297679"/>
        <c:crosses val="autoZero"/>
        <c:crossBetween val="midCat"/>
      </c:valAx>
      <c:valAx>
        <c:axId val="18602976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6416075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38100">
              <a:noFill/>
            </a:ln>
          </c:spPr>
          <c:xVal>
            <c:numRef>
              <c:f>HepB!$C$5:$C$24</c:f>
              <c:numCache>
                <c:formatCode>General</c:formatCode>
                <c:ptCount val="20"/>
                <c:pt idx="0">
                  <c:v>20888757.51754386</c:v>
                </c:pt>
                <c:pt idx="1">
                  <c:v>23446088.279385965</c:v>
                </c:pt>
                <c:pt idx="2">
                  <c:v>67753162.671099514</c:v>
                </c:pt>
                <c:pt idx="3">
                  <c:v>74823326.876657188</c:v>
                </c:pt>
                <c:pt idx="4">
                  <c:v>82156425.247354388</c:v>
                </c:pt>
                <c:pt idx="5">
                  <c:v>85718419.53491953</c:v>
                </c:pt>
                <c:pt idx="6">
                  <c:v>83892402.907327384</c:v>
                </c:pt>
                <c:pt idx="7">
                  <c:v>85888544.02203387</c:v>
                </c:pt>
                <c:pt idx="8">
                  <c:v>102825622.13488758</c:v>
                </c:pt>
                <c:pt idx="9">
                  <c:v>115113933.70078091</c:v>
                </c:pt>
                <c:pt idx="10">
                  <c:v>110872800.30737072</c:v>
                </c:pt>
                <c:pt idx="11">
                  <c:v>157250570.88601673</c:v>
                </c:pt>
                <c:pt idx="12">
                  <c:v>123609468.01898211</c:v>
                </c:pt>
                <c:pt idx="13">
                  <c:v>123120221.73499703</c:v>
                </c:pt>
                <c:pt idx="14">
                  <c:v>119703177.4361579</c:v>
                </c:pt>
                <c:pt idx="15">
                  <c:v>72453269.549125701</c:v>
                </c:pt>
                <c:pt idx="16">
                  <c:v>49638967.158254378</c:v>
                </c:pt>
                <c:pt idx="17">
                  <c:v>52064037.488535091</c:v>
                </c:pt>
                <c:pt idx="18">
                  <c:v>56898909.745938599</c:v>
                </c:pt>
                <c:pt idx="19">
                  <c:v>59897866.107681289</c:v>
                </c:pt>
              </c:numCache>
            </c:numRef>
          </c:xVal>
          <c:yVal>
            <c:numRef>
              <c:f>HepB!$B$5:$B$24</c:f>
              <c:numCache>
                <c:formatCode>General</c:formatCode>
                <c:ptCount val="20"/>
                <c:pt idx="0">
                  <c:v>23446088.279385965</c:v>
                </c:pt>
                <c:pt idx="1">
                  <c:v>67753162.671099514</c:v>
                </c:pt>
                <c:pt idx="2">
                  <c:v>74823326.876657188</c:v>
                </c:pt>
                <c:pt idx="3">
                  <c:v>82156425.247354388</c:v>
                </c:pt>
                <c:pt idx="4">
                  <c:v>85718419.53491953</c:v>
                </c:pt>
                <c:pt idx="5">
                  <c:v>83892402.907327384</c:v>
                </c:pt>
                <c:pt idx="6">
                  <c:v>85888544.02203387</c:v>
                </c:pt>
                <c:pt idx="7">
                  <c:v>102825622.13488758</c:v>
                </c:pt>
                <c:pt idx="8">
                  <c:v>115113933.70078091</c:v>
                </c:pt>
                <c:pt idx="9">
                  <c:v>110872800.30737072</c:v>
                </c:pt>
                <c:pt idx="10">
                  <c:v>157250570.88601673</c:v>
                </c:pt>
                <c:pt idx="11">
                  <c:v>123609468.01898211</c:v>
                </c:pt>
                <c:pt idx="12">
                  <c:v>123120221.73499703</c:v>
                </c:pt>
                <c:pt idx="13">
                  <c:v>119703177.4361579</c:v>
                </c:pt>
                <c:pt idx="14">
                  <c:v>72453269.549125701</c:v>
                </c:pt>
                <c:pt idx="15">
                  <c:v>49638967.158254378</c:v>
                </c:pt>
                <c:pt idx="16">
                  <c:v>52064037.488535091</c:v>
                </c:pt>
                <c:pt idx="17">
                  <c:v>56898909.745938599</c:v>
                </c:pt>
                <c:pt idx="18">
                  <c:v>59897866.107681289</c:v>
                </c:pt>
                <c:pt idx="19">
                  <c:v>60273716.65505264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5A-40DE-B28A-602E21D684B8}"/>
            </c:ext>
          </c:extLst>
        </c:ser>
        <c:ser>
          <c:idx val="1"/>
          <c:order val="1"/>
          <c:tx>
            <c:v>Predicted Y</c:v>
          </c:tx>
          <c:spPr>
            <a:ln w="38100">
              <a:noFill/>
            </a:ln>
          </c:spPr>
          <c:xVal>
            <c:numRef>
              <c:f>HepB!$C$5:$C$24</c:f>
              <c:numCache>
                <c:formatCode>General</c:formatCode>
                <c:ptCount val="20"/>
                <c:pt idx="0">
                  <c:v>20888757.51754386</c:v>
                </c:pt>
                <c:pt idx="1">
                  <c:v>23446088.279385965</c:v>
                </c:pt>
                <c:pt idx="2">
                  <c:v>67753162.671099514</c:v>
                </c:pt>
                <c:pt idx="3">
                  <c:v>74823326.876657188</c:v>
                </c:pt>
                <c:pt idx="4">
                  <c:v>82156425.247354388</c:v>
                </c:pt>
                <c:pt idx="5">
                  <c:v>85718419.53491953</c:v>
                </c:pt>
                <c:pt idx="6">
                  <c:v>83892402.907327384</c:v>
                </c:pt>
                <c:pt idx="7">
                  <c:v>85888544.02203387</c:v>
                </c:pt>
                <c:pt idx="8">
                  <c:v>102825622.13488758</c:v>
                </c:pt>
                <c:pt idx="9">
                  <c:v>115113933.70078091</c:v>
                </c:pt>
                <c:pt idx="10">
                  <c:v>110872800.30737072</c:v>
                </c:pt>
                <c:pt idx="11">
                  <c:v>157250570.88601673</c:v>
                </c:pt>
                <c:pt idx="12">
                  <c:v>123609468.01898211</c:v>
                </c:pt>
                <c:pt idx="13">
                  <c:v>123120221.73499703</c:v>
                </c:pt>
                <c:pt idx="14">
                  <c:v>119703177.4361579</c:v>
                </c:pt>
                <c:pt idx="15">
                  <c:v>72453269.549125701</c:v>
                </c:pt>
                <c:pt idx="16">
                  <c:v>49638967.158254378</c:v>
                </c:pt>
                <c:pt idx="17">
                  <c:v>52064037.488535091</c:v>
                </c:pt>
                <c:pt idx="18">
                  <c:v>56898909.745938599</c:v>
                </c:pt>
                <c:pt idx="19">
                  <c:v>59897866.107681289</c:v>
                </c:pt>
              </c:numCache>
            </c:numRef>
          </c:xVal>
          <c:yVal>
            <c:numRef>
              <c:f>HepB!$G$28:$G$47</c:f>
              <c:numCache>
                <c:formatCode>General</c:formatCode>
                <c:ptCount val="20"/>
                <c:pt idx="0">
                  <c:v>38874131.506138377</c:v>
                </c:pt>
                <c:pt idx="1">
                  <c:v>40776251.990099117</c:v>
                </c:pt>
                <c:pt idx="2">
                  <c:v>73731470.392956004</c:v>
                </c:pt>
                <c:pt idx="3">
                  <c:v>78990197.328485519</c:v>
                </c:pt>
                <c:pt idx="4">
                  <c:v>84444492.420042217</c:v>
                </c:pt>
                <c:pt idx="5">
                  <c:v>87093872.937894493</c:v>
                </c:pt>
                <c:pt idx="6">
                  <c:v>85735697.576607227</c:v>
                </c:pt>
                <c:pt idx="7">
                  <c:v>87220410.058783144</c:v>
                </c:pt>
                <c:pt idx="8">
                  <c:v>99818062.148846015</c:v>
                </c:pt>
                <c:pt idx="9">
                  <c:v>108958001.92180708</c:v>
                </c:pt>
                <c:pt idx="10">
                  <c:v>105803483.61577281</c:v>
                </c:pt>
                <c:pt idx="11">
                  <c:v>140298867.91816568</c:v>
                </c:pt>
                <c:pt idx="12">
                  <c:v>115276906.80887061</c:v>
                </c:pt>
                <c:pt idx="13">
                  <c:v>114913009.65784296</c:v>
                </c:pt>
                <c:pt idx="14">
                  <c:v>112371441.68689291</c:v>
                </c:pt>
                <c:pt idx="15">
                  <c:v>77227369.203893781</c:v>
                </c:pt>
                <c:pt idx="16">
                  <c:v>60258288.570111334</c:v>
                </c:pt>
                <c:pt idx="17">
                  <c:v>62062034.889945887</c:v>
                </c:pt>
                <c:pt idx="18">
                  <c:v>65658171.023512073</c:v>
                </c:pt>
                <c:pt idx="19">
                  <c:v>67888768.805891305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A5A-40DE-B28A-602E21D68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5786863"/>
        <c:axId val="1475785903"/>
      </c:scatterChart>
      <c:valAx>
        <c:axId val="14757868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5785903"/>
        <c:crosses val="autoZero"/>
        <c:crossBetween val="midCat"/>
      </c:valAx>
      <c:valAx>
        <c:axId val="14757859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578686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HepB!$K$28:$K$47</c:f>
              <c:numCache>
                <c:formatCode>General</c:formatCode>
                <c:ptCount val="2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</c:numCache>
            </c:numRef>
          </c:xVal>
          <c:yVal>
            <c:numRef>
              <c:f>HepB!$L$28:$L$47</c:f>
              <c:numCache>
                <c:formatCode>General</c:formatCode>
                <c:ptCount val="20"/>
                <c:pt idx="0">
                  <c:v>23446088.279385965</c:v>
                </c:pt>
                <c:pt idx="1">
                  <c:v>49638967.158254378</c:v>
                </c:pt>
                <c:pt idx="2">
                  <c:v>52064037.488535091</c:v>
                </c:pt>
                <c:pt idx="3">
                  <c:v>56898909.745938599</c:v>
                </c:pt>
                <c:pt idx="4">
                  <c:v>59897866.107681289</c:v>
                </c:pt>
                <c:pt idx="5">
                  <c:v>60273716.65505264</c:v>
                </c:pt>
                <c:pt idx="6">
                  <c:v>67753162.671099514</c:v>
                </c:pt>
                <c:pt idx="7">
                  <c:v>72453269.549125701</c:v>
                </c:pt>
                <c:pt idx="8">
                  <c:v>74823326.876657188</c:v>
                </c:pt>
                <c:pt idx="9">
                  <c:v>82156425.247354388</c:v>
                </c:pt>
                <c:pt idx="10">
                  <c:v>83892402.907327384</c:v>
                </c:pt>
                <c:pt idx="11">
                  <c:v>85718419.53491953</c:v>
                </c:pt>
                <c:pt idx="12">
                  <c:v>85888544.02203387</c:v>
                </c:pt>
                <c:pt idx="13">
                  <c:v>102825622.13488758</c:v>
                </c:pt>
                <c:pt idx="14">
                  <c:v>110872800.30737072</c:v>
                </c:pt>
                <c:pt idx="15">
                  <c:v>115113933.70078091</c:v>
                </c:pt>
                <c:pt idx="16">
                  <c:v>119703177.4361579</c:v>
                </c:pt>
                <c:pt idx="17">
                  <c:v>123120221.73499703</c:v>
                </c:pt>
                <c:pt idx="18">
                  <c:v>123609468.01898211</c:v>
                </c:pt>
                <c:pt idx="19">
                  <c:v>157250570.88601673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2F-4C14-97C1-F1433DE3A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5786863"/>
        <c:axId val="1475792143"/>
      </c:scatterChart>
      <c:valAx>
        <c:axId val="14757868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5792143"/>
        <c:crosses val="autoZero"/>
        <c:crossBetween val="midCat"/>
      </c:valAx>
      <c:valAx>
        <c:axId val="14757921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5786863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Hib!$C$5:$C$24</c:f>
              <c:numCache>
                <c:formatCode>General</c:formatCode>
                <c:ptCount val="20"/>
                <c:pt idx="0">
                  <c:v>804259.78947368416</c:v>
                </c:pt>
                <c:pt idx="1">
                  <c:v>814409.56736842101</c:v>
                </c:pt>
                <c:pt idx="2">
                  <c:v>791281.72789473692</c:v>
                </c:pt>
                <c:pt idx="3">
                  <c:v>745679.86605263175</c:v>
                </c:pt>
                <c:pt idx="4">
                  <c:v>797608.27776315797</c:v>
                </c:pt>
                <c:pt idx="5">
                  <c:v>793505.3601315791</c:v>
                </c:pt>
                <c:pt idx="6">
                  <c:v>807322.46184210526</c:v>
                </c:pt>
                <c:pt idx="7">
                  <c:v>15497985.037631581</c:v>
                </c:pt>
                <c:pt idx="8">
                  <c:v>23015253.727710523</c:v>
                </c:pt>
                <c:pt idx="9">
                  <c:v>29554012.882236842</c:v>
                </c:pt>
                <c:pt idx="10">
                  <c:v>28143333.279144734</c:v>
                </c:pt>
                <c:pt idx="11">
                  <c:v>27963363.659868423</c:v>
                </c:pt>
                <c:pt idx="12">
                  <c:v>287270.77894736844</c:v>
                </c:pt>
                <c:pt idx="13">
                  <c:v>295912.22842105263</c:v>
                </c:pt>
                <c:pt idx="14">
                  <c:v>313516.50986842107</c:v>
                </c:pt>
                <c:pt idx="15">
                  <c:v>300997.51578947366</c:v>
                </c:pt>
                <c:pt idx="16">
                  <c:v>430151.70526315796</c:v>
                </c:pt>
                <c:pt idx="17">
                  <c:v>1240330.3978947368</c:v>
                </c:pt>
                <c:pt idx="18">
                  <c:v>1797781.6965789474</c:v>
                </c:pt>
                <c:pt idx="19">
                  <c:v>1041960.3836842106</c:v>
                </c:pt>
              </c:numCache>
            </c:numRef>
          </c:xVal>
          <c:yVal>
            <c:numRef>
              <c:f>Hib!$H$28:$H$47</c:f>
              <c:numCache>
                <c:formatCode>General</c:formatCode>
                <c:ptCount val="20"/>
                <c:pt idx="0">
                  <c:v>-1396719.374202627</c:v>
                </c:pt>
                <c:pt idx="1">
                  <c:v>-1427612.5537767573</c:v>
                </c:pt>
                <c:pt idx="2">
                  <c:v>-1455519.8866188917</c:v>
                </c:pt>
                <c:pt idx="3">
                  <c:v>-1368702.6359514911</c:v>
                </c:pt>
                <c:pt idx="4">
                  <c:v>-1412534.6769186002</c:v>
                </c:pt>
                <c:pt idx="5">
                  <c:v>-1395578.5359952212</c:v>
                </c:pt>
                <c:pt idx="6">
                  <c:v>13284512.922367111</c:v>
                </c:pt>
                <c:pt idx="7">
                  <c:v>9562324.7115161382</c:v>
                </c:pt>
                <c:pt idx="8">
                  <c:v>10349810.428308375</c:v>
                </c:pt>
                <c:pt idx="9">
                  <c:v>3936490.4525501579</c:v>
                </c:pt>
                <c:pt idx="10">
                  <c:v>4835796.360717006</c:v>
                </c:pt>
                <c:pt idx="11">
                  <c:v>-22702606.285410527</c:v>
                </c:pt>
                <c:pt idx="12">
                  <c:v>-1519681.40818417</c:v>
                </c:pt>
                <c:pt idx="13">
                  <c:v>-1508688.4826521638</c:v>
                </c:pt>
                <c:pt idx="14">
                  <c:v>-1534676.0702393183</c:v>
                </c:pt>
                <c:pt idx="15">
                  <c:v>-1395943.9128783848</c:v>
                </c:pt>
                <c:pt idx="16">
                  <c:v>-684577.84620394371</c:v>
                </c:pt>
                <c:pt idx="17">
                  <c:v>-746973.91321249725</c:v>
                </c:pt>
                <c:pt idx="18">
                  <c:v>-1929287.2113124612</c:v>
                </c:pt>
                <c:pt idx="19">
                  <c:v>-1489832.0819017496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B3-4614-B359-0D1FDA43E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365280"/>
        <c:axId val="160366720"/>
      </c:scatterChart>
      <c:valAx>
        <c:axId val="160365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0366720"/>
        <c:crosses val="autoZero"/>
        <c:crossBetween val="midCat"/>
      </c:valAx>
      <c:valAx>
        <c:axId val="1603667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036528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38100">
              <a:noFill/>
            </a:ln>
          </c:spPr>
          <c:xVal>
            <c:numRef>
              <c:f>Hib!$C$5:$C$24</c:f>
              <c:numCache>
                <c:formatCode>General</c:formatCode>
                <c:ptCount val="20"/>
                <c:pt idx="0">
                  <c:v>804259.78947368416</c:v>
                </c:pt>
                <c:pt idx="1">
                  <c:v>814409.56736842101</c:v>
                </c:pt>
                <c:pt idx="2">
                  <c:v>791281.72789473692</c:v>
                </c:pt>
                <c:pt idx="3">
                  <c:v>745679.86605263175</c:v>
                </c:pt>
                <c:pt idx="4">
                  <c:v>797608.27776315797</c:v>
                </c:pt>
                <c:pt idx="5">
                  <c:v>793505.3601315791</c:v>
                </c:pt>
                <c:pt idx="6">
                  <c:v>807322.46184210526</c:v>
                </c:pt>
                <c:pt idx="7">
                  <c:v>15497985.037631581</c:v>
                </c:pt>
                <c:pt idx="8">
                  <c:v>23015253.727710523</c:v>
                </c:pt>
                <c:pt idx="9">
                  <c:v>29554012.882236842</c:v>
                </c:pt>
                <c:pt idx="10">
                  <c:v>28143333.279144734</c:v>
                </c:pt>
                <c:pt idx="11">
                  <c:v>27963363.659868423</c:v>
                </c:pt>
                <c:pt idx="12">
                  <c:v>287270.77894736844</c:v>
                </c:pt>
                <c:pt idx="13">
                  <c:v>295912.22842105263</c:v>
                </c:pt>
                <c:pt idx="14">
                  <c:v>313516.50986842107</c:v>
                </c:pt>
                <c:pt idx="15">
                  <c:v>300997.51578947366</c:v>
                </c:pt>
                <c:pt idx="16">
                  <c:v>430151.70526315796</c:v>
                </c:pt>
                <c:pt idx="17">
                  <c:v>1240330.3978947368</c:v>
                </c:pt>
                <c:pt idx="18">
                  <c:v>1797781.6965789474</c:v>
                </c:pt>
                <c:pt idx="19">
                  <c:v>1041960.3836842106</c:v>
                </c:pt>
              </c:numCache>
            </c:numRef>
          </c:xVal>
          <c:yVal>
            <c:numRef>
              <c:f>Hib!$B$5:$B$24</c:f>
              <c:numCache>
                <c:formatCode>General</c:formatCode>
                <c:ptCount val="20"/>
                <c:pt idx="0">
                  <c:v>814409.56736842101</c:v>
                </c:pt>
                <c:pt idx="1">
                  <c:v>791281.72789473692</c:v>
                </c:pt>
                <c:pt idx="2">
                  <c:v>745679.86605263175</c:v>
                </c:pt>
                <c:pt idx="3">
                  <c:v>797608.27776315797</c:v>
                </c:pt>
                <c:pt idx="4">
                  <c:v>793505.3601315791</c:v>
                </c:pt>
                <c:pt idx="5">
                  <c:v>807322.46184210526</c:v>
                </c:pt>
                <c:pt idx="6">
                  <c:v>15497985.037631581</c:v>
                </c:pt>
                <c:pt idx="7">
                  <c:v>23015253.727710523</c:v>
                </c:pt>
                <c:pt idx="8">
                  <c:v>29554012.882236842</c:v>
                </c:pt>
                <c:pt idx="9">
                  <c:v>28143333.279144734</c:v>
                </c:pt>
                <c:pt idx="10">
                  <c:v>27963363.659868423</c:v>
                </c:pt>
                <c:pt idx="11">
                  <c:v>287270.77894736844</c:v>
                </c:pt>
                <c:pt idx="12">
                  <c:v>295912.22842105263</c:v>
                </c:pt>
                <c:pt idx="13">
                  <c:v>313516.50986842107</c:v>
                </c:pt>
                <c:pt idx="14">
                  <c:v>300997.51578947366</c:v>
                </c:pt>
                <c:pt idx="15">
                  <c:v>430151.70526315796</c:v>
                </c:pt>
                <c:pt idx="16">
                  <c:v>1240330.3978947368</c:v>
                </c:pt>
                <c:pt idx="17">
                  <c:v>1797781.6965789474</c:v>
                </c:pt>
                <c:pt idx="18">
                  <c:v>1041960.3836842106</c:v>
                </c:pt>
                <c:pt idx="19">
                  <c:v>903155.61315789458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43-442F-AFE8-14FDEF79CEC7}"/>
            </c:ext>
          </c:extLst>
        </c:ser>
        <c:ser>
          <c:idx val="1"/>
          <c:order val="1"/>
          <c:tx>
            <c:v>Predicted Y</c:v>
          </c:tx>
          <c:spPr>
            <a:ln w="38100">
              <a:noFill/>
            </a:ln>
          </c:spPr>
          <c:xVal>
            <c:numRef>
              <c:f>Hib!$C$5:$C$24</c:f>
              <c:numCache>
                <c:formatCode>General</c:formatCode>
                <c:ptCount val="20"/>
                <c:pt idx="0">
                  <c:v>804259.78947368416</c:v>
                </c:pt>
                <c:pt idx="1">
                  <c:v>814409.56736842101</c:v>
                </c:pt>
                <c:pt idx="2">
                  <c:v>791281.72789473692</c:v>
                </c:pt>
                <c:pt idx="3">
                  <c:v>745679.86605263175</c:v>
                </c:pt>
                <c:pt idx="4">
                  <c:v>797608.27776315797</c:v>
                </c:pt>
                <c:pt idx="5">
                  <c:v>793505.3601315791</c:v>
                </c:pt>
                <c:pt idx="6">
                  <c:v>807322.46184210526</c:v>
                </c:pt>
                <c:pt idx="7">
                  <c:v>15497985.037631581</c:v>
                </c:pt>
                <c:pt idx="8">
                  <c:v>23015253.727710523</c:v>
                </c:pt>
                <c:pt idx="9">
                  <c:v>29554012.882236842</c:v>
                </c:pt>
                <c:pt idx="10">
                  <c:v>28143333.279144734</c:v>
                </c:pt>
                <c:pt idx="11">
                  <c:v>27963363.659868423</c:v>
                </c:pt>
                <c:pt idx="12">
                  <c:v>287270.77894736844</c:v>
                </c:pt>
                <c:pt idx="13">
                  <c:v>295912.22842105263</c:v>
                </c:pt>
                <c:pt idx="14">
                  <c:v>313516.50986842107</c:v>
                </c:pt>
                <c:pt idx="15">
                  <c:v>300997.51578947366</c:v>
                </c:pt>
                <c:pt idx="16">
                  <c:v>430151.70526315796</c:v>
                </c:pt>
                <c:pt idx="17">
                  <c:v>1240330.3978947368</c:v>
                </c:pt>
                <c:pt idx="18">
                  <c:v>1797781.6965789474</c:v>
                </c:pt>
                <c:pt idx="19">
                  <c:v>1041960.3836842106</c:v>
                </c:pt>
              </c:numCache>
            </c:numRef>
          </c:xVal>
          <c:yVal>
            <c:numRef>
              <c:f>Hib!$G$28:$G$47</c:f>
              <c:numCache>
                <c:formatCode>General</c:formatCode>
                <c:ptCount val="20"/>
                <c:pt idx="0">
                  <c:v>2211128.941571048</c:v>
                </c:pt>
                <c:pt idx="1">
                  <c:v>2218894.2816714942</c:v>
                </c:pt>
                <c:pt idx="2">
                  <c:v>2201199.7526715235</c:v>
                </c:pt>
                <c:pt idx="3">
                  <c:v>2166310.9137146492</c:v>
                </c:pt>
                <c:pt idx="4">
                  <c:v>2206040.0370501792</c:v>
                </c:pt>
                <c:pt idx="5">
                  <c:v>2202900.9978373265</c:v>
                </c:pt>
                <c:pt idx="6">
                  <c:v>2213472.1152644707</c:v>
                </c:pt>
                <c:pt idx="7">
                  <c:v>13452929.016194385</c:v>
                </c:pt>
                <c:pt idx="8">
                  <c:v>19204202.453928467</c:v>
                </c:pt>
                <c:pt idx="9">
                  <c:v>24206842.826594576</c:v>
                </c:pt>
                <c:pt idx="10">
                  <c:v>23127567.299151417</c:v>
                </c:pt>
                <c:pt idx="11">
                  <c:v>22989877.064357895</c:v>
                </c:pt>
                <c:pt idx="12">
                  <c:v>1815593.6366052227</c:v>
                </c:pt>
                <c:pt idx="13">
                  <c:v>1822204.992520585</c:v>
                </c:pt>
                <c:pt idx="14">
                  <c:v>1835673.586028792</c:v>
                </c:pt>
                <c:pt idx="15">
                  <c:v>1826095.6181415427</c:v>
                </c:pt>
                <c:pt idx="16">
                  <c:v>1924908.2440986806</c:v>
                </c:pt>
                <c:pt idx="17">
                  <c:v>2544755.6097914446</c:v>
                </c:pt>
                <c:pt idx="18">
                  <c:v>2971247.5949966717</c:v>
                </c:pt>
                <c:pt idx="19">
                  <c:v>2392987.6950596441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43-442F-AFE8-14FDEF79C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305792"/>
        <c:axId val="157299552"/>
      </c:scatterChart>
      <c:valAx>
        <c:axId val="157305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7299552"/>
        <c:crosses val="autoZero"/>
        <c:crossBetween val="midCat"/>
      </c:valAx>
      <c:valAx>
        <c:axId val="1572995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730579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Hib!$K$28:$K$47</c:f>
              <c:numCache>
                <c:formatCode>General</c:formatCode>
                <c:ptCount val="2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</c:numCache>
            </c:numRef>
          </c:xVal>
          <c:yVal>
            <c:numRef>
              <c:f>Hib!$L$28:$L$47</c:f>
              <c:numCache>
                <c:formatCode>General</c:formatCode>
                <c:ptCount val="20"/>
                <c:pt idx="0">
                  <c:v>287270.77894736844</c:v>
                </c:pt>
                <c:pt idx="1">
                  <c:v>295912.22842105263</c:v>
                </c:pt>
                <c:pt idx="2">
                  <c:v>300997.51578947366</c:v>
                </c:pt>
                <c:pt idx="3">
                  <c:v>313516.50986842107</c:v>
                </c:pt>
                <c:pt idx="4">
                  <c:v>430151.70526315796</c:v>
                </c:pt>
                <c:pt idx="5">
                  <c:v>745679.86605263175</c:v>
                </c:pt>
                <c:pt idx="6">
                  <c:v>791281.72789473692</c:v>
                </c:pt>
                <c:pt idx="7">
                  <c:v>793505.3601315791</c:v>
                </c:pt>
                <c:pt idx="8">
                  <c:v>797608.27776315797</c:v>
                </c:pt>
                <c:pt idx="9">
                  <c:v>807322.46184210526</c:v>
                </c:pt>
                <c:pt idx="10">
                  <c:v>814409.56736842101</c:v>
                </c:pt>
                <c:pt idx="11">
                  <c:v>903155.61315789458</c:v>
                </c:pt>
                <c:pt idx="12">
                  <c:v>1041960.3836842106</c:v>
                </c:pt>
                <c:pt idx="13">
                  <c:v>1240330.3978947368</c:v>
                </c:pt>
                <c:pt idx="14">
                  <c:v>1797781.6965789474</c:v>
                </c:pt>
                <c:pt idx="15">
                  <c:v>15497985.037631581</c:v>
                </c:pt>
                <c:pt idx="16">
                  <c:v>23015253.727710523</c:v>
                </c:pt>
                <c:pt idx="17">
                  <c:v>27963363.659868423</c:v>
                </c:pt>
                <c:pt idx="18">
                  <c:v>28143333.279144734</c:v>
                </c:pt>
                <c:pt idx="19">
                  <c:v>29554012.882236842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C6-4D9F-8AF9-89A084A3A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305792"/>
        <c:axId val="157303392"/>
      </c:scatterChart>
      <c:valAx>
        <c:axId val="157305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7303392"/>
        <c:crosses val="autoZero"/>
        <c:crossBetween val="midCat"/>
      </c:valAx>
      <c:valAx>
        <c:axId val="1573033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730579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Rota!$C$11:$C$24</c:f>
              <c:numCache>
                <c:formatCode>General</c:formatCode>
                <c:ptCount val="14"/>
                <c:pt idx="0">
                  <c:v>3029895.8736842112</c:v>
                </c:pt>
                <c:pt idx="1">
                  <c:v>7758595.6578421062</c:v>
                </c:pt>
                <c:pt idx="2">
                  <c:v>1545856.413622807</c:v>
                </c:pt>
                <c:pt idx="3">
                  <c:v>4340799.6761578955</c:v>
                </c:pt>
                <c:pt idx="4">
                  <c:v>3509131.2852894738</c:v>
                </c:pt>
                <c:pt idx="5">
                  <c:v>5934020.7698421059</c:v>
                </c:pt>
                <c:pt idx="6">
                  <c:v>11771289.003596492</c:v>
                </c:pt>
                <c:pt idx="7">
                  <c:v>21235065.818330705</c:v>
                </c:pt>
                <c:pt idx="8">
                  <c:v>35141118.636778519</c:v>
                </c:pt>
                <c:pt idx="9">
                  <c:v>44497769.475822374</c:v>
                </c:pt>
                <c:pt idx="10">
                  <c:v>55341923.767780691</c:v>
                </c:pt>
                <c:pt idx="11">
                  <c:v>66664536.867978521</c:v>
                </c:pt>
                <c:pt idx="12">
                  <c:v>93092909.247318864</c:v>
                </c:pt>
                <c:pt idx="13">
                  <c:v>126525666.33989815</c:v>
                </c:pt>
              </c:numCache>
            </c:numRef>
          </c:xVal>
          <c:yVal>
            <c:numRef>
              <c:f>Rota!$H$28:$H$41</c:f>
              <c:numCache>
                <c:formatCode>General</c:formatCode>
                <c:ptCount val="14"/>
                <c:pt idx="0">
                  <c:v>1062831.2572492352</c:v>
                </c:pt>
                <c:pt idx="1">
                  <c:v>-10827751.436101634</c:v>
                </c:pt>
                <c:pt idx="2">
                  <c:v>-573049.16388454847</c:v>
                </c:pt>
                <c:pt idx="3">
                  <c:v>-4760661.2640669951</c:v>
                </c:pt>
                <c:pt idx="4">
                  <c:v>-1337171.0773166893</c:v>
                </c:pt>
                <c:pt idx="5">
                  <c:v>1588484.3446323741</c:v>
                </c:pt>
                <c:pt idx="6">
                  <c:v>4043337.6254847646</c:v>
                </c:pt>
                <c:pt idx="7">
                  <c:v>6586046.2596387938</c:v>
                </c:pt>
                <c:pt idx="8">
                  <c:v>-754575.83097583055</c:v>
                </c:pt>
                <c:pt idx="9">
                  <c:v>-1145137.4434312657</c:v>
                </c:pt>
                <c:pt idx="10">
                  <c:v>-2843315.0929960385</c:v>
                </c:pt>
                <c:pt idx="11">
                  <c:v>9989771.5730521381</c:v>
                </c:pt>
                <c:pt idx="12">
                  <c:v>11689458.723664314</c:v>
                </c:pt>
                <c:pt idx="13">
                  <c:v>-12718268.474948496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FC-42AE-B698-B2887B09C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9331823"/>
        <c:axId val="1131787311"/>
      </c:scatterChart>
      <c:valAx>
        <c:axId val="16893318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31787311"/>
        <c:crosses val="autoZero"/>
        <c:crossBetween val="midCat"/>
      </c:valAx>
      <c:valAx>
        <c:axId val="11317873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9331823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38100">
              <a:noFill/>
            </a:ln>
          </c:spPr>
          <c:xVal>
            <c:numRef>
              <c:f>Rota!$C$11:$C$24</c:f>
              <c:numCache>
                <c:formatCode>General</c:formatCode>
                <c:ptCount val="14"/>
                <c:pt idx="0">
                  <c:v>3029895.8736842112</c:v>
                </c:pt>
                <c:pt idx="1">
                  <c:v>7758595.6578421062</c:v>
                </c:pt>
                <c:pt idx="2">
                  <c:v>1545856.413622807</c:v>
                </c:pt>
                <c:pt idx="3">
                  <c:v>4340799.6761578955</c:v>
                </c:pt>
                <c:pt idx="4">
                  <c:v>3509131.2852894738</c:v>
                </c:pt>
                <c:pt idx="5">
                  <c:v>5934020.7698421059</c:v>
                </c:pt>
                <c:pt idx="6">
                  <c:v>11771289.003596492</c:v>
                </c:pt>
                <c:pt idx="7">
                  <c:v>21235065.818330705</c:v>
                </c:pt>
                <c:pt idx="8">
                  <c:v>35141118.636778519</c:v>
                </c:pt>
                <c:pt idx="9">
                  <c:v>44497769.475822374</c:v>
                </c:pt>
                <c:pt idx="10">
                  <c:v>55341923.767780691</c:v>
                </c:pt>
                <c:pt idx="11">
                  <c:v>66664536.867978521</c:v>
                </c:pt>
                <c:pt idx="12">
                  <c:v>93092909.247318864</c:v>
                </c:pt>
                <c:pt idx="13">
                  <c:v>126525666.33989815</c:v>
                </c:pt>
              </c:numCache>
            </c:numRef>
          </c:xVal>
          <c:yVal>
            <c:numRef>
              <c:f>Rota!$B$11:$B$24</c:f>
              <c:numCache>
                <c:formatCode>General</c:formatCode>
                <c:ptCount val="14"/>
                <c:pt idx="0">
                  <c:v>7758595.6578421062</c:v>
                </c:pt>
                <c:pt idx="1">
                  <c:v>1545856.413622807</c:v>
                </c:pt>
                <c:pt idx="2">
                  <c:v>4340799.6761578955</c:v>
                </c:pt>
                <c:pt idx="3">
                  <c:v>3509131.2852894738</c:v>
                </c:pt>
                <c:pt idx="4">
                  <c:v>5934020.7698421059</c:v>
                </c:pt>
                <c:pt idx="5">
                  <c:v>11771289.003596492</c:v>
                </c:pt>
                <c:pt idx="6">
                  <c:v>21235065.818330705</c:v>
                </c:pt>
                <c:pt idx="7">
                  <c:v>35141118.636778519</c:v>
                </c:pt>
                <c:pt idx="8">
                  <c:v>44497769.475822374</c:v>
                </c:pt>
                <c:pt idx="9">
                  <c:v>55341923.767780691</c:v>
                </c:pt>
                <c:pt idx="10">
                  <c:v>66664536.867978521</c:v>
                </c:pt>
                <c:pt idx="11">
                  <c:v>93092909.247318864</c:v>
                </c:pt>
                <c:pt idx="12">
                  <c:v>126525666.33989815</c:v>
                </c:pt>
                <c:pt idx="13">
                  <c:v>142261312.48049879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AE-478A-AEE2-588AB197C9EF}"/>
            </c:ext>
          </c:extLst>
        </c:ser>
        <c:ser>
          <c:idx val="1"/>
          <c:order val="1"/>
          <c:tx>
            <c:v>Predicted Y</c:v>
          </c:tx>
          <c:spPr>
            <a:ln w="38100">
              <a:noFill/>
            </a:ln>
          </c:spPr>
          <c:xVal>
            <c:numRef>
              <c:f>Rota!$C$11:$C$24</c:f>
              <c:numCache>
                <c:formatCode>General</c:formatCode>
                <c:ptCount val="14"/>
                <c:pt idx="0">
                  <c:v>3029895.8736842112</c:v>
                </c:pt>
                <c:pt idx="1">
                  <c:v>7758595.6578421062</c:v>
                </c:pt>
                <c:pt idx="2">
                  <c:v>1545856.413622807</c:v>
                </c:pt>
                <c:pt idx="3">
                  <c:v>4340799.6761578955</c:v>
                </c:pt>
                <c:pt idx="4">
                  <c:v>3509131.2852894738</c:v>
                </c:pt>
                <c:pt idx="5">
                  <c:v>5934020.7698421059</c:v>
                </c:pt>
                <c:pt idx="6">
                  <c:v>11771289.003596492</c:v>
                </c:pt>
                <c:pt idx="7">
                  <c:v>21235065.818330705</c:v>
                </c:pt>
                <c:pt idx="8">
                  <c:v>35141118.636778519</c:v>
                </c:pt>
                <c:pt idx="9">
                  <c:v>44497769.475822374</c:v>
                </c:pt>
                <c:pt idx="10">
                  <c:v>55341923.767780691</c:v>
                </c:pt>
                <c:pt idx="11">
                  <c:v>66664536.867978521</c:v>
                </c:pt>
                <c:pt idx="12">
                  <c:v>93092909.247318864</c:v>
                </c:pt>
                <c:pt idx="13">
                  <c:v>126525666.33989815</c:v>
                </c:pt>
              </c:numCache>
            </c:numRef>
          </c:xVal>
          <c:yVal>
            <c:numRef>
              <c:f>Rota!$G$28:$G$41</c:f>
              <c:numCache>
                <c:formatCode>General</c:formatCode>
                <c:ptCount val="14"/>
                <c:pt idx="0">
                  <c:v>6695764.400592871</c:v>
                </c:pt>
                <c:pt idx="1">
                  <c:v>12373607.849724442</c:v>
                </c:pt>
                <c:pt idx="2">
                  <c:v>4913848.8400424439</c:v>
                </c:pt>
                <c:pt idx="3">
                  <c:v>8269792.549356469</c:v>
                </c:pt>
                <c:pt idx="4">
                  <c:v>7271191.8471587952</c:v>
                </c:pt>
                <c:pt idx="5">
                  <c:v>10182804.658964118</c:v>
                </c:pt>
                <c:pt idx="6">
                  <c:v>17191728.192845941</c:v>
                </c:pt>
                <c:pt idx="7">
                  <c:v>28555072.377139725</c:v>
                </c:pt>
                <c:pt idx="8">
                  <c:v>45252345.306798205</c:v>
                </c:pt>
                <c:pt idx="9">
                  <c:v>56487061.211211957</c:v>
                </c:pt>
                <c:pt idx="10">
                  <c:v>69507851.960974559</c:v>
                </c:pt>
                <c:pt idx="11">
                  <c:v>83103137.674266726</c:v>
                </c:pt>
                <c:pt idx="12">
                  <c:v>114836207.61623384</c:v>
                </c:pt>
                <c:pt idx="13">
                  <c:v>154979580.95544729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AE-478A-AEE2-588AB197C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071872"/>
        <c:axId val="164069472"/>
      </c:scatterChart>
      <c:valAx>
        <c:axId val="164071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4069472"/>
        <c:crosses val="autoZero"/>
        <c:crossBetween val="midCat"/>
      </c:valAx>
      <c:valAx>
        <c:axId val="1640694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407187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Rota!$K$28:$K$41</c:f>
              <c:numCache>
                <c:formatCode>General</c:formatCode>
                <c:ptCount val="14"/>
                <c:pt idx="0">
                  <c:v>3.5714285714285716</c:v>
                </c:pt>
                <c:pt idx="1">
                  <c:v>10.714285714285715</c:v>
                </c:pt>
                <c:pt idx="2">
                  <c:v>17.857142857142858</c:v>
                </c:pt>
                <c:pt idx="3">
                  <c:v>25.000000000000004</c:v>
                </c:pt>
                <c:pt idx="4">
                  <c:v>32.142857142857146</c:v>
                </c:pt>
                <c:pt idx="5">
                  <c:v>39.285714285714285</c:v>
                </c:pt>
                <c:pt idx="6">
                  <c:v>46.428571428571431</c:v>
                </c:pt>
                <c:pt idx="7">
                  <c:v>53.571428571428569</c:v>
                </c:pt>
                <c:pt idx="8">
                  <c:v>60.714285714285715</c:v>
                </c:pt>
                <c:pt idx="9">
                  <c:v>67.857142857142861</c:v>
                </c:pt>
                <c:pt idx="10">
                  <c:v>75</c:v>
                </c:pt>
                <c:pt idx="11">
                  <c:v>82.142857142857139</c:v>
                </c:pt>
                <c:pt idx="12">
                  <c:v>89.285714285714292</c:v>
                </c:pt>
                <c:pt idx="13">
                  <c:v>96.428571428571431</c:v>
                </c:pt>
              </c:numCache>
            </c:numRef>
          </c:xVal>
          <c:yVal>
            <c:numRef>
              <c:f>Rota!$L$28:$L$41</c:f>
              <c:numCache>
                <c:formatCode>General</c:formatCode>
                <c:ptCount val="14"/>
                <c:pt idx="0">
                  <c:v>1545856.413622807</c:v>
                </c:pt>
                <c:pt idx="1">
                  <c:v>3509131.2852894738</c:v>
                </c:pt>
                <c:pt idx="2">
                  <c:v>4340799.6761578955</c:v>
                </c:pt>
                <c:pt idx="3">
                  <c:v>5934020.7698421059</c:v>
                </c:pt>
                <c:pt idx="4">
                  <c:v>7758595.6578421062</c:v>
                </c:pt>
                <c:pt idx="5">
                  <c:v>11771289.003596492</c:v>
                </c:pt>
                <c:pt idx="6">
                  <c:v>21235065.818330705</c:v>
                </c:pt>
                <c:pt idx="7">
                  <c:v>35141118.636778519</c:v>
                </c:pt>
                <c:pt idx="8">
                  <c:v>44497769.475822374</c:v>
                </c:pt>
                <c:pt idx="9">
                  <c:v>55341923.767780691</c:v>
                </c:pt>
                <c:pt idx="10">
                  <c:v>66664536.867978521</c:v>
                </c:pt>
                <c:pt idx="11">
                  <c:v>93092909.247318864</c:v>
                </c:pt>
                <c:pt idx="12">
                  <c:v>126525666.33989815</c:v>
                </c:pt>
                <c:pt idx="13">
                  <c:v>142261312.48049879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41-44C5-8B34-4EBBA1D37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072352"/>
        <c:axId val="1689331823"/>
      </c:scatterChart>
      <c:valAx>
        <c:axId val="164072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9331823"/>
        <c:crosses val="autoZero"/>
        <c:crossBetween val="midCat"/>
      </c:valAx>
      <c:valAx>
        <c:axId val="16893318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407235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'PCV '!$C$13:$C$24</c:f>
              <c:numCache>
                <c:formatCode>General</c:formatCode>
                <c:ptCount val="12"/>
                <c:pt idx="0">
                  <c:v>6300.6315789473692</c:v>
                </c:pt>
                <c:pt idx="1">
                  <c:v>1716887.879922929</c:v>
                </c:pt>
                <c:pt idx="2">
                  <c:v>1579536.4100666936</c:v>
                </c:pt>
                <c:pt idx="3">
                  <c:v>9327523.8119436298</c:v>
                </c:pt>
                <c:pt idx="4">
                  <c:v>23147609.055447347</c:v>
                </c:pt>
                <c:pt idx="5">
                  <c:v>41170015.45411174</c:v>
                </c:pt>
                <c:pt idx="6">
                  <c:v>66222136.368070766</c:v>
                </c:pt>
                <c:pt idx="7">
                  <c:v>89756383.940039173</c:v>
                </c:pt>
                <c:pt idx="8">
                  <c:v>107603981.35436857</c:v>
                </c:pt>
                <c:pt idx="9">
                  <c:v>127327220.75884214</c:v>
                </c:pt>
                <c:pt idx="10">
                  <c:v>136528866.40202385</c:v>
                </c:pt>
                <c:pt idx="11">
                  <c:v>145562504.84282181</c:v>
                </c:pt>
              </c:numCache>
            </c:numRef>
          </c:xVal>
          <c:yVal>
            <c:numRef>
              <c:f>'PCV '!$H$28:$H$39</c:f>
              <c:numCache>
                <c:formatCode>General</c:formatCode>
                <c:ptCount val="12"/>
                <c:pt idx="0">
                  <c:v>-10337055.668932317</c:v>
                </c:pt>
                <c:pt idx="1">
                  <c:v>-12178684.258606339</c:v>
                </c:pt>
                <c:pt idx="2">
                  <c:v>-4293852.05815164</c:v>
                </c:pt>
                <c:pt idx="3">
                  <c:v>1806827.0770469829</c:v>
                </c:pt>
                <c:pt idx="4">
                  <c:v>6060128.6859751418</c:v>
                </c:pt>
                <c:pt idx="5">
                  <c:v>13156325.45807191</c:v>
                </c:pt>
                <c:pt idx="6">
                  <c:v>11730866.053443357</c:v>
                </c:pt>
                <c:pt idx="7">
                  <c:v>6131030.600573197</c:v>
                </c:pt>
                <c:pt idx="8">
                  <c:v>8072510.0004590899</c:v>
                </c:pt>
                <c:pt idx="9">
                  <c:v>-2376327.3576059937</c:v>
                </c:pt>
                <c:pt idx="10">
                  <c:v>-2510390.914778322</c:v>
                </c:pt>
                <c:pt idx="11">
                  <c:v>-15261377.61749506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93-40F3-8AF7-199372644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1372703"/>
        <c:axId val="1491373663"/>
      </c:scatterChart>
      <c:valAx>
        <c:axId val="14913727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1373663"/>
        <c:crosses val="autoZero"/>
        <c:crossBetween val="midCat"/>
      </c:valAx>
      <c:valAx>
        <c:axId val="14913736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1372703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38100">
              <a:noFill/>
            </a:ln>
          </c:spPr>
          <c:xVal>
            <c:numRef>
              <c:f>'PCV '!$C$13:$C$24</c:f>
              <c:numCache>
                <c:formatCode>General</c:formatCode>
                <c:ptCount val="12"/>
                <c:pt idx="0">
                  <c:v>6300.6315789473692</c:v>
                </c:pt>
                <c:pt idx="1">
                  <c:v>1716887.879922929</c:v>
                </c:pt>
                <c:pt idx="2">
                  <c:v>1579536.4100666936</c:v>
                </c:pt>
                <c:pt idx="3">
                  <c:v>9327523.8119436298</c:v>
                </c:pt>
                <c:pt idx="4">
                  <c:v>23147609.055447347</c:v>
                </c:pt>
                <c:pt idx="5">
                  <c:v>41170015.45411174</c:v>
                </c:pt>
                <c:pt idx="6">
                  <c:v>66222136.368070766</c:v>
                </c:pt>
                <c:pt idx="7">
                  <c:v>89756383.940039173</c:v>
                </c:pt>
                <c:pt idx="8">
                  <c:v>107603981.35436857</c:v>
                </c:pt>
                <c:pt idx="9">
                  <c:v>127327220.75884214</c:v>
                </c:pt>
                <c:pt idx="10">
                  <c:v>136528866.40202385</c:v>
                </c:pt>
                <c:pt idx="11">
                  <c:v>145562504.84282181</c:v>
                </c:pt>
              </c:numCache>
            </c:numRef>
          </c:xVal>
          <c:yVal>
            <c:numRef>
              <c:f>'PCV '!$B$13:$B$24</c:f>
              <c:numCache>
                <c:formatCode>General</c:formatCode>
                <c:ptCount val="12"/>
                <c:pt idx="0">
                  <c:v>1716887.879922929</c:v>
                </c:pt>
                <c:pt idx="1">
                  <c:v>1579536.4100666936</c:v>
                </c:pt>
                <c:pt idx="2">
                  <c:v>9327523.8119436298</c:v>
                </c:pt>
                <c:pt idx="3">
                  <c:v>23147609.055447347</c:v>
                </c:pt>
                <c:pt idx="4">
                  <c:v>41170015.45411174</c:v>
                </c:pt>
                <c:pt idx="5">
                  <c:v>66222136.368070766</c:v>
                </c:pt>
                <c:pt idx="6">
                  <c:v>89756383.940039173</c:v>
                </c:pt>
                <c:pt idx="7">
                  <c:v>107603981.35436857</c:v>
                </c:pt>
                <c:pt idx="8">
                  <c:v>127327220.75884214</c:v>
                </c:pt>
                <c:pt idx="9">
                  <c:v>136528866.40202385</c:v>
                </c:pt>
                <c:pt idx="10">
                  <c:v>145562504.84282181</c:v>
                </c:pt>
                <c:pt idx="11">
                  <c:v>141811832.69188434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A2-4304-8C98-6FD6FEAFD5A2}"/>
            </c:ext>
          </c:extLst>
        </c:ser>
        <c:ser>
          <c:idx val="1"/>
          <c:order val="1"/>
          <c:tx>
            <c:v>Predicted Y</c:v>
          </c:tx>
          <c:spPr>
            <a:ln w="38100">
              <a:noFill/>
            </a:ln>
          </c:spPr>
          <c:xVal>
            <c:numRef>
              <c:f>'PCV '!$C$13:$C$24</c:f>
              <c:numCache>
                <c:formatCode>General</c:formatCode>
                <c:ptCount val="12"/>
                <c:pt idx="0">
                  <c:v>6300.6315789473692</c:v>
                </c:pt>
                <c:pt idx="1">
                  <c:v>1716887.879922929</c:v>
                </c:pt>
                <c:pt idx="2">
                  <c:v>1579536.4100666936</c:v>
                </c:pt>
                <c:pt idx="3">
                  <c:v>9327523.8119436298</c:v>
                </c:pt>
                <c:pt idx="4">
                  <c:v>23147609.055447347</c:v>
                </c:pt>
                <c:pt idx="5">
                  <c:v>41170015.45411174</c:v>
                </c:pt>
                <c:pt idx="6">
                  <c:v>66222136.368070766</c:v>
                </c:pt>
                <c:pt idx="7">
                  <c:v>89756383.940039173</c:v>
                </c:pt>
                <c:pt idx="8">
                  <c:v>107603981.35436857</c:v>
                </c:pt>
                <c:pt idx="9">
                  <c:v>127327220.75884214</c:v>
                </c:pt>
                <c:pt idx="10">
                  <c:v>136528866.40202385</c:v>
                </c:pt>
                <c:pt idx="11">
                  <c:v>145562504.84282181</c:v>
                </c:pt>
              </c:numCache>
            </c:numRef>
          </c:xVal>
          <c:yVal>
            <c:numRef>
              <c:f>'PCV '!$G$28:$G$39</c:f>
              <c:numCache>
                <c:formatCode>General</c:formatCode>
                <c:ptCount val="12"/>
                <c:pt idx="0">
                  <c:v>12053943.548855245</c:v>
                </c:pt>
                <c:pt idx="1">
                  <c:v>13758220.668673033</c:v>
                </c:pt>
                <c:pt idx="2">
                  <c:v>13621375.87009527</c:v>
                </c:pt>
                <c:pt idx="3">
                  <c:v>21340781.978400365</c:v>
                </c:pt>
                <c:pt idx="4">
                  <c:v>35109886.768136598</c:v>
                </c:pt>
                <c:pt idx="5">
                  <c:v>53065810.909998856</c:v>
                </c:pt>
                <c:pt idx="6">
                  <c:v>78025517.886595815</c:v>
                </c:pt>
                <c:pt idx="7">
                  <c:v>101472950.75379537</c:v>
                </c:pt>
                <c:pt idx="8">
                  <c:v>119254710.75838305</c:v>
                </c:pt>
                <c:pt idx="9">
                  <c:v>138905193.75962985</c:v>
                </c:pt>
                <c:pt idx="10">
                  <c:v>148072895.75760013</c:v>
                </c:pt>
                <c:pt idx="11">
                  <c:v>157073210.3093794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A2-4304-8C98-6FD6FEAFD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9379279"/>
        <c:axId val="2019380239"/>
      </c:scatterChart>
      <c:valAx>
        <c:axId val="20193792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19380239"/>
        <c:crosses val="autoZero"/>
        <c:crossBetween val="midCat"/>
      </c:valAx>
      <c:valAx>
        <c:axId val="20193802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193792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'PCV '!$K$28:$K$39</c:f>
              <c:numCache>
                <c:formatCode>General</c:formatCode>
                <c:ptCount val="12"/>
                <c:pt idx="0">
                  <c:v>4.166666666666667</c:v>
                </c:pt>
                <c:pt idx="1">
                  <c:v>12.5</c:v>
                </c:pt>
                <c:pt idx="2">
                  <c:v>20.833333333333336</c:v>
                </c:pt>
                <c:pt idx="3">
                  <c:v>29.166666666666668</c:v>
                </c:pt>
                <c:pt idx="4">
                  <c:v>37.5</c:v>
                </c:pt>
                <c:pt idx="5">
                  <c:v>45.833333333333336</c:v>
                </c:pt>
                <c:pt idx="6">
                  <c:v>54.166666666666664</c:v>
                </c:pt>
                <c:pt idx="7">
                  <c:v>62.5</c:v>
                </c:pt>
                <c:pt idx="8">
                  <c:v>70.833333333333343</c:v>
                </c:pt>
                <c:pt idx="9">
                  <c:v>79.166666666666671</c:v>
                </c:pt>
                <c:pt idx="10">
                  <c:v>87.500000000000014</c:v>
                </c:pt>
                <c:pt idx="11">
                  <c:v>95.833333333333343</c:v>
                </c:pt>
              </c:numCache>
            </c:numRef>
          </c:xVal>
          <c:yVal>
            <c:numRef>
              <c:f>'PCV '!$L$28:$L$39</c:f>
              <c:numCache>
                <c:formatCode>General</c:formatCode>
                <c:ptCount val="12"/>
                <c:pt idx="0">
                  <c:v>1579536.4100666936</c:v>
                </c:pt>
                <c:pt idx="1">
                  <c:v>1716887.879922929</c:v>
                </c:pt>
                <c:pt idx="2">
                  <c:v>9327523.8119436298</c:v>
                </c:pt>
                <c:pt idx="3">
                  <c:v>23147609.055447347</c:v>
                </c:pt>
                <c:pt idx="4">
                  <c:v>41170015.45411174</c:v>
                </c:pt>
                <c:pt idx="5">
                  <c:v>66222136.368070766</c:v>
                </c:pt>
                <c:pt idx="6">
                  <c:v>89756383.940039173</c:v>
                </c:pt>
                <c:pt idx="7">
                  <c:v>107603981.35436857</c:v>
                </c:pt>
                <c:pt idx="8">
                  <c:v>127327220.75884214</c:v>
                </c:pt>
                <c:pt idx="9">
                  <c:v>136528866.40202385</c:v>
                </c:pt>
                <c:pt idx="10">
                  <c:v>141811832.69188434</c:v>
                </c:pt>
                <c:pt idx="11">
                  <c:v>145562504.84282181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DB-4608-9E8E-6F1C058DF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3213647"/>
        <c:axId val="2019378799"/>
      </c:scatterChart>
      <c:valAx>
        <c:axId val="11332136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19378799"/>
        <c:crosses val="autoZero"/>
        <c:crossBetween val="midCat"/>
      </c:valAx>
      <c:valAx>
        <c:axId val="20193787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3321364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'PCV '!$B$12:$B$24</c:f>
              <c:numCache>
                <c:formatCode>General</c:formatCode>
                <c:ptCount val="13"/>
                <c:pt idx="0">
                  <c:v>6300.6315789473692</c:v>
                </c:pt>
                <c:pt idx="1">
                  <c:v>1716887.879922929</c:v>
                </c:pt>
                <c:pt idx="2">
                  <c:v>1579536.4100666936</c:v>
                </c:pt>
                <c:pt idx="3">
                  <c:v>9327523.8119436298</c:v>
                </c:pt>
                <c:pt idx="4">
                  <c:v>23147609.055447347</c:v>
                </c:pt>
                <c:pt idx="5">
                  <c:v>41170015.45411174</c:v>
                </c:pt>
                <c:pt idx="6">
                  <c:v>66222136.368070766</c:v>
                </c:pt>
                <c:pt idx="7">
                  <c:v>89756383.940039173</c:v>
                </c:pt>
                <c:pt idx="8">
                  <c:v>107603981.35436857</c:v>
                </c:pt>
                <c:pt idx="9">
                  <c:v>127327220.75884214</c:v>
                </c:pt>
                <c:pt idx="10">
                  <c:v>136528866.40202385</c:v>
                </c:pt>
                <c:pt idx="11">
                  <c:v>145562504.84282181</c:v>
                </c:pt>
                <c:pt idx="12">
                  <c:v>141811832.69188434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5D-49D5-94F8-5BCE37118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6227279"/>
        <c:axId val="1616227759"/>
      </c:lineChart>
      <c:catAx>
        <c:axId val="16162272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227759"/>
        <c:crosses val="autoZero"/>
        <c:auto val="1"/>
        <c:lblAlgn val="ctr"/>
        <c:lblOffset val="100"/>
        <c:noMultiLvlLbl val="0"/>
      </c:catAx>
      <c:valAx>
        <c:axId val="161622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227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chart" Target="../charts/chart36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5" Type="http://schemas.openxmlformats.org/officeDocument/2006/relationships/chart" Target="../charts/chart41.xml"/><Relationship Id="rId4" Type="http://schemas.openxmlformats.org/officeDocument/2006/relationships/chart" Target="../charts/chart40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4.xml"/><Relationship Id="rId2" Type="http://schemas.openxmlformats.org/officeDocument/2006/relationships/chart" Target="../charts/chart43.xml"/><Relationship Id="rId1" Type="http://schemas.openxmlformats.org/officeDocument/2006/relationships/chart" Target="../charts/chart42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0.xml"/><Relationship Id="rId2" Type="http://schemas.openxmlformats.org/officeDocument/2006/relationships/chart" Target="../charts/chart49.xml"/><Relationship Id="rId1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.xml"/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6.xml"/><Relationship Id="rId2" Type="http://schemas.openxmlformats.org/officeDocument/2006/relationships/chart" Target="../charts/chart55.xml"/><Relationship Id="rId1" Type="http://schemas.openxmlformats.org/officeDocument/2006/relationships/chart" Target="../charts/chart54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9.xml"/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2.xml"/><Relationship Id="rId2" Type="http://schemas.openxmlformats.org/officeDocument/2006/relationships/chart" Target="../charts/chart61.xml"/><Relationship Id="rId1" Type="http://schemas.openxmlformats.org/officeDocument/2006/relationships/chart" Target="../charts/chart60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5.xml"/><Relationship Id="rId2" Type="http://schemas.openxmlformats.org/officeDocument/2006/relationships/chart" Target="../charts/chart64.xml"/><Relationship Id="rId1" Type="http://schemas.openxmlformats.org/officeDocument/2006/relationships/chart" Target="../charts/chart63.xml"/><Relationship Id="rId4" Type="http://schemas.openxmlformats.org/officeDocument/2006/relationships/chart" Target="../charts/chart6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31</xdr:row>
      <xdr:rowOff>136525</xdr:rowOff>
    </xdr:from>
    <xdr:to>
      <xdr:col>11</xdr:col>
      <xdr:colOff>419100</xdr:colOff>
      <xdr:row>46</xdr:row>
      <xdr:rowOff>22225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ABC3E7-4862-ED37-AE16-6149A6CFAC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549275</xdr:colOff>
      <xdr:row>4</xdr:row>
      <xdr:rowOff>3174</xdr:rowOff>
    </xdr:from>
    <xdr:to>
      <xdr:col>27</xdr:col>
      <xdr:colOff>511175</xdr:colOff>
      <xdr:row>25</xdr:row>
      <xdr:rowOff>187324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B5C3AF-1477-F566-CD7F-6B4B899C0D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474889</xdr:colOff>
      <xdr:row>42</xdr:row>
      <xdr:rowOff>28575</xdr:rowOff>
    </xdr:from>
    <xdr:to>
      <xdr:col>37</xdr:col>
      <xdr:colOff>170090</xdr:colOff>
      <xdr:row>56</xdr:row>
      <xdr:rowOff>123826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0A6CEA6-C89C-E915-38A0-44F434C8C6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247649</xdr:colOff>
      <xdr:row>3</xdr:row>
      <xdr:rowOff>180975</xdr:rowOff>
    </xdr:from>
    <xdr:to>
      <xdr:col>26</xdr:col>
      <xdr:colOff>272142</xdr:colOff>
      <xdr:row>28</xdr:row>
      <xdr:rowOff>45357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A4A74EE-96E9-4EF0-970F-6A5AE98193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280307</xdr:colOff>
      <xdr:row>9</xdr:row>
      <xdr:rowOff>30389</xdr:rowOff>
    </xdr:from>
    <xdr:to>
      <xdr:col>33</xdr:col>
      <xdr:colOff>280307</xdr:colOff>
      <xdr:row>19</xdr:row>
      <xdr:rowOff>14968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B99839C-619A-08B6-7C12-DFDADB53D2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551997</xdr:colOff>
      <xdr:row>19</xdr:row>
      <xdr:rowOff>77561</xdr:rowOff>
    </xdr:from>
    <xdr:to>
      <xdr:col>33</xdr:col>
      <xdr:colOff>551997</xdr:colOff>
      <xdr:row>29</xdr:row>
      <xdr:rowOff>80283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C1F88C2-DFAE-CDB1-B929-F62621B87F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152400</xdr:colOff>
      <xdr:row>32</xdr:row>
      <xdr:rowOff>44450</xdr:rowOff>
    </xdr:from>
    <xdr:to>
      <xdr:col>34</xdr:col>
      <xdr:colOff>152400</xdr:colOff>
      <xdr:row>42</xdr:row>
      <xdr:rowOff>47625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856F26C-F87A-9B6C-640B-1B45359B50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247650</xdr:colOff>
      <xdr:row>2</xdr:row>
      <xdr:rowOff>180975</xdr:rowOff>
    </xdr:from>
    <xdr:to>
      <xdr:col>25</xdr:col>
      <xdr:colOff>680357</xdr:colOff>
      <xdr:row>27</xdr:row>
      <xdr:rowOff>181429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84A22D-7D90-B0BC-EA7E-D498627A7A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211364</xdr:colOff>
      <xdr:row>13</xdr:row>
      <xdr:rowOff>93436</xdr:rowOff>
    </xdr:from>
    <xdr:to>
      <xdr:col>32</xdr:col>
      <xdr:colOff>438150</xdr:colOff>
      <xdr:row>23</xdr:row>
      <xdr:rowOff>80736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D109BB-C7F3-A634-1D69-FAD33DF378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315233</xdr:colOff>
      <xdr:row>2</xdr:row>
      <xdr:rowOff>76199</xdr:rowOff>
    </xdr:from>
    <xdr:to>
      <xdr:col>32</xdr:col>
      <xdr:colOff>542019</xdr:colOff>
      <xdr:row>12</xdr:row>
      <xdr:rowOff>82096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8A16EC-5545-EBB4-F016-CA14C390E8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266892</xdr:colOff>
      <xdr:row>60</xdr:row>
      <xdr:rowOff>1893</xdr:rowOff>
    </xdr:from>
    <xdr:to>
      <xdr:col>27</xdr:col>
      <xdr:colOff>44898</xdr:colOff>
      <xdr:row>81</xdr:row>
      <xdr:rowOff>141111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E0D0165-F6BD-4BBD-A8FA-C94425F4D5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568751</xdr:colOff>
      <xdr:row>25</xdr:row>
      <xdr:rowOff>134683</xdr:rowOff>
    </xdr:from>
    <xdr:to>
      <xdr:col>35</xdr:col>
      <xdr:colOff>263439</xdr:colOff>
      <xdr:row>39</xdr:row>
      <xdr:rowOff>176123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A6AD93C-3FC3-D1BC-883E-E92A5AB79A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247650</xdr:colOff>
      <xdr:row>2</xdr:row>
      <xdr:rowOff>180974</xdr:rowOff>
    </xdr:from>
    <xdr:to>
      <xdr:col>25</xdr:col>
      <xdr:colOff>552450</xdr:colOff>
      <xdr:row>25</xdr:row>
      <xdr:rowOff>82549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3F0E99-005D-DB7E-44F6-90802BEA14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282575</xdr:colOff>
      <xdr:row>2</xdr:row>
      <xdr:rowOff>165100</xdr:rowOff>
    </xdr:from>
    <xdr:to>
      <xdr:col>33</xdr:col>
      <xdr:colOff>282575</xdr:colOff>
      <xdr:row>12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06058E-27C2-2214-DE5F-CC1E1D03BB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69850</xdr:colOff>
      <xdr:row>14</xdr:row>
      <xdr:rowOff>9525</xdr:rowOff>
    </xdr:from>
    <xdr:to>
      <xdr:col>34</xdr:col>
      <xdr:colOff>69850</xdr:colOff>
      <xdr:row>24</xdr:row>
      <xdr:rowOff>15875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7BCE99-DCD9-0E9D-62E9-C673F40C42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403225</xdr:colOff>
      <xdr:row>29</xdr:row>
      <xdr:rowOff>136525</xdr:rowOff>
    </xdr:from>
    <xdr:to>
      <xdr:col>22</xdr:col>
      <xdr:colOff>98425</xdr:colOff>
      <xdr:row>44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E0B7048-D191-45BB-657D-8F5A5EE064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3</xdr:row>
      <xdr:rowOff>174624</xdr:rowOff>
    </xdr:from>
    <xdr:to>
      <xdr:col>25</xdr:col>
      <xdr:colOff>203200</xdr:colOff>
      <xdr:row>24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24B036-CFA8-21F4-1762-4280FA83F8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523875</xdr:colOff>
      <xdr:row>14</xdr:row>
      <xdr:rowOff>98425</xdr:rowOff>
    </xdr:from>
    <xdr:to>
      <xdr:col>31</xdr:col>
      <xdr:colOff>523875</xdr:colOff>
      <xdr:row>24</xdr:row>
      <xdr:rowOff>92075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A2AC89-FCE8-B400-4333-527D53DDCE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431800</xdr:colOff>
      <xdr:row>3</xdr:row>
      <xdr:rowOff>88900</xdr:rowOff>
    </xdr:from>
    <xdr:to>
      <xdr:col>31</xdr:col>
      <xdr:colOff>431800</xdr:colOff>
      <xdr:row>13</xdr:row>
      <xdr:rowOff>92075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2EE3B8-CAB8-EEC1-3D41-F5A903D3A9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447675</xdr:colOff>
      <xdr:row>30</xdr:row>
      <xdr:rowOff>34925</xdr:rowOff>
    </xdr:from>
    <xdr:to>
      <xdr:col>22</xdr:col>
      <xdr:colOff>142875</xdr:colOff>
      <xdr:row>44</xdr:row>
      <xdr:rowOff>107950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7A8081F-2A49-E647-FBDA-E9290C76D1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247650</xdr:colOff>
      <xdr:row>3</xdr:row>
      <xdr:rowOff>180975</xdr:rowOff>
    </xdr:from>
    <xdr:to>
      <xdr:col>25</xdr:col>
      <xdr:colOff>596900</xdr:colOff>
      <xdr:row>25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BC2EC7-5689-B970-83DA-508A5E7A56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333375</xdr:colOff>
      <xdr:row>12</xdr:row>
      <xdr:rowOff>200025</xdr:rowOff>
    </xdr:from>
    <xdr:to>
      <xdr:col>33</xdr:col>
      <xdr:colOff>333375</xdr:colOff>
      <xdr:row>22</xdr:row>
      <xdr:rowOff>174625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B61920-9551-8641-73E0-95335CC794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317500</xdr:colOff>
      <xdr:row>2</xdr:row>
      <xdr:rowOff>15875</xdr:rowOff>
    </xdr:from>
    <xdr:to>
      <xdr:col>33</xdr:col>
      <xdr:colOff>317500</xdr:colOff>
      <xdr:row>12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8209DE-00A2-9E95-1344-D94062672F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288925</xdr:colOff>
      <xdr:row>26</xdr:row>
      <xdr:rowOff>168275</xdr:rowOff>
    </xdr:from>
    <xdr:to>
      <xdr:col>21</xdr:col>
      <xdr:colOff>593725</xdr:colOff>
      <xdr:row>41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3B31FF7-7E47-FC6A-4660-C7309E0ABB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247650</xdr:colOff>
      <xdr:row>3</xdr:row>
      <xdr:rowOff>180975</xdr:rowOff>
    </xdr:from>
    <xdr:to>
      <xdr:col>26</xdr:col>
      <xdr:colOff>209550</xdr:colOff>
      <xdr:row>27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1CDE6A-ADF0-28CC-2912-5EFAFC9333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212725</xdr:colOff>
      <xdr:row>16</xdr:row>
      <xdr:rowOff>60325</xdr:rowOff>
    </xdr:from>
    <xdr:to>
      <xdr:col>33</xdr:col>
      <xdr:colOff>212725</xdr:colOff>
      <xdr:row>26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CE3C04-F94F-1FB4-6590-15406CD0DA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168275</xdr:colOff>
      <xdr:row>4</xdr:row>
      <xdr:rowOff>168275</xdr:rowOff>
    </xdr:from>
    <xdr:to>
      <xdr:col>33</xdr:col>
      <xdr:colOff>168275</xdr:colOff>
      <xdr:row>14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88FD65-9A52-6EA5-93F3-16CB8A8914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260350</xdr:colOff>
      <xdr:row>33</xdr:row>
      <xdr:rowOff>168275</xdr:rowOff>
    </xdr:from>
    <xdr:to>
      <xdr:col>23</xdr:col>
      <xdr:colOff>565150</xdr:colOff>
      <xdr:row>48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6DF7C92-930C-9CD1-3874-E19B9A608B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247650</xdr:colOff>
      <xdr:row>3</xdr:row>
      <xdr:rowOff>180975</xdr:rowOff>
    </xdr:from>
    <xdr:to>
      <xdr:col>23</xdr:col>
      <xdr:colOff>533400</xdr:colOff>
      <xdr:row>23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181ABD-B525-16FD-ACB1-231D2B817E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3175</xdr:colOff>
      <xdr:row>12</xdr:row>
      <xdr:rowOff>25400</xdr:rowOff>
    </xdr:from>
    <xdr:to>
      <xdr:col>31</xdr:col>
      <xdr:colOff>3175</xdr:colOff>
      <xdr:row>22</xdr:row>
      <xdr:rowOff>3175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925B1C-E0A8-C5AC-FE15-0552BDAC24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568325</xdr:colOff>
      <xdr:row>1</xdr:row>
      <xdr:rowOff>34925</xdr:rowOff>
    </xdr:from>
    <xdr:to>
      <xdr:col>30</xdr:col>
      <xdr:colOff>568325</xdr:colOff>
      <xdr:row>11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85B69F-0477-1322-CBB3-EF7D507BEC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203200</xdr:colOff>
      <xdr:row>30</xdr:row>
      <xdr:rowOff>98425</xdr:rowOff>
    </xdr:from>
    <xdr:to>
      <xdr:col>23</xdr:col>
      <xdr:colOff>508000</xdr:colOff>
      <xdr:row>44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130B8E8-E633-BCF0-76B4-551E322779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247650</xdr:colOff>
      <xdr:row>3</xdr:row>
      <xdr:rowOff>180975</xdr:rowOff>
    </xdr:from>
    <xdr:to>
      <xdr:col>25</xdr:col>
      <xdr:colOff>57150</xdr:colOff>
      <xdr:row>24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782090-ED88-F29A-7EE4-360E32A368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387350</xdr:colOff>
      <xdr:row>12</xdr:row>
      <xdr:rowOff>193675</xdr:rowOff>
    </xdr:from>
    <xdr:to>
      <xdr:col>31</xdr:col>
      <xdr:colOff>387350</xdr:colOff>
      <xdr:row>22</xdr:row>
      <xdr:rowOff>168275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8D9A4C-FA57-7936-BE50-0A0104F011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415925</xdr:colOff>
      <xdr:row>1</xdr:row>
      <xdr:rowOff>184150</xdr:rowOff>
    </xdr:from>
    <xdr:to>
      <xdr:col>31</xdr:col>
      <xdr:colOff>415925</xdr:colOff>
      <xdr:row>12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E2C94E7-1BD5-3F37-C5B9-338B1A29B1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400050</xdr:colOff>
      <xdr:row>29</xdr:row>
      <xdr:rowOff>149225</xdr:rowOff>
    </xdr:from>
    <xdr:to>
      <xdr:col>25</xdr:col>
      <xdr:colOff>95250</xdr:colOff>
      <xdr:row>44</xdr:row>
      <xdr:rowOff>31750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425864-6396-60BB-174D-63BDFA1164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247650</xdr:colOff>
      <xdr:row>3</xdr:row>
      <xdr:rowOff>180975</xdr:rowOff>
    </xdr:from>
    <xdr:to>
      <xdr:col>26</xdr:col>
      <xdr:colOff>44450</xdr:colOff>
      <xdr:row>28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239F15-C1C9-61F2-FD72-856FE8E9A9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257175</xdr:colOff>
      <xdr:row>3</xdr:row>
      <xdr:rowOff>161925</xdr:rowOff>
    </xdr:from>
    <xdr:to>
      <xdr:col>34</xdr:col>
      <xdr:colOff>257175</xdr:colOff>
      <xdr:row>13</xdr:row>
      <xdr:rowOff>149225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FC43F4-2091-DA5F-8DB4-304A0949BC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225425</xdr:colOff>
      <xdr:row>27</xdr:row>
      <xdr:rowOff>47625</xdr:rowOff>
    </xdr:from>
    <xdr:to>
      <xdr:col>34</xdr:col>
      <xdr:colOff>225425</xdr:colOff>
      <xdr:row>37</xdr:row>
      <xdr:rowOff>82550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D1E7C5-1BDD-F237-E936-015A6A8740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247650</xdr:colOff>
      <xdr:row>16</xdr:row>
      <xdr:rowOff>0</xdr:rowOff>
    </xdr:from>
    <xdr:to>
      <xdr:col>34</xdr:col>
      <xdr:colOff>247650</xdr:colOff>
      <xdr:row>25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1F0CC6A-C222-8301-07AB-179B773287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469900</xdr:colOff>
      <xdr:row>32</xdr:row>
      <xdr:rowOff>79375</xdr:rowOff>
    </xdr:from>
    <xdr:to>
      <xdr:col>22</xdr:col>
      <xdr:colOff>165100</xdr:colOff>
      <xdr:row>46</xdr:row>
      <xdr:rowOff>130175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1B0AA2D-83BD-3D1A-649E-2E5FCBED52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247650</xdr:colOff>
      <xdr:row>3</xdr:row>
      <xdr:rowOff>180975</xdr:rowOff>
    </xdr:from>
    <xdr:to>
      <xdr:col>24</xdr:col>
      <xdr:colOff>508000</xdr:colOff>
      <xdr:row>24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DB92EA-C3AE-5BBD-D878-5270EA996A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136525</xdr:colOff>
      <xdr:row>16</xdr:row>
      <xdr:rowOff>187325</xdr:rowOff>
    </xdr:from>
    <xdr:to>
      <xdr:col>33</xdr:col>
      <xdr:colOff>136525</xdr:colOff>
      <xdr:row>26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855710-43B6-4DC6-858A-6D9EB752D9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244475</xdr:colOff>
      <xdr:row>5</xdr:row>
      <xdr:rowOff>98425</xdr:rowOff>
    </xdr:from>
    <xdr:to>
      <xdr:col>33</xdr:col>
      <xdr:colOff>244475</xdr:colOff>
      <xdr:row>15</xdr:row>
      <xdr:rowOff>117475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F27445-D0E8-A7B0-C67F-7AB21FD54A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247650</xdr:colOff>
      <xdr:row>3</xdr:row>
      <xdr:rowOff>180975</xdr:rowOff>
    </xdr:from>
    <xdr:to>
      <xdr:col>25</xdr:col>
      <xdr:colOff>400050</xdr:colOff>
      <xdr:row>23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9BAB7E-7425-7EA7-BFEA-C7A3D0142F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225425</xdr:colOff>
      <xdr:row>13</xdr:row>
      <xdr:rowOff>22225</xdr:rowOff>
    </xdr:from>
    <xdr:to>
      <xdr:col>32</xdr:col>
      <xdr:colOff>225425</xdr:colOff>
      <xdr:row>23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099BFC-D20E-56CB-5B26-FA9A42620B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219075</xdr:colOff>
      <xdr:row>2</xdr:row>
      <xdr:rowOff>47625</xdr:rowOff>
    </xdr:from>
    <xdr:to>
      <xdr:col>32</xdr:col>
      <xdr:colOff>219075</xdr:colOff>
      <xdr:row>12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12DE43-47B2-6DD9-9FDE-0D0A544CB2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247650</xdr:colOff>
      <xdr:row>3</xdr:row>
      <xdr:rowOff>180975</xdr:rowOff>
    </xdr:from>
    <xdr:to>
      <xdr:col>24</xdr:col>
      <xdr:colOff>457200</xdr:colOff>
      <xdr:row>27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1A00CE-2C05-FDA6-C474-28C2243A60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590550</xdr:colOff>
      <xdr:row>12</xdr:row>
      <xdr:rowOff>142875</xdr:rowOff>
    </xdr:from>
    <xdr:to>
      <xdr:col>31</xdr:col>
      <xdr:colOff>590550</xdr:colOff>
      <xdr:row>22</xdr:row>
      <xdr:rowOff>117475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4FFC2E-EAD5-A753-524E-A894F64564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1</xdr:row>
      <xdr:rowOff>117475</xdr:rowOff>
    </xdr:from>
    <xdr:to>
      <xdr:col>32</xdr:col>
      <xdr:colOff>0</xdr:colOff>
      <xdr:row>11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AA0F17-F08B-A3C5-547A-C17D493CB5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247650</xdr:colOff>
      <xdr:row>3</xdr:row>
      <xdr:rowOff>180975</xdr:rowOff>
    </xdr:from>
    <xdr:to>
      <xdr:col>25</xdr:col>
      <xdr:colOff>209550</xdr:colOff>
      <xdr:row>23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48EF11E-D2AE-EA9D-E90E-B4D99EC8D3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565150</xdr:colOff>
      <xdr:row>12</xdr:row>
      <xdr:rowOff>168275</xdr:rowOff>
    </xdr:from>
    <xdr:to>
      <xdr:col>31</xdr:col>
      <xdr:colOff>565150</xdr:colOff>
      <xdr:row>22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527BFCB-FBC3-EE4A-DEBB-6A32D22675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584200</xdr:colOff>
      <xdr:row>1</xdr:row>
      <xdr:rowOff>187325</xdr:rowOff>
    </xdr:from>
    <xdr:to>
      <xdr:col>31</xdr:col>
      <xdr:colOff>584200</xdr:colOff>
      <xdr:row>12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46634F1-C6E1-E3A5-9713-018562E58E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161924</xdr:colOff>
      <xdr:row>3</xdr:row>
      <xdr:rowOff>15875</xdr:rowOff>
    </xdr:from>
    <xdr:to>
      <xdr:col>24</xdr:col>
      <xdr:colOff>234949</xdr:colOff>
      <xdr:row>23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C1FB69-BDD1-BD21-C8DC-3287A0FA13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260350</xdr:colOff>
      <xdr:row>13</xdr:row>
      <xdr:rowOff>60325</xdr:rowOff>
    </xdr:from>
    <xdr:to>
      <xdr:col>31</xdr:col>
      <xdr:colOff>260350</xdr:colOff>
      <xdr:row>23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9024B2-FCD8-C152-5843-61264DED72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228600</xdr:colOff>
      <xdr:row>2</xdr:row>
      <xdr:rowOff>98425</xdr:rowOff>
    </xdr:from>
    <xdr:to>
      <xdr:col>31</xdr:col>
      <xdr:colOff>228600</xdr:colOff>
      <xdr:row>12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AD3F39-58F2-B3ED-7577-083537AF31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247650</xdr:colOff>
      <xdr:row>3</xdr:row>
      <xdr:rowOff>180975</xdr:rowOff>
    </xdr:from>
    <xdr:to>
      <xdr:col>24</xdr:col>
      <xdr:colOff>63500</xdr:colOff>
      <xdr:row>22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D99879-6818-57C2-349E-F5A814F289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285750</xdr:colOff>
      <xdr:row>13</xdr:row>
      <xdr:rowOff>98425</xdr:rowOff>
    </xdr:from>
    <xdr:to>
      <xdr:col>30</xdr:col>
      <xdr:colOff>285750</xdr:colOff>
      <xdr:row>23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B1FB59-597D-4EB2-42FF-8A5ADAC459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247650</xdr:colOff>
      <xdr:row>2</xdr:row>
      <xdr:rowOff>130175</xdr:rowOff>
    </xdr:from>
    <xdr:to>
      <xdr:col>30</xdr:col>
      <xdr:colOff>247650</xdr:colOff>
      <xdr:row>12</xdr:row>
      <xdr:rowOff>146050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743B2F-F60D-783D-AFF4-CA5C793AE7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247650</xdr:colOff>
      <xdr:row>3</xdr:row>
      <xdr:rowOff>180975</xdr:rowOff>
    </xdr:from>
    <xdr:to>
      <xdr:col>25</xdr:col>
      <xdr:colOff>584200</xdr:colOff>
      <xdr:row>24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20648F-1A8C-B27B-A6BA-42A9FB2FFD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447675</xdr:colOff>
      <xdr:row>12</xdr:row>
      <xdr:rowOff>136525</xdr:rowOff>
    </xdr:from>
    <xdr:to>
      <xdr:col>32</xdr:col>
      <xdr:colOff>447675</xdr:colOff>
      <xdr:row>22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1D97D4-7E5E-C0A0-76C5-9DE7458BC0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447675</xdr:colOff>
      <xdr:row>1</xdr:row>
      <xdr:rowOff>149225</xdr:rowOff>
    </xdr:from>
    <xdr:to>
      <xdr:col>32</xdr:col>
      <xdr:colOff>447675</xdr:colOff>
      <xdr:row>11</xdr:row>
      <xdr:rowOff>168275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D40588-BE71-E089-F08A-6CB6B145A1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266700</xdr:colOff>
      <xdr:row>3</xdr:row>
      <xdr:rowOff>184150</xdr:rowOff>
    </xdr:from>
    <xdr:to>
      <xdr:col>24</xdr:col>
      <xdr:colOff>368300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10756D-0F92-DC9C-6253-049D71CD63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596900</xdr:colOff>
      <xdr:row>13</xdr:row>
      <xdr:rowOff>73025</xdr:rowOff>
    </xdr:from>
    <xdr:to>
      <xdr:col>30</xdr:col>
      <xdr:colOff>596900</xdr:colOff>
      <xdr:row>23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833AFE-542B-81B7-BF52-813CAB74E7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571500</xdr:colOff>
      <xdr:row>2</xdr:row>
      <xdr:rowOff>79375</xdr:rowOff>
    </xdr:from>
    <xdr:to>
      <xdr:col>30</xdr:col>
      <xdr:colOff>571500</xdr:colOff>
      <xdr:row>12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A7B771-01D9-C948-9810-BAAFA2535F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381000</xdr:colOff>
      <xdr:row>25</xdr:row>
      <xdr:rowOff>200025</xdr:rowOff>
    </xdr:from>
    <xdr:to>
      <xdr:col>23</xdr:col>
      <xdr:colOff>76200</xdr:colOff>
      <xdr:row>40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B859ECD-9064-AE2B-7CBA-AD38C05FB1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3B3FF29-33F5-45A6-ABED-306DFEBB3A4D}">
  <we:reference id="wa200006253" version="1.6.0.0" store="en-US" storeType="OMEX"/>
  <we:alternateReferences>
    <we:reference id="WA200006253" version="1.6.0.0" store="WA200006253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_xldudf_JS_ID4_ACRONYM</we:customFunctionIds>
        <we:customFunctionIds>_xldudf_JS_ID4_ADDNUMBERS</we:customFunctionIds>
        <we:customFunctionIds>_xldudf_JS_ID4_AGE</we:customFunctionIds>
        <we:customFunctionIds>_xldudf_JS_ID4_AVERAGEVISIBLEIFS</we:customFunctionIds>
        <we:customFunctionIds>_xldudf_JS_ID4_CONTAINS</we:customFunctionIds>
        <we:customFunctionIds>_xldudf_JS_ID4_COUNTBETWEEN</we:customFunctionIds>
        <we:customFunctionIds>_xldudf_JS_ID4_COUNTFORMAT</we:customFunctionIds>
        <we:customFunctionIds>_xldudf_JS_ID4_COUNTHIDDENSHEETST</we:customFunctionIds>
        <we:customFunctionIds>_xldudf_JS_ID4_COUNTSUBSTRING</we:customFunctionIds>
        <we:customFunctionIds>_xldudf_JS_ID4_COUNTVISIBLE</we:customFunctionIds>
        <we:customFunctionIds>_xldudf_JS_ID4_COUNTVISIBLEIFS</we:customFunctionIds>
        <we:customFunctionIds>_xldudf_JS_ID4_DATEDIFFERENCE</we:customFunctionIds>
        <we:customFunctionIds>_xldudf_JS_ID4_DATESERIAL</we:customFunctionIds>
        <we:customFunctionIds>_xldudf_JS_ID4_DAYSTO</we:customFunctionIds>
        <we:customFunctionIds>_xldudf_JS_ID4_DAYSTOCHRISTMAS</we:customFunctionIds>
        <we:customFunctionIds>_xldudf_JS_ID4_MAXVISIBLEIFS</we:customFunctionIds>
        <we:customFunctionIds>_xldudf_JS_ID4_MINVISIBLEIFS</we:customFunctionIds>
        <we:customFunctionIds>_xldudf_JS_ID4_REVERSE</we:customFunctionIds>
        <we:customFunctionIds>_xldudf_JS_ID4_SAMPLEDATA</we:customFunctionIds>
        <we:customFunctionIds>_xldudf_JS_ID4_SCRAMBLE</we:customFunctionIds>
        <we:customFunctionIds>_xldudf_JS_ID4_SPELLNUMBER</we:customFunctionIds>
        <we:customFunctionIds>_xldudf_JS_ID4_SPELLNUMBERREVERSE</we:customFunctionIds>
        <we:customFunctionIds>_xldudf_JS_ID4_SUMVISIBLE</we:customFunctionIds>
        <we:customFunctionIds>_xldudf_JS_ID4_SUMVISIBLEIFS</we:customFunctionIds>
        <we:customFunctionIds>_xldudf_JS_ID4_TESTING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0C965-41EC-4A27-AC29-6F614918DDD8}">
  <dimension ref="A2:T26"/>
  <sheetViews>
    <sheetView workbookViewId="0">
      <selection activeCell="D30" sqref="D30"/>
    </sheetView>
  </sheetViews>
  <sheetFormatPr defaultRowHeight="15" x14ac:dyDescent="0.25"/>
  <cols>
    <col min="1" max="1" width="5" bestFit="1" customWidth="1"/>
    <col min="7" max="7" width="18.28515625" bestFit="1" customWidth="1"/>
  </cols>
  <sheetData>
    <row r="2" spans="1:18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</row>
    <row r="3" spans="1:18" x14ac:dyDescent="0.25">
      <c r="A3">
        <v>2000</v>
      </c>
      <c r="B3">
        <v>78580259.047222212</v>
      </c>
      <c r="C3">
        <v>16708549.179678362</v>
      </c>
      <c r="D3">
        <v>14895546.665213035</v>
      </c>
      <c r="E3">
        <v>78159428.70084165</v>
      </c>
      <c r="F3">
        <v>50764265.476614729</v>
      </c>
      <c r="G3">
        <v>20923950.020323381</v>
      </c>
      <c r="H3">
        <v>311598814.06162727</v>
      </c>
      <c r="I3">
        <v>4569986.5263157897</v>
      </c>
      <c r="J3">
        <v>5598384.2381578945</v>
      </c>
      <c r="K3">
        <v>77147.621052631584</v>
      </c>
      <c r="L3">
        <v>0</v>
      </c>
      <c r="M3">
        <v>0</v>
      </c>
      <c r="N3">
        <v>0</v>
      </c>
      <c r="O3">
        <v>20888757.51754386</v>
      </c>
      <c r="P3">
        <v>804259.78947368416</v>
      </c>
      <c r="Q3">
        <v>0</v>
      </c>
      <c r="R3">
        <v>0</v>
      </c>
    </row>
    <row r="4" spans="1:18" x14ac:dyDescent="0.25">
      <c r="A4">
        <v>2001</v>
      </c>
      <c r="B4">
        <v>81681321.359730586</v>
      </c>
      <c r="C4">
        <v>16708884.350394737</v>
      </c>
      <c r="D4">
        <v>15916936.7598325</v>
      </c>
      <c r="E4">
        <v>79754932.221154869</v>
      </c>
      <c r="F4">
        <v>50774337.539247289</v>
      </c>
      <c r="G4">
        <v>20532693.853786986</v>
      </c>
      <c r="H4">
        <v>314913212.59057081</v>
      </c>
      <c r="I4">
        <v>2613786.0340789473</v>
      </c>
      <c r="J4">
        <v>11321282.009342104</v>
      </c>
      <c r="K4">
        <v>78898.436052631587</v>
      </c>
      <c r="L4">
        <v>0</v>
      </c>
      <c r="M4">
        <v>0</v>
      </c>
      <c r="N4">
        <v>0</v>
      </c>
      <c r="O4">
        <v>23446088.279385965</v>
      </c>
      <c r="P4">
        <v>814409.56736842101</v>
      </c>
      <c r="Q4">
        <v>0</v>
      </c>
      <c r="R4">
        <v>0</v>
      </c>
    </row>
    <row r="5" spans="1:18" x14ac:dyDescent="0.25">
      <c r="A5">
        <v>2002</v>
      </c>
      <c r="B5">
        <v>79266752.609851718</v>
      </c>
      <c r="C5">
        <v>16621239.041359648</v>
      </c>
      <c r="D5">
        <v>16440302.312529236</v>
      </c>
      <c r="E5">
        <v>82572071.930308357</v>
      </c>
      <c r="F5">
        <v>50335231.889878154</v>
      </c>
      <c r="G5">
        <v>20111574.529954832</v>
      </c>
      <c r="H5">
        <v>275098221.46512675</v>
      </c>
      <c r="I5">
        <v>2314794.7413157895</v>
      </c>
      <c r="J5">
        <v>21742186.647105262</v>
      </c>
      <c r="K5">
        <v>77949.259342105273</v>
      </c>
      <c r="L5">
        <v>0</v>
      </c>
      <c r="M5">
        <v>0</v>
      </c>
      <c r="N5">
        <v>0</v>
      </c>
      <c r="O5">
        <v>67753162.671099514</v>
      </c>
      <c r="P5">
        <v>791281.72789473692</v>
      </c>
      <c r="Q5">
        <v>0</v>
      </c>
      <c r="R5">
        <v>0</v>
      </c>
    </row>
    <row r="6" spans="1:18" x14ac:dyDescent="0.25">
      <c r="A6">
        <v>2003</v>
      </c>
      <c r="B6">
        <v>86623864.744981229</v>
      </c>
      <c r="C6">
        <v>16912298.703333337</v>
      </c>
      <c r="D6">
        <v>17051794.304503344</v>
      </c>
      <c r="E6">
        <v>85747371.100018784</v>
      </c>
      <c r="F6">
        <v>52856121.30412057</v>
      </c>
      <c r="G6">
        <v>19392670.084334902</v>
      </c>
      <c r="H6">
        <v>262871459.77782801</v>
      </c>
      <c r="I6">
        <v>4993056.5542105269</v>
      </c>
      <c r="J6">
        <v>23354085.385394737</v>
      </c>
      <c r="K6">
        <v>0</v>
      </c>
      <c r="L6">
        <v>0</v>
      </c>
      <c r="M6">
        <v>0</v>
      </c>
      <c r="N6">
        <v>0</v>
      </c>
      <c r="O6">
        <v>74823326.876657188</v>
      </c>
      <c r="P6">
        <v>745679.86605263175</v>
      </c>
      <c r="Q6">
        <v>0</v>
      </c>
      <c r="R6">
        <v>0</v>
      </c>
    </row>
    <row r="7" spans="1:18" x14ac:dyDescent="0.25">
      <c r="A7">
        <v>2004</v>
      </c>
      <c r="B7">
        <v>86152078.769785419</v>
      </c>
      <c r="C7">
        <v>17990792.786473684</v>
      </c>
      <c r="D7">
        <v>25753121.473489977</v>
      </c>
      <c r="E7">
        <v>88823501.799946755</v>
      </c>
      <c r="F7">
        <v>69969918.250373557</v>
      </c>
      <c r="G7">
        <v>19054703.122363184</v>
      </c>
      <c r="H7">
        <v>261128636.20449466</v>
      </c>
      <c r="I7">
        <v>6731549.5777631579</v>
      </c>
      <c r="J7">
        <v>34313913.773947358</v>
      </c>
      <c r="K7">
        <v>0</v>
      </c>
      <c r="L7">
        <v>0</v>
      </c>
      <c r="M7">
        <v>0</v>
      </c>
      <c r="N7">
        <v>0</v>
      </c>
      <c r="O7">
        <v>82156425.247354388</v>
      </c>
      <c r="P7">
        <v>797608.27776315797</v>
      </c>
      <c r="Q7">
        <v>0</v>
      </c>
      <c r="R7">
        <v>0</v>
      </c>
    </row>
    <row r="8" spans="1:18" x14ac:dyDescent="0.25">
      <c r="A8">
        <v>2005</v>
      </c>
      <c r="B8">
        <v>90148923.016216487</v>
      </c>
      <c r="C8">
        <v>32224595.057609651</v>
      </c>
      <c r="D8">
        <v>26516485.200317882</v>
      </c>
      <c r="E8">
        <v>90980825.641051829</v>
      </c>
      <c r="F8">
        <v>68257614.967450723</v>
      </c>
      <c r="G8">
        <v>18693917.72138387</v>
      </c>
      <c r="H8">
        <v>257038004.93187308</v>
      </c>
      <c r="I8">
        <v>5829500.5882894741</v>
      </c>
      <c r="J8">
        <v>44391889.895394735</v>
      </c>
      <c r="K8">
        <v>0</v>
      </c>
      <c r="L8">
        <v>0</v>
      </c>
      <c r="M8">
        <v>0</v>
      </c>
      <c r="N8">
        <v>0</v>
      </c>
      <c r="O8">
        <v>85718419.53491953</v>
      </c>
      <c r="P8">
        <v>793505.3601315791</v>
      </c>
      <c r="Q8">
        <v>0</v>
      </c>
      <c r="R8">
        <v>0</v>
      </c>
    </row>
    <row r="9" spans="1:18" x14ac:dyDescent="0.25">
      <c r="A9">
        <v>2006</v>
      </c>
      <c r="B9">
        <v>91416944.607555553</v>
      </c>
      <c r="C9">
        <v>36010295.660687134</v>
      </c>
      <c r="D9">
        <v>28053836.320973262</v>
      </c>
      <c r="E9">
        <v>93434224.750214219</v>
      </c>
      <c r="F9">
        <v>54723842.706776053</v>
      </c>
      <c r="G9">
        <v>20305661.86554661</v>
      </c>
      <c r="H9">
        <v>243336949.27765125</v>
      </c>
      <c r="I9">
        <v>2388879.1685526315</v>
      </c>
      <c r="J9">
        <v>49168454.713947371</v>
      </c>
      <c r="K9">
        <v>0</v>
      </c>
      <c r="L9">
        <v>538568.79999999993</v>
      </c>
      <c r="M9">
        <v>0</v>
      </c>
      <c r="N9">
        <v>0</v>
      </c>
      <c r="O9">
        <v>83892402.907327384</v>
      </c>
      <c r="P9">
        <v>807322.46184210526</v>
      </c>
      <c r="Q9">
        <v>3029895.8736842112</v>
      </c>
      <c r="R9">
        <v>0</v>
      </c>
    </row>
    <row r="10" spans="1:18" x14ac:dyDescent="0.25">
      <c r="A10">
        <v>2007</v>
      </c>
      <c r="B10">
        <v>95425542.390190482</v>
      </c>
      <c r="C10">
        <v>35638478.889780708</v>
      </c>
      <c r="D10">
        <v>27963867.296271931</v>
      </c>
      <c r="E10">
        <v>98105257.648446709</v>
      </c>
      <c r="F10">
        <v>53185019.472065121</v>
      </c>
      <c r="G10">
        <v>19916221.87937418</v>
      </c>
      <c r="H10">
        <v>227800791.45995286</v>
      </c>
      <c r="I10">
        <v>2682333.9976315787</v>
      </c>
      <c r="J10">
        <v>61360525.330131561</v>
      </c>
      <c r="K10">
        <v>0</v>
      </c>
      <c r="L10">
        <v>572237.67999999993</v>
      </c>
      <c r="M10">
        <v>0</v>
      </c>
      <c r="N10">
        <v>0</v>
      </c>
      <c r="O10">
        <v>85888544.02203387</v>
      </c>
      <c r="P10">
        <v>15497985.037631581</v>
      </c>
      <c r="Q10">
        <v>7758595.6578421062</v>
      </c>
      <c r="R10">
        <v>0</v>
      </c>
    </row>
    <row r="11" spans="1:18" x14ac:dyDescent="0.25">
      <c r="A11">
        <v>2008</v>
      </c>
      <c r="B11">
        <v>120394966.33935714</v>
      </c>
      <c r="C11">
        <v>21093263.448026314</v>
      </c>
      <c r="D11">
        <v>39454388.755779035</v>
      </c>
      <c r="E11">
        <v>101078445.76415768</v>
      </c>
      <c r="F11">
        <v>38358186.250233114</v>
      </c>
      <c r="G11">
        <v>19937955.877736975</v>
      </c>
      <c r="H11">
        <v>225945393.95778477</v>
      </c>
      <c r="I11">
        <v>5503855.038947368</v>
      </c>
      <c r="J11">
        <v>68262550.020394742</v>
      </c>
      <c r="K11">
        <v>0</v>
      </c>
      <c r="L11">
        <v>1564054.0750000002</v>
      </c>
      <c r="M11">
        <v>0</v>
      </c>
      <c r="N11">
        <v>9436.6315789473701</v>
      </c>
      <c r="O11">
        <v>102825622.13488758</v>
      </c>
      <c r="P11">
        <v>23015253.727710523</v>
      </c>
      <c r="Q11">
        <v>1545856.413622807</v>
      </c>
      <c r="R11">
        <v>6300.6315789473692</v>
      </c>
    </row>
    <row r="12" spans="1:18" x14ac:dyDescent="0.25">
      <c r="A12">
        <v>2009</v>
      </c>
      <c r="B12">
        <v>110179825.4341508</v>
      </c>
      <c r="C12">
        <v>22353124.59600877</v>
      </c>
      <c r="D12">
        <v>41213108.991875514</v>
      </c>
      <c r="E12">
        <v>104582797.03656946</v>
      </c>
      <c r="F12">
        <v>36289140.125531644</v>
      </c>
      <c r="G12">
        <v>19825403.520701751</v>
      </c>
      <c r="H12">
        <v>232813533.26876855</v>
      </c>
      <c r="I12">
        <v>6149962.5543421051</v>
      </c>
      <c r="J12">
        <v>121877662.13407895</v>
      </c>
      <c r="K12">
        <v>0</v>
      </c>
      <c r="L12">
        <v>1802422.5724999998</v>
      </c>
      <c r="M12">
        <v>0</v>
      </c>
      <c r="N12">
        <v>15032.895438596493</v>
      </c>
      <c r="O12">
        <v>115113933.70078091</v>
      </c>
      <c r="P12">
        <v>29554012.882236842</v>
      </c>
      <c r="Q12">
        <v>4340799.6761578955</v>
      </c>
      <c r="R12">
        <v>1716887.879922929</v>
      </c>
    </row>
    <row r="13" spans="1:18" x14ac:dyDescent="0.25">
      <c r="A13">
        <v>2010</v>
      </c>
      <c r="B13">
        <v>124779287.46926983</v>
      </c>
      <c r="C13">
        <v>22384691.346491225</v>
      </c>
      <c r="D13">
        <v>42926745.29106307</v>
      </c>
      <c r="E13">
        <v>105776184.51721099</v>
      </c>
      <c r="F13">
        <v>31847542.07414145</v>
      </c>
      <c r="G13">
        <v>19155298.849561401</v>
      </c>
      <c r="H13">
        <v>235328125.65923217</v>
      </c>
      <c r="I13">
        <v>2755123.0750000002</v>
      </c>
      <c r="J13">
        <v>123733296.76793858</v>
      </c>
      <c r="K13">
        <v>0</v>
      </c>
      <c r="L13">
        <v>1596326.35</v>
      </c>
      <c r="M13">
        <v>0</v>
      </c>
      <c r="N13">
        <v>7007.8355259009822</v>
      </c>
      <c r="O13">
        <v>110872800.30737072</v>
      </c>
      <c r="P13">
        <v>28143333.279144734</v>
      </c>
      <c r="Q13">
        <v>3509131.2852894738</v>
      </c>
      <c r="R13">
        <v>1579536.4100666936</v>
      </c>
    </row>
    <row r="14" spans="1:18" x14ac:dyDescent="0.25">
      <c r="A14">
        <v>2011</v>
      </c>
      <c r="B14">
        <v>146411505.59530953</v>
      </c>
      <c r="C14">
        <v>21083590.427631583</v>
      </c>
      <c r="D14">
        <v>42885186.713556819</v>
      </c>
      <c r="E14">
        <v>135372840.88102099</v>
      </c>
      <c r="F14">
        <v>29878049.329418853</v>
      </c>
      <c r="G14">
        <v>19326300.843421053</v>
      </c>
      <c r="H14">
        <v>232957520.37821281</v>
      </c>
      <c r="I14">
        <v>3016433.5149999997</v>
      </c>
      <c r="J14">
        <v>129845141.81893274</v>
      </c>
      <c r="K14">
        <v>0</v>
      </c>
      <c r="L14">
        <v>1432203.1749999998</v>
      </c>
      <c r="M14">
        <v>0</v>
      </c>
      <c r="N14">
        <v>15317.590603642133</v>
      </c>
      <c r="O14">
        <v>157250570.88601673</v>
      </c>
      <c r="P14">
        <v>27963363.659868423</v>
      </c>
      <c r="Q14">
        <v>5934020.7698421059</v>
      </c>
      <c r="R14">
        <v>9327523.8119436298</v>
      </c>
    </row>
    <row r="15" spans="1:18" x14ac:dyDescent="0.25">
      <c r="A15">
        <v>2012</v>
      </c>
      <c r="B15">
        <v>125935360.3332143</v>
      </c>
      <c r="C15">
        <v>4248060.8244444449</v>
      </c>
      <c r="D15">
        <v>22148782.495467838</v>
      </c>
      <c r="E15">
        <v>148582723.54941028</v>
      </c>
      <c r="F15">
        <v>27224650.822669961</v>
      </c>
      <c r="G15">
        <v>1956106.5441666669</v>
      </c>
      <c r="H15">
        <v>144417830.43723875</v>
      </c>
      <c r="I15">
        <v>2770511.5999999996</v>
      </c>
      <c r="J15">
        <v>142806746.3986842</v>
      </c>
      <c r="K15">
        <v>0</v>
      </c>
      <c r="L15">
        <v>1193206.3599999999</v>
      </c>
      <c r="M15">
        <v>0</v>
      </c>
      <c r="N15">
        <v>60837.389938961685</v>
      </c>
      <c r="O15">
        <v>123609468.01898211</v>
      </c>
      <c r="P15">
        <v>287270.77894736844</v>
      </c>
      <c r="Q15">
        <v>11771289.003596492</v>
      </c>
      <c r="R15">
        <v>23147609.055447347</v>
      </c>
    </row>
    <row r="16" spans="1:18" x14ac:dyDescent="0.25">
      <c r="A16">
        <v>2013</v>
      </c>
      <c r="B16">
        <v>147410485.56025696</v>
      </c>
      <c r="C16">
        <v>15084549.272055555</v>
      </c>
      <c r="D16">
        <v>22105642.148086883</v>
      </c>
      <c r="E16">
        <v>164282756.196031</v>
      </c>
      <c r="F16">
        <v>28389437.100745611</v>
      </c>
      <c r="G16">
        <v>1868860.0933333333</v>
      </c>
      <c r="H16">
        <v>142191816.79626864</v>
      </c>
      <c r="I16">
        <v>2616817.8899999997</v>
      </c>
      <c r="J16">
        <v>151228547.34372807</v>
      </c>
      <c r="K16">
        <v>0</v>
      </c>
      <c r="L16">
        <v>1051750.0339473682</v>
      </c>
      <c r="M16">
        <v>0</v>
      </c>
      <c r="N16">
        <v>181340.93608095459</v>
      </c>
      <c r="O16">
        <v>123120221.73499703</v>
      </c>
      <c r="P16">
        <v>295912.22842105263</v>
      </c>
      <c r="Q16">
        <v>21235065.818330705</v>
      </c>
      <c r="R16">
        <v>41170015.45411174</v>
      </c>
    </row>
    <row r="17" spans="1:20" x14ac:dyDescent="0.25">
      <c r="A17">
        <v>2014</v>
      </c>
      <c r="B17">
        <v>125981980.86826687</v>
      </c>
      <c r="C17">
        <v>24102254.030939683</v>
      </c>
      <c r="D17">
        <v>19837776.942030076</v>
      </c>
      <c r="E17">
        <v>173551045.36105618</v>
      </c>
      <c r="F17">
        <v>29041953.411824565</v>
      </c>
      <c r="G17">
        <v>1900870.4433333334</v>
      </c>
      <c r="H17">
        <v>138986007.87026119</v>
      </c>
      <c r="I17">
        <v>0</v>
      </c>
      <c r="J17">
        <v>175493078.55431286</v>
      </c>
      <c r="K17">
        <v>0</v>
      </c>
      <c r="L17">
        <v>838163.73810307006</v>
      </c>
      <c r="M17">
        <v>0</v>
      </c>
      <c r="N17">
        <v>349924.57230215997</v>
      </c>
      <c r="O17">
        <v>119703177.4361579</v>
      </c>
      <c r="P17">
        <v>313516.50986842107</v>
      </c>
      <c r="Q17">
        <v>35141118.636778519</v>
      </c>
      <c r="R17">
        <v>66222136.368070766</v>
      </c>
    </row>
    <row r="18" spans="1:20" x14ac:dyDescent="0.25">
      <c r="A18">
        <v>2015</v>
      </c>
      <c r="B18">
        <v>213026976.30353075</v>
      </c>
      <c r="C18">
        <v>101868384.09515873</v>
      </c>
      <c r="D18">
        <v>26434484.64704261</v>
      </c>
      <c r="E18">
        <v>177885694.95791954</v>
      </c>
      <c r="F18">
        <v>34928665.468587726</v>
      </c>
      <c r="G18">
        <v>1887280.7208333334</v>
      </c>
      <c r="H18">
        <v>91307954.436380625</v>
      </c>
      <c r="I18">
        <v>0</v>
      </c>
      <c r="J18">
        <v>234133328.25460526</v>
      </c>
      <c r="K18">
        <v>14724.549928421055</v>
      </c>
      <c r="L18">
        <v>14134727.231597047</v>
      </c>
      <c r="M18">
        <v>0</v>
      </c>
      <c r="N18">
        <v>514653.5207172652</v>
      </c>
      <c r="O18">
        <v>72453269.549125701</v>
      </c>
      <c r="P18">
        <v>300997.51578947366</v>
      </c>
      <c r="Q18">
        <v>44497769.475822374</v>
      </c>
      <c r="R18">
        <v>89756383.940039173</v>
      </c>
    </row>
    <row r="19" spans="1:20" x14ac:dyDescent="0.25">
      <c r="A19">
        <v>2016</v>
      </c>
      <c r="B19">
        <v>197135040.75190181</v>
      </c>
      <c r="C19">
        <v>89505897.242817461</v>
      </c>
      <c r="D19">
        <v>20737738.80000627</v>
      </c>
      <c r="E19">
        <v>149831513.85508409</v>
      </c>
      <c r="F19">
        <v>74784905.956905723</v>
      </c>
      <c r="G19">
        <v>1784486.5525000002</v>
      </c>
      <c r="H19">
        <v>64954166.940870769</v>
      </c>
      <c r="I19">
        <v>0</v>
      </c>
      <c r="J19">
        <v>261276329.46746492</v>
      </c>
      <c r="K19">
        <v>213958.16491831583</v>
      </c>
      <c r="L19">
        <v>45560280.206873044</v>
      </c>
      <c r="M19">
        <v>320876850.3015002</v>
      </c>
      <c r="N19">
        <v>1545657.2710516718</v>
      </c>
      <c r="O19">
        <v>49638967.158254378</v>
      </c>
      <c r="P19">
        <v>430151.70526315796</v>
      </c>
      <c r="Q19">
        <v>55341923.767780691</v>
      </c>
      <c r="R19">
        <v>107603981.35436857</v>
      </c>
    </row>
    <row r="20" spans="1:20" x14ac:dyDescent="0.25">
      <c r="A20">
        <v>2017</v>
      </c>
      <c r="B20">
        <v>194053332.84588099</v>
      </c>
      <c r="C20">
        <v>166340120.54050559</v>
      </c>
      <c r="D20">
        <v>20303125.537451964</v>
      </c>
      <c r="E20">
        <v>186085427.29991889</v>
      </c>
      <c r="F20">
        <v>94070115.624735251</v>
      </c>
      <c r="G20">
        <v>2200512.6324999998</v>
      </c>
      <c r="H20">
        <v>66630415.072983138</v>
      </c>
      <c r="I20">
        <v>0</v>
      </c>
      <c r="J20">
        <v>266757548.93412569</v>
      </c>
      <c r="K20">
        <v>0</v>
      </c>
      <c r="L20">
        <v>51668555.84326534</v>
      </c>
      <c r="M20">
        <v>459080985.56667638</v>
      </c>
      <c r="N20">
        <v>2487800.8389640441</v>
      </c>
      <c r="O20">
        <v>52064037.488535091</v>
      </c>
      <c r="P20">
        <v>1240330.3978947368</v>
      </c>
      <c r="Q20">
        <v>66664536.867978521</v>
      </c>
      <c r="R20">
        <v>127327220.75884214</v>
      </c>
    </row>
    <row r="21" spans="1:20" x14ac:dyDescent="0.25">
      <c r="A21">
        <v>2018</v>
      </c>
      <c r="B21">
        <v>152209475.00889683</v>
      </c>
      <c r="C21">
        <v>410169950.20542622</v>
      </c>
      <c r="D21">
        <v>23934204.520910822</v>
      </c>
      <c r="E21">
        <v>164768260.88476095</v>
      </c>
      <c r="F21">
        <v>129988736.12009519</v>
      </c>
      <c r="G21">
        <v>2217689.2383333333</v>
      </c>
      <c r="H21">
        <v>66455709.460084438</v>
      </c>
      <c r="I21">
        <v>0</v>
      </c>
      <c r="J21">
        <v>275438932.44827187</v>
      </c>
      <c r="K21">
        <v>896285.52631578944</v>
      </c>
      <c r="L21">
        <v>65056520.774600595</v>
      </c>
      <c r="M21">
        <v>455559619.02462643</v>
      </c>
      <c r="N21">
        <v>6959716.6980569791</v>
      </c>
      <c r="O21">
        <v>56898909.745938599</v>
      </c>
      <c r="P21">
        <v>1797781.6965789474</v>
      </c>
      <c r="Q21">
        <v>93092909.247318864</v>
      </c>
      <c r="R21">
        <v>136528866.40202385</v>
      </c>
    </row>
    <row r="22" spans="1:20" x14ac:dyDescent="0.25">
      <c r="A22">
        <v>2019</v>
      </c>
      <c r="B22">
        <v>121021690.35702381</v>
      </c>
      <c r="C22">
        <v>332425433.06345028</v>
      </c>
      <c r="D22">
        <v>21792972.342667714</v>
      </c>
      <c r="E22">
        <v>42499759.782201052</v>
      </c>
      <c r="F22">
        <v>244473057.03895932</v>
      </c>
      <c r="G22">
        <v>2177787.5541666667</v>
      </c>
      <c r="H22">
        <v>65876338.938094288</v>
      </c>
      <c r="I22">
        <v>2577182.4</v>
      </c>
      <c r="J22">
        <v>280161656.13334793</v>
      </c>
      <c r="K22">
        <v>160009.85263157895</v>
      </c>
      <c r="L22">
        <v>82074178.903402403</v>
      </c>
      <c r="M22">
        <v>463818185.3418051</v>
      </c>
      <c r="N22">
        <v>10275960.501184968</v>
      </c>
      <c r="O22">
        <v>59897866.107681289</v>
      </c>
      <c r="P22">
        <v>1041960.3836842106</v>
      </c>
      <c r="Q22">
        <v>126525666.33989815</v>
      </c>
      <c r="R22">
        <v>145562504.84282181</v>
      </c>
    </row>
    <row r="23" spans="1:20" x14ac:dyDescent="0.25">
      <c r="A23">
        <v>2020</v>
      </c>
      <c r="B23">
        <v>78374741.523485318</v>
      </c>
      <c r="C23">
        <v>194291046.87632623</v>
      </c>
      <c r="D23">
        <v>18694959.626677111</v>
      </c>
      <c r="E23">
        <v>10518907.671401918</v>
      </c>
      <c r="F23">
        <v>268834027.91079444</v>
      </c>
      <c r="G23">
        <v>5062812.0449999999</v>
      </c>
      <c r="H23">
        <v>61511976.258134328</v>
      </c>
      <c r="I23">
        <v>2545600.65</v>
      </c>
      <c r="J23">
        <v>269016593.68001461</v>
      </c>
      <c r="K23">
        <v>0</v>
      </c>
      <c r="L23">
        <v>79857578.281177551</v>
      </c>
      <c r="M23">
        <v>445823504.48651975</v>
      </c>
      <c r="N23">
        <v>12011981.852203855</v>
      </c>
      <c r="O23">
        <v>60273716.65505264</v>
      </c>
      <c r="P23">
        <v>903155.61315789458</v>
      </c>
      <c r="Q23">
        <v>142261312.48049879</v>
      </c>
      <c r="R23">
        <v>141811832.69188434</v>
      </c>
    </row>
    <row r="24" spans="1:20" x14ac:dyDescent="0.25">
      <c r="A24">
        <v>2021</v>
      </c>
      <c r="R24" s="4">
        <v>160800233.02991807</v>
      </c>
      <c r="S24" s="4"/>
      <c r="T24" s="4"/>
    </row>
    <row r="25" spans="1:20" x14ac:dyDescent="0.25">
      <c r="A25">
        <v>2022</v>
      </c>
      <c r="R25">
        <v>186996096.55044705</v>
      </c>
      <c r="S25" s="4"/>
      <c r="T25" s="4"/>
    </row>
    <row r="26" spans="1:20" x14ac:dyDescent="0.25">
      <c r="A26">
        <v>2023</v>
      </c>
      <c r="R26">
        <v>209165465.89669368</v>
      </c>
      <c r="S26" s="4"/>
      <c r="T26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7D244-A0E8-4DB5-A438-77C42D8F9BE8}">
  <dimension ref="A2:Q58"/>
  <sheetViews>
    <sheetView workbookViewId="0">
      <selection activeCell="L5" sqref="L5"/>
    </sheetView>
  </sheetViews>
  <sheetFormatPr defaultRowHeight="15" x14ac:dyDescent="0.25"/>
  <sheetData>
    <row r="2" spans="1:1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  <c r="M2" t="s">
        <v>61</v>
      </c>
      <c r="N2" t="s">
        <v>62</v>
      </c>
      <c r="O2" t="s">
        <v>63</v>
      </c>
      <c r="P2" t="s">
        <v>15</v>
      </c>
      <c r="Q2" t="s">
        <v>16</v>
      </c>
    </row>
    <row r="3" spans="1:17" x14ac:dyDescent="0.25">
      <c r="A3">
        <v>-7558333.8199971318</v>
      </c>
      <c r="B3">
        <v>-18866356.045513395</v>
      </c>
      <c r="C3">
        <v>-2099435.3467320222</v>
      </c>
      <c r="D3">
        <v>-1224262.7588717937</v>
      </c>
      <c r="E3">
        <v>-7815935.3244330436</v>
      </c>
      <c r="F3">
        <v>1286033.9685784243</v>
      </c>
      <c r="G3">
        <v>-1265615.4496980407</v>
      </c>
      <c r="H3">
        <v>-1265615.4496980407</v>
      </c>
      <c r="I3">
        <v>-8052735.6894534975</v>
      </c>
      <c r="J3">
        <v>6731.1583214144193</v>
      </c>
      <c r="K3">
        <v>-4198002.5831740433</v>
      </c>
      <c r="L3">
        <v>-529796.81073862314</v>
      </c>
      <c r="M3">
        <v>-508106.29063906177</v>
      </c>
      <c r="N3">
        <v>-15428043.226752412</v>
      </c>
      <c r="O3">
        <v>-1396719.374202627</v>
      </c>
      <c r="P3">
        <v>1062831.2572492352</v>
      </c>
      <c r="Q3">
        <v>-10337055.668932317</v>
      </c>
    </row>
    <row r="4" spans="1:17" x14ac:dyDescent="0.25">
      <c r="A4">
        <v>-12335598.57491897</v>
      </c>
      <c r="B4">
        <v>-18954274.836716771</v>
      </c>
      <c r="C4">
        <v>-2323394.7961178124</v>
      </c>
      <c r="D4">
        <v>248296.49313810468</v>
      </c>
      <c r="E4">
        <v>-8267752.6664340347</v>
      </c>
      <c r="F4">
        <v>1214314.4583429582</v>
      </c>
      <c r="G4">
        <v>-288875.48339239135</v>
      </c>
      <c r="H4">
        <v>-288875.48339239135</v>
      </c>
      <c r="I4">
        <v>-3325527.7008696683</v>
      </c>
      <c r="J4">
        <v>5671.016728228351</v>
      </c>
      <c r="K4">
        <v>-3242439.4335336918</v>
      </c>
      <c r="L4">
        <v>655313.4675988555</v>
      </c>
      <c r="M4">
        <v>-523192.08950160822</v>
      </c>
      <c r="N4">
        <v>26976910.681000397</v>
      </c>
      <c r="O4">
        <v>-1427612.5537767573</v>
      </c>
      <c r="P4">
        <v>-10827751.436101634</v>
      </c>
      <c r="Q4">
        <v>-12178684.258606339</v>
      </c>
    </row>
    <row r="5" spans="1:17" x14ac:dyDescent="0.25">
      <c r="A5">
        <v>-3138829.1338948607</v>
      </c>
      <c r="B5">
        <v>-18591701.083611395</v>
      </c>
      <c r="C5">
        <v>-2094835.989827998</v>
      </c>
      <c r="D5">
        <v>1049504.3808516264</v>
      </c>
      <c r="E5">
        <v>-5192679.2432830632</v>
      </c>
      <c r="F5">
        <v>871478.24073709548</v>
      </c>
      <c r="G5">
        <v>2584372.7533791745</v>
      </c>
      <c r="H5">
        <v>2584372.7533791745</v>
      </c>
      <c r="I5">
        <v>-12081360.868644252</v>
      </c>
      <c r="J5">
        <v>-72218.084754647411</v>
      </c>
      <c r="K5">
        <v>-4072017.452806985</v>
      </c>
      <c r="L5">
        <v>8793961.3035074472</v>
      </c>
      <c r="M5">
        <v>-504757.2126423489</v>
      </c>
      <c r="N5">
        <v>1091856.4837011844</v>
      </c>
      <c r="O5">
        <v>-1455519.8866188917</v>
      </c>
      <c r="P5">
        <v>-573049.16388454847</v>
      </c>
      <c r="Q5">
        <v>-4293852.05815164</v>
      </c>
    </row>
    <row r="6" spans="1:17" ht="15.75" thickBot="1" x14ac:dyDescent="0.3">
      <c r="A6">
        <v>-9215990.8476592153</v>
      </c>
      <c r="B6">
        <v>-17750696.803636804</v>
      </c>
      <c r="C6">
        <v>6159078.1323875487</v>
      </c>
      <c r="D6">
        <v>1449711.67802912</v>
      </c>
      <c r="E6">
        <v>8739567.6509331837</v>
      </c>
      <c r="F6">
        <v>1175507.7526281588</v>
      </c>
      <c r="G6">
        <v>2576244.0332815973</v>
      </c>
      <c r="H6">
        <v>2576244.0332815973</v>
      </c>
      <c r="I6">
        <v>-2725206.4948934168</v>
      </c>
      <c r="J6">
        <v>-67277.739591788166</v>
      </c>
      <c r="K6">
        <v>-4534778.9289738275</v>
      </c>
      <c r="L6" s="1">
        <v>-8919477.9603677988</v>
      </c>
      <c r="M6">
        <v>-469721.73156160256</v>
      </c>
      <c r="N6">
        <v>3166227.9188688695</v>
      </c>
      <c r="O6">
        <v>-1368702.6359514911</v>
      </c>
      <c r="P6">
        <v>-4760661.2640669951</v>
      </c>
      <c r="Q6">
        <v>1806827.0770469829</v>
      </c>
    </row>
    <row r="7" spans="1:17" x14ac:dyDescent="0.25">
      <c r="A7">
        <v>-4859693.3795581758</v>
      </c>
      <c r="B7">
        <v>-4396890.5641858689</v>
      </c>
      <c r="C7">
        <v>555903.37510532141</v>
      </c>
      <c r="D7">
        <v>1014684.4712777734</v>
      </c>
      <c r="E7">
        <v>-14571621.032228589</v>
      </c>
      <c r="F7">
        <v>1116533.8082199097</v>
      </c>
      <c r="G7">
        <v>540441.16601233743</v>
      </c>
      <c r="H7">
        <v>540441.16601233743</v>
      </c>
      <c r="I7">
        <v>-3551136.1684590429</v>
      </c>
      <c r="J7">
        <v>-67277.739591788166</v>
      </c>
      <c r="K7">
        <v>-4476986.2896672813</v>
      </c>
      <c r="M7">
        <v>-406649.96994887583</v>
      </c>
      <c r="N7">
        <v>1273927.1148773134</v>
      </c>
      <c r="O7">
        <v>-1412534.6769186002</v>
      </c>
      <c r="P7">
        <v>-1337171.0773166893</v>
      </c>
      <c r="Q7">
        <v>6060128.6859751418</v>
      </c>
    </row>
    <row r="8" spans="1:17" x14ac:dyDescent="0.25">
      <c r="A8">
        <v>-6636863.0750021189</v>
      </c>
      <c r="B8">
        <v>-12225244.88287203</v>
      </c>
      <c r="C8">
        <v>1534720.7859209403</v>
      </c>
      <c r="D8">
        <v>1650039.6591642052</v>
      </c>
      <c r="E8">
        <v>-25944339.115711987</v>
      </c>
      <c r="F8">
        <v>3050466.7448725216</v>
      </c>
      <c r="G8">
        <v>-2311911.2610267568</v>
      </c>
      <c r="H8">
        <v>-2311911.2610267568</v>
      </c>
      <c r="I8">
        <v>-8801124.5345740244</v>
      </c>
      <c r="J8">
        <v>-67277.739591788166</v>
      </c>
      <c r="K8">
        <v>-4539262.1168447081</v>
      </c>
      <c r="M8">
        <v>-390104.21170815418</v>
      </c>
      <c r="N8">
        <v>-3201470.0305671096</v>
      </c>
      <c r="O8">
        <v>-1395578.5359952212</v>
      </c>
      <c r="P8">
        <v>1588484.3446323741</v>
      </c>
      <c r="Q8">
        <v>13156325.45807191</v>
      </c>
    </row>
    <row r="9" spans="1:17" x14ac:dyDescent="0.25">
      <c r="A9">
        <v>-3594369.5644679666</v>
      </c>
      <c r="B9">
        <v>-15685999.794408306</v>
      </c>
      <c r="C9">
        <v>319911.27618102729</v>
      </c>
      <c r="D9">
        <v>4253516.7959994078</v>
      </c>
      <c r="E9">
        <v>-10402534.538296983</v>
      </c>
      <c r="F9">
        <v>1221706.0483806692</v>
      </c>
      <c r="G9">
        <v>225336.22284340672</v>
      </c>
      <c r="H9">
        <v>225336.22284340672</v>
      </c>
      <c r="I9">
        <v>-1361246.2848023847</v>
      </c>
      <c r="J9">
        <v>-67277.739591788166</v>
      </c>
      <c r="K9">
        <v>-4423376.6431591315</v>
      </c>
      <c r="M9">
        <v>-438075.21390781342</v>
      </c>
      <c r="N9">
        <v>152846.44542664289</v>
      </c>
      <c r="O9">
        <v>13284512.922367111</v>
      </c>
      <c r="P9">
        <v>4043337.6254847646</v>
      </c>
      <c r="Q9">
        <v>11730866.053443357</v>
      </c>
    </row>
    <row r="10" spans="1:17" x14ac:dyDescent="0.25">
      <c r="A10">
        <v>18320908.091458067</v>
      </c>
      <c r="B10">
        <v>-29927831.760975823</v>
      </c>
      <c r="C10">
        <v>11876260.769390903</v>
      </c>
      <c r="D10">
        <v>3290280.1594758928</v>
      </c>
      <c r="E10">
        <v>-23287258.314625517</v>
      </c>
      <c r="F10">
        <v>1591217.973875735</v>
      </c>
      <c r="G10">
        <v>2855481.4312287848</v>
      </c>
      <c r="H10">
        <v>2855481.4312287848</v>
      </c>
      <c r="I10">
        <v>-6589082.0934384167</v>
      </c>
      <c r="J10">
        <v>-67277.739591788166</v>
      </c>
      <c r="K10">
        <v>-4484648.6684942646</v>
      </c>
      <c r="M10">
        <v>385091.99915591534</v>
      </c>
      <c r="N10">
        <v>15605212.076104432</v>
      </c>
      <c r="O10">
        <v>9562324.7115161382</v>
      </c>
      <c r="P10">
        <v>6586046.2596387938</v>
      </c>
      <c r="Q10">
        <v>6131030.600573197</v>
      </c>
    </row>
    <row r="11" spans="1:17" x14ac:dyDescent="0.25">
      <c r="A11">
        <v>-10918409.778834999</v>
      </c>
      <c r="B11">
        <v>-16799818.46562352</v>
      </c>
      <c r="C11">
        <v>5227660.4147636294</v>
      </c>
      <c r="D11">
        <v>4289033.3025825322</v>
      </c>
      <c r="E11">
        <v>-6643737.4612011164</v>
      </c>
      <c r="F11">
        <v>1459256.7087486684</v>
      </c>
      <c r="G11">
        <v>1661541.0554122142</v>
      </c>
      <c r="H11">
        <v>1661541.0554122142</v>
      </c>
      <c r="I11">
        <v>40159222.954535663</v>
      </c>
      <c r="J11">
        <v>-67277.739591788166</v>
      </c>
      <c r="K11">
        <v>9041895.6378067322</v>
      </c>
      <c r="M11">
        <v>26430.508551100735</v>
      </c>
      <c r="N11">
        <v>15295871.551934898</v>
      </c>
      <c r="O11">
        <v>10349810.428308375</v>
      </c>
      <c r="P11">
        <v>-754575.83097583055</v>
      </c>
      <c r="Q11">
        <v>8072510.0004590899</v>
      </c>
    </row>
    <row r="12" spans="1:17" x14ac:dyDescent="0.25">
      <c r="A12">
        <v>11463957.008094594</v>
      </c>
      <c r="B12">
        <v>-17796233.99898494</v>
      </c>
      <c r="C12">
        <v>5654486.1104147732</v>
      </c>
      <c r="D12">
        <v>2529194.9357961863</v>
      </c>
      <c r="E12">
        <v>-8474045.3193288445</v>
      </c>
      <c r="F12">
        <v>889663.61015707999</v>
      </c>
      <c r="G12">
        <v>-2154655.8243494341</v>
      </c>
      <c r="H12">
        <v>-2154655.8243494341</v>
      </c>
      <c r="I12">
        <v>-11326683.077268243</v>
      </c>
      <c r="J12">
        <v>-67277.739591788166</v>
      </c>
      <c r="K12">
        <v>26150263.759598017</v>
      </c>
      <c r="M12">
        <v>3309655.1348601216</v>
      </c>
      <c r="N12">
        <v>1914798.3855636418</v>
      </c>
      <c r="O12">
        <v>3936490.4525501579</v>
      </c>
      <c r="P12">
        <v>-1145137.4434312657</v>
      </c>
      <c r="Q12">
        <v>-2376327.3576059937</v>
      </c>
    </row>
    <row r="13" spans="1:17" x14ac:dyDescent="0.25">
      <c r="A13">
        <v>21972860.879203752</v>
      </c>
      <c r="B13">
        <v>-19123091.772325296</v>
      </c>
      <c r="C13">
        <v>4359103.6926291957</v>
      </c>
      <c r="D13">
        <v>31120146.540048271</v>
      </c>
      <c r="E13">
        <v>-4837910.7677134573</v>
      </c>
      <c r="F13">
        <v>1659082.8743677475</v>
      </c>
      <c r="G13">
        <v>320590.69250195753</v>
      </c>
      <c r="H13">
        <v>320590.69250195753</v>
      </c>
      <c r="I13">
        <v>-7061004.2727002203</v>
      </c>
      <c r="J13">
        <v>-67277.739591788166</v>
      </c>
      <c r="K13">
        <v>-1579185.012286447</v>
      </c>
      <c r="M13">
        <v>983736.36691642925</v>
      </c>
      <c r="N13">
        <v>51447087.270243913</v>
      </c>
      <c r="O13">
        <v>4835796.360717006</v>
      </c>
      <c r="P13">
        <v>-2843315.0929960385</v>
      </c>
      <c r="Q13">
        <v>-2510390.914778322</v>
      </c>
    </row>
    <row r="14" spans="1:17" ht="15.75" thickBot="1" x14ac:dyDescent="0.3">
      <c r="A14">
        <v>-14984847.858883128</v>
      </c>
      <c r="B14">
        <v>-34896989.547098175</v>
      </c>
      <c r="C14">
        <v>-16346893.177488606</v>
      </c>
      <c r="D14">
        <v>19388006.055921301</v>
      </c>
      <c r="E14">
        <v>-5005662.8557592705</v>
      </c>
      <c r="F14">
        <v>-15863819.726734364</v>
      </c>
      <c r="G14">
        <v>-95744.172475289553</v>
      </c>
      <c r="H14">
        <v>-95744.172475289553</v>
      </c>
      <c r="I14">
        <v>-180059.01598745584</v>
      </c>
      <c r="J14">
        <v>-67277.739591788166</v>
      </c>
      <c r="K14">
        <v>5231643.5435442328</v>
      </c>
      <c r="M14" s="1">
        <v>-1464307.289574096</v>
      </c>
      <c r="N14">
        <v>-16689399.899183571</v>
      </c>
      <c r="O14">
        <v>-22702606.285410527</v>
      </c>
      <c r="P14">
        <v>9989771.5730521381</v>
      </c>
      <c r="Q14" s="1">
        <v>-15261377.61749506</v>
      </c>
    </row>
    <row r="15" spans="1:17" x14ac:dyDescent="0.25">
      <c r="A15">
        <v>22091030.185764</v>
      </c>
      <c r="B15">
        <v>-10323569.693260048</v>
      </c>
      <c r="C15">
        <v>-1217737.0564559624</v>
      </c>
      <c r="D15">
        <v>23955659.581504911</v>
      </c>
      <c r="E15">
        <v>-492090.18922629952</v>
      </c>
      <c r="F15">
        <v>-439124.97540080268</v>
      </c>
      <c r="G15">
        <v>-89060.520594133995</v>
      </c>
      <c r="H15">
        <v>-89060.520594133995</v>
      </c>
      <c r="I15">
        <v>-4653725.9815030694</v>
      </c>
      <c r="J15">
        <v>-67277.739591788166</v>
      </c>
      <c r="K15">
        <v>7833699.5637496412</v>
      </c>
      <c r="N15">
        <v>7843314.9261264205</v>
      </c>
      <c r="O15">
        <v>-1519681.40818417</v>
      </c>
      <c r="P15">
        <v>11689458.723664314</v>
      </c>
    </row>
    <row r="16" spans="1:17" ht="15.75" thickBot="1" x14ac:dyDescent="0.3">
      <c r="A16">
        <v>-15699349.07323201</v>
      </c>
      <c r="B16">
        <v>-10147885.470577203</v>
      </c>
      <c r="C16">
        <v>-3454037.5739905797</v>
      </c>
      <c r="D16">
        <v>19993042.763308913</v>
      </c>
      <c r="E16">
        <v>-1309620.8475567289</v>
      </c>
      <c r="F16">
        <v>-329201.74819812737</v>
      </c>
      <c r="G16">
        <v>-2605647.4419652205</v>
      </c>
      <c r="H16">
        <v>-2605647.4419652205</v>
      </c>
      <c r="I16">
        <v>11231976.576524943</v>
      </c>
      <c r="J16">
        <v>-67277.739591788166</v>
      </c>
      <c r="K16" s="1">
        <v>-12706805.375758231</v>
      </c>
      <c r="N16">
        <v>4790167.7783149332</v>
      </c>
      <c r="O16">
        <v>-1508688.4826521638</v>
      </c>
      <c r="P16" s="1">
        <v>-12718268.474948496</v>
      </c>
    </row>
    <row r="17" spans="1:15" x14ac:dyDescent="0.25">
      <c r="A17">
        <v>87672000.794057801</v>
      </c>
      <c r="B17">
        <v>60260258.558504149</v>
      </c>
      <c r="C17">
        <v>4802009.0836585909</v>
      </c>
      <c r="D17">
        <v>16517016.718414903</v>
      </c>
      <c r="E17">
        <v>3753567.0626337603</v>
      </c>
      <c r="F17">
        <v>-371377.37241611187</v>
      </c>
      <c r="G17">
        <v>-899096.19897570834</v>
      </c>
      <c r="H17">
        <v>-899096.19897570834</v>
      </c>
      <c r="I17">
        <v>45731504.989911288</v>
      </c>
      <c r="J17">
        <v>-52553.189663367113</v>
      </c>
      <c r="N17">
        <v>-39918172.137767211</v>
      </c>
      <c r="O17">
        <v>-1534676.0702393183</v>
      </c>
    </row>
    <row r="18" spans="1:15" x14ac:dyDescent="0.25">
      <c r="A18">
        <v>5460577.8382793665</v>
      </c>
      <c r="B18">
        <v>-15555414.47799325</v>
      </c>
      <c r="C18">
        <v>-5721379.0280288868</v>
      </c>
      <c r="D18">
        <v>-15190108.4627662</v>
      </c>
      <c r="E18">
        <v>36180338.830623701</v>
      </c>
      <c r="F18">
        <v>-462035.63871277031</v>
      </c>
      <c r="G18">
        <v>-899096.19897570834</v>
      </c>
      <c r="H18">
        <v>-899096.19897570834</v>
      </c>
      <c r="I18">
        <v>14533468.746757507</v>
      </c>
      <c r="J18">
        <v>145747.19825512095</v>
      </c>
      <c r="N18">
        <v>-27588402.045639403</v>
      </c>
      <c r="O18">
        <v>-1395943.9128783848</v>
      </c>
    </row>
    <row r="19" spans="1:15" x14ac:dyDescent="0.25">
      <c r="A19">
        <v>14486918.354498267</v>
      </c>
      <c r="B19">
        <v>71365966.034448981</v>
      </c>
      <c r="C19">
        <v>-1987829.0937526897</v>
      </c>
      <c r="D19">
        <v>44705936.241443336</v>
      </c>
      <c r="E19">
        <v>5164006.7952823192</v>
      </c>
      <c r="F19">
        <v>45787.750381276477</v>
      </c>
      <c r="G19">
        <v>-899096.19897570834</v>
      </c>
      <c r="H19">
        <v>-899096.19897570834</v>
      </c>
      <c r="I19">
        <v>-6989815.6644048989</v>
      </c>
      <c r="J19">
        <v>-80838.191532317054</v>
      </c>
      <c r="N19">
        <v>-8194251.081576243</v>
      </c>
      <c r="O19">
        <v>-684577.84620394371</v>
      </c>
    </row>
    <row r="20" spans="1:15" x14ac:dyDescent="0.25">
      <c r="A20">
        <v>-25008989.578707516</v>
      </c>
      <c r="B20">
        <v>252502997.79111367</v>
      </c>
      <c r="C20">
        <v>1961245.2952368036</v>
      </c>
      <c r="D20">
        <v>-7163530.9942923486</v>
      </c>
      <c r="E20">
        <v>16743257.433491424</v>
      </c>
      <c r="F20">
        <v>-308555.50017553894</v>
      </c>
      <c r="G20">
        <v>-899096.19897570834</v>
      </c>
      <c r="H20">
        <v>-899096.19897570834</v>
      </c>
      <c r="I20">
        <v>-3761683.6599891186</v>
      </c>
      <c r="J20">
        <v>829007.78672400129</v>
      </c>
      <c r="N20">
        <v>-5163125.1440072879</v>
      </c>
      <c r="O20">
        <v>-746973.91321249725</v>
      </c>
    </row>
    <row r="21" spans="1:15" x14ac:dyDescent="0.25">
      <c r="A21">
        <v>-24315984.42888847</v>
      </c>
      <c r="B21">
        <v>-24194194.071884573</v>
      </c>
      <c r="C21">
        <v>-2836754.4815663956</v>
      </c>
      <c r="D21">
        <v>-111467392.72214735</v>
      </c>
      <c r="E21">
        <v>85895606.128400177</v>
      </c>
      <c r="F21">
        <v>-363796.24705786584</v>
      </c>
      <c r="G21">
        <v>1678086.2010242916</v>
      </c>
      <c r="H21">
        <v>1678086.2010242916</v>
      </c>
      <c r="I21">
        <v>-7676046.6748746037</v>
      </c>
      <c r="J21">
        <v>35926.443533151352</v>
      </c>
      <c r="N21">
        <v>-5760304.9158307835</v>
      </c>
      <c r="O21">
        <v>-1929287.2113124612</v>
      </c>
    </row>
    <row r="22" spans="1:15" ht="15.75" thickBot="1" x14ac:dyDescent="0.3">
      <c r="A22" s="1">
        <v>-43200994.037311211</v>
      </c>
      <c r="B22" s="1">
        <v>-98893029.114399165</v>
      </c>
      <c r="C22" s="1">
        <v>-4368082.3917278498</v>
      </c>
      <c r="D22" s="1">
        <v>-40408774.8388796</v>
      </c>
      <c r="E22" s="1">
        <v>-34231156.225565374</v>
      </c>
      <c r="F22" s="1">
        <v>2556861.2694053152</v>
      </c>
      <c r="G22" s="1">
        <v>-34198.606279667001</v>
      </c>
      <c r="H22" s="1">
        <v>-34198.606279667001</v>
      </c>
      <c r="I22" s="1">
        <v>-23519735.085867345</v>
      </c>
      <c r="J22" s="1">
        <v>-77419.002101914928</v>
      </c>
      <c r="N22" s="1">
        <v>-7615052.1508386657</v>
      </c>
      <c r="O22" s="1">
        <v>-1489832.0819017496</v>
      </c>
    </row>
    <row r="58" spans="6:6" ht="15.75" thickBot="1" x14ac:dyDescent="0.3">
      <c r="F58" s="1"/>
    </row>
  </sheetData>
  <sortState xmlns:xlrd2="http://schemas.microsoft.com/office/spreadsheetml/2017/richdata2" ref="F38:F58">
    <sortCondition ref="F38:F58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93DAB-C61E-437D-8FFC-036C37EB0108}">
  <dimension ref="A3:AA60"/>
  <sheetViews>
    <sheetView tabSelected="1" zoomScale="70" zoomScaleNormal="70" workbookViewId="0">
      <selection activeCell="P57" sqref="P57"/>
    </sheetView>
  </sheetViews>
  <sheetFormatPr defaultRowHeight="15" x14ac:dyDescent="0.25"/>
  <cols>
    <col min="1" max="1" width="5" bestFit="1" customWidth="1"/>
    <col min="7" max="7" width="18.28515625" bestFit="1" customWidth="1"/>
  </cols>
  <sheetData>
    <row r="3" spans="1:11" x14ac:dyDescent="0.25">
      <c r="B3" t="s">
        <v>0</v>
      </c>
    </row>
    <row r="4" spans="1:11" x14ac:dyDescent="0.25">
      <c r="A4">
        <v>2000</v>
      </c>
      <c r="B4">
        <v>78580259.047222212</v>
      </c>
      <c r="F4" t="s">
        <v>17</v>
      </c>
    </row>
    <row r="5" spans="1:11" ht="15.75" thickBot="1" x14ac:dyDescent="0.3">
      <c r="A5">
        <v>2001</v>
      </c>
      <c r="B5">
        <v>81681321.359730586</v>
      </c>
      <c r="C5">
        <v>78580259.047222212</v>
      </c>
    </row>
    <row r="6" spans="1:11" x14ac:dyDescent="0.25">
      <c r="A6">
        <v>2002</v>
      </c>
      <c r="B6">
        <v>79266752.609851718</v>
      </c>
      <c r="C6">
        <v>81681321.359730586</v>
      </c>
      <c r="F6" s="3" t="s">
        <v>18</v>
      </c>
      <c r="G6" s="3"/>
    </row>
    <row r="7" spans="1:11" x14ac:dyDescent="0.25">
      <c r="A7">
        <v>2003</v>
      </c>
      <c r="B7">
        <v>86623864.744981229</v>
      </c>
      <c r="C7">
        <v>79266752.609851718</v>
      </c>
      <c r="F7" t="s">
        <v>19</v>
      </c>
      <c r="G7">
        <v>0.76167891494928597</v>
      </c>
    </row>
    <row r="8" spans="1:11" x14ac:dyDescent="0.25">
      <c r="A8">
        <v>2004</v>
      </c>
      <c r="B8">
        <v>86152078.769785419</v>
      </c>
      <c r="C8">
        <v>86623864.744981229</v>
      </c>
      <c r="F8" t="s">
        <v>20</v>
      </c>
      <c r="G8">
        <v>0.58015476947832156</v>
      </c>
    </row>
    <row r="9" spans="1:11" x14ac:dyDescent="0.25">
      <c r="A9">
        <v>2005</v>
      </c>
      <c r="B9">
        <v>90148923.016216487</v>
      </c>
      <c r="C9">
        <v>86152078.769785419</v>
      </c>
      <c r="F9" t="s">
        <v>21</v>
      </c>
      <c r="G9">
        <v>0.55683003444933943</v>
      </c>
    </row>
    <row r="10" spans="1:11" x14ac:dyDescent="0.25">
      <c r="A10">
        <v>2006</v>
      </c>
      <c r="B10">
        <v>91416944.607555553</v>
      </c>
      <c r="C10">
        <v>90148923.016216487</v>
      </c>
      <c r="F10" t="s">
        <v>22</v>
      </c>
      <c r="G10">
        <v>27306798.395753864</v>
      </c>
    </row>
    <row r="11" spans="1:11" ht="15.75" thickBot="1" x14ac:dyDescent="0.3">
      <c r="A11">
        <v>2007</v>
      </c>
      <c r="B11">
        <v>95425542.390190482</v>
      </c>
      <c r="C11">
        <v>91416944.607555553</v>
      </c>
      <c r="F11" s="1" t="s">
        <v>23</v>
      </c>
      <c r="G11" s="1">
        <v>20</v>
      </c>
    </row>
    <row r="12" spans="1:11" x14ac:dyDescent="0.25">
      <c r="A12">
        <v>2008</v>
      </c>
      <c r="B12">
        <v>120394966.33935714</v>
      </c>
      <c r="C12">
        <v>95425542.390190482</v>
      </c>
    </row>
    <row r="13" spans="1:11" ht="15.75" thickBot="1" x14ac:dyDescent="0.3">
      <c r="A13">
        <v>2009</v>
      </c>
      <c r="B13">
        <v>110179825.4341508</v>
      </c>
      <c r="C13">
        <v>120394966.33935714</v>
      </c>
      <c r="F13" t="s">
        <v>24</v>
      </c>
    </row>
    <row r="14" spans="1:11" x14ac:dyDescent="0.25">
      <c r="A14">
        <v>2010</v>
      </c>
      <c r="B14">
        <v>124779287.46926983</v>
      </c>
      <c r="C14">
        <v>110179825.4341508</v>
      </c>
      <c r="F14" s="2"/>
      <c r="G14" s="2" t="s">
        <v>29</v>
      </c>
      <c r="H14" s="2" t="s">
        <v>30</v>
      </c>
      <c r="I14" s="2" t="s">
        <v>31</v>
      </c>
      <c r="J14" s="2" t="s">
        <v>32</v>
      </c>
      <c r="K14" s="2" t="s">
        <v>33</v>
      </c>
    </row>
    <row r="15" spans="1:11" x14ac:dyDescent="0.25">
      <c r="A15">
        <v>2011</v>
      </c>
      <c r="B15">
        <v>146411505.59530953</v>
      </c>
      <c r="C15">
        <v>124779287.46926983</v>
      </c>
      <c r="F15" t="s">
        <v>25</v>
      </c>
      <c r="G15">
        <v>1</v>
      </c>
      <c r="H15">
        <v>1.8546788354365528E+16</v>
      </c>
      <c r="I15">
        <v>1.8546788354365528E+16</v>
      </c>
      <c r="J15">
        <v>24.872941482827169</v>
      </c>
      <c r="K15">
        <v>9.5433961968725942E-5</v>
      </c>
    </row>
    <row r="16" spans="1:11" x14ac:dyDescent="0.25">
      <c r="A16">
        <v>2012</v>
      </c>
      <c r="B16">
        <v>125935360.3332143</v>
      </c>
      <c r="C16">
        <v>146411505.59530953</v>
      </c>
      <c r="F16" t="s">
        <v>26</v>
      </c>
      <c r="G16">
        <v>18</v>
      </c>
      <c r="H16">
        <v>1.3421902295274226E+16</v>
      </c>
      <c r="I16">
        <v>745661238626345.88</v>
      </c>
    </row>
    <row r="17" spans="1:27" ht="15.75" thickBot="1" x14ac:dyDescent="0.3">
      <c r="A17">
        <v>2013</v>
      </c>
      <c r="B17">
        <v>147410485.56025696</v>
      </c>
      <c r="C17">
        <v>125935360.3332143</v>
      </c>
      <c r="F17" s="1" t="s">
        <v>27</v>
      </c>
      <c r="G17" s="1">
        <v>19</v>
      </c>
      <c r="H17" s="1">
        <v>3.1968690649639752E+16</v>
      </c>
      <c r="I17" s="1"/>
      <c r="J17" s="1"/>
      <c r="K17" s="1"/>
    </row>
    <row r="18" spans="1:27" ht="15.75" thickBot="1" x14ac:dyDescent="0.3">
      <c r="A18">
        <v>2014</v>
      </c>
      <c r="B18">
        <v>125981980.86826687</v>
      </c>
      <c r="C18">
        <v>147410485.56025696</v>
      </c>
    </row>
    <row r="19" spans="1:27" x14ac:dyDescent="0.25">
      <c r="A19">
        <v>2015</v>
      </c>
      <c r="B19">
        <v>213026976.30353075</v>
      </c>
      <c r="C19">
        <v>125981980.86826687</v>
      </c>
      <c r="F19" s="2"/>
      <c r="G19" s="2" t="s">
        <v>34</v>
      </c>
      <c r="H19" s="2" t="s">
        <v>22</v>
      </c>
      <c r="I19" s="2" t="s">
        <v>35</v>
      </c>
      <c r="J19" s="2" t="s">
        <v>36</v>
      </c>
      <c r="K19" s="2" t="s">
        <v>37</v>
      </c>
      <c r="L19" s="2" t="s">
        <v>38</v>
      </c>
      <c r="M19" s="2" t="s">
        <v>39</v>
      </c>
      <c r="N19" s="2" t="s">
        <v>40</v>
      </c>
    </row>
    <row r="20" spans="1:27" x14ac:dyDescent="0.25">
      <c r="A20">
        <v>2016</v>
      </c>
      <c r="B20">
        <v>197135040.75190181</v>
      </c>
      <c r="C20">
        <v>213026976.30353075</v>
      </c>
      <c r="F20" t="s">
        <v>28</v>
      </c>
      <c r="G20">
        <v>29369441.228452131</v>
      </c>
      <c r="H20">
        <v>19814634.181913659</v>
      </c>
      <c r="I20">
        <v>1.4822096112811347</v>
      </c>
      <c r="J20">
        <v>0.15558043360039814</v>
      </c>
      <c r="K20">
        <v>-12259560.443643719</v>
      </c>
      <c r="L20">
        <v>70998442.900547981</v>
      </c>
      <c r="M20">
        <v>-12259560.443643719</v>
      </c>
      <c r="N20">
        <v>70998442.900547981</v>
      </c>
    </row>
    <row r="21" spans="1:27" ht="15.75" thickBot="1" x14ac:dyDescent="0.3">
      <c r="A21">
        <v>2017</v>
      </c>
      <c r="B21">
        <v>194053332.84588099</v>
      </c>
      <c r="C21">
        <v>197135040.75190181</v>
      </c>
      <c r="F21" s="1" t="s">
        <v>41</v>
      </c>
      <c r="G21" s="1">
        <v>0.76189891299921819</v>
      </c>
      <c r="H21" s="1">
        <v>0.15276848786287925</v>
      </c>
      <c r="I21" s="1">
        <v>4.9872779632608362</v>
      </c>
      <c r="J21" s="1">
        <v>9.5433961968726294E-5</v>
      </c>
      <c r="K21" s="1">
        <v>0.44094422979379971</v>
      </c>
      <c r="L21" s="1">
        <v>1.0828535962046366</v>
      </c>
      <c r="M21" s="1">
        <v>0.44094422979379971</v>
      </c>
      <c r="N21" s="1">
        <v>1.0828535962046366</v>
      </c>
    </row>
    <row r="22" spans="1:27" x14ac:dyDescent="0.25">
      <c r="A22">
        <v>2018</v>
      </c>
      <c r="B22">
        <v>152209475.00889683</v>
      </c>
      <c r="C22">
        <v>194053332.84588099</v>
      </c>
    </row>
    <row r="23" spans="1:27" x14ac:dyDescent="0.25">
      <c r="A23">
        <v>2019</v>
      </c>
      <c r="B23">
        <v>121021690.35702381</v>
      </c>
      <c r="C23">
        <v>152209475.00889683</v>
      </c>
    </row>
    <row r="24" spans="1:27" x14ac:dyDescent="0.25">
      <c r="A24">
        <v>2020</v>
      </c>
      <c r="B24">
        <v>78374741.523485318</v>
      </c>
      <c r="C24">
        <v>121021690.35702381</v>
      </c>
    </row>
    <row r="25" spans="1:27" x14ac:dyDescent="0.25">
      <c r="C25">
        <v>78374741.523485318</v>
      </c>
      <c r="F25" t="s">
        <v>42</v>
      </c>
      <c r="K25" t="s">
        <v>47</v>
      </c>
    </row>
    <row r="26" spans="1:27" ht="15.75" thickBot="1" x14ac:dyDescent="0.3"/>
    <row r="27" spans="1:27" x14ac:dyDescent="0.25">
      <c r="F27" s="2" t="s">
        <v>43</v>
      </c>
      <c r="G27" s="2" t="s">
        <v>44</v>
      </c>
      <c r="H27" s="2" t="s">
        <v>45</v>
      </c>
      <c r="I27" s="2" t="s">
        <v>46</v>
      </c>
      <c r="K27" s="2" t="s">
        <v>48</v>
      </c>
      <c r="L27" s="2" t="s">
        <v>49</v>
      </c>
    </row>
    <row r="28" spans="1:27" x14ac:dyDescent="0.25">
      <c r="F28">
        <v>1</v>
      </c>
      <c r="G28">
        <v>89239655.179727718</v>
      </c>
      <c r="H28">
        <v>-7558333.8199971318</v>
      </c>
      <c r="I28">
        <v>-0.28437789351844672</v>
      </c>
      <c r="K28">
        <v>2.5</v>
      </c>
      <c r="L28">
        <v>78374741.523485318</v>
      </c>
    </row>
    <row r="29" spans="1:27" ht="15.75" thickBot="1" x14ac:dyDescent="0.3">
      <c r="F29">
        <v>2</v>
      </c>
      <c r="G29">
        <v>91602351.184770688</v>
      </c>
      <c r="H29">
        <v>-12335598.57491897</v>
      </c>
      <c r="I29">
        <v>-0.4641196884878977</v>
      </c>
      <c r="K29">
        <v>7.5</v>
      </c>
      <c r="L29">
        <v>79266752.609851718</v>
      </c>
    </row>
    <row r="30" spans="1:27" x14ac:dyDescent="0.25">
      <c r="F30">
        <v>3</v>
      </c>
      <c r="G30">
        <v>89762693.87887609</v>
      </c>
      <c r="H30">
        <v>-3138829.1338948607</v>
      </c>
      <c r="I30">
        <v>-0.11809661209323113</v>
      </c>
      <c r="K30">
        <v>12.5</v>
      </c>
      <c r="L30">
        <v>81681321.359730586</v>
      </c>
      <c r="Z30" s="2" t="s">
        <v>50</v>
      </c>
      <c r="AA30" s="2" t="s">
        <v>52</v>
      </c>
    </row>
    <row r="31" spans="1:27" x14ac:dyDescent="0.25">
      <c r="F31">
        <v>4</v>
      </c>
      <c r="G31">
        <v>95368069.617444634</v>
      </c>
      <c r="H31">
        <v>-9215990.8476592153</v>
      </c>
      <c r="I31">
        <v>-0.3467462705879279</v>
      </c>
      <c r="K31">
        <v>17.5</v>
      </c>
      <c r="L31">
        <v>86152078.769785419</v>
      </c>
      <c r="Z31">
        <v>-0.5</v>
      </c>
      <c r="AA31">
        <v>5</v>
      </c>
    </row>
    <row r="32" spans="1:27" x14ac:dyDescent="0.25">
      <c r="F32">
        <v>5</v>
      </c>
      <c r="G32">
        <v>95008616.395774662</v>
      </c>
      <c r="H32">
        <v>-4859693.3795581758</v>
      </c>
      <c r="I32">
        <v>-0.18284312380699003</v>
      </c>
      <c r="K32">
        <v>22.5</v>
      </c>
      <c r="L32">
        <v>86623864.744981229</v>
      </c>
      <c r="Z32">
        <v>-0.4</v>
      </c>
      <c r="AA32">
        <v>2</v>
      </c>
    </row>
    <row r="33" spans="6:27" x14ac:dyDescent="0.25">
      <c r="F33">
        <v>6</v>
      </c>
      <c r="G33">
        <v>98053807.682557672</v>
      </c>
      <c r="H33">
        <v>-6636863.0750021189</v>
      </c>
      <c r="I33">
        <v>-0.24970809516854336</v>
      </c>
      <c r="K33">
        <v>27.5</v>
      </c>
      <c r="L33">
        <v>90148923.016216487</v>
      </c>
      <c r="Z33">
        <v>-0.3</v>
      </c>
      <c r="AA33">
        <v>1</v>
      </c>
    </row>
    <row r="34" spans="6:27" x14ac:dyDescent="0.25">
      <c r="F34">
        <v>7</v>
      </c>
      <c r="G34">
        <v>99019911.954658449</v>
      </c>
      <c r="H34">
        <v>-3594369.5644679666</v>
      </c>
      <c r="I34">
        <v>-0.13523605461376739</v>
      </c>
      <c r="K34">
        <v>32.5</v>
      </c>
      <c r="L34">
        <v>91416944.607555553</v>
      </c>
      <c r="Z34">
        <v>-0.2</v>
      </c>
      <c r="AA34">
        <v>2</v>
      </c>
    </row>
    <row r="35" spans="6:27" x14ac:dyDescent="0.25">
      <c r="F35">
        <v>8</v>
      </c>
      <c r="G35">
        <v>102074058.24789907</v>
      </c>
      <c r="H35">
        <v>18320908.091458067</v>
      </c>
      <c r="I35">
        <v>0.68931346173274588</v>
      </c>
      <c r="K35">
        <v>37.5</v>
      </c>
      <c r="L35">
        <v>95425542.390190482</v>
      </c>
      <c r="Z35">
        <v>-0.1</v>
      </c>
      <c r="AA35">
        <v>3</v>
      </c>
    </row>
    <row r="36" spans="6:27" x14ac:dyDescent="0.25">
      <c r="F36">
        <v>9</v>
      </c>
      <c r="G36">
        <v>121098235.2129858</v>
      </c>
      <c r="H36">
        <v>-10918409.778834999</v>
      </c>
      <c r="I36">
        <v>-0.4107987881219945</v>
      </c>
      <c r="K36">
        <v>42.5</v>
      </c>
      <c r="L36">
        <v>110179825.4341508</v>
      </c>
      <c r="Z36">
        <v>0</v>
      </c>
      <c r="AA36">
        <v>0</v>
      </c>
    </row>
    <row r="37" spans="6:27" x14ac:dyDescent="0.25">
      <c r="F37">
        <v>10</v>
      </c>
      <c r="G37">
        <v>113315330.46117523</v>
      </c>
      <c r="H37">
        <v>11463957.008094594</v>
      </c>
      <c r="I37">
        <v>0.43132468385065492</v>
      </c>
      <c r="K37">
        <v>47.5</v>
      </c>
      <c r="L37">
        <v>120394966.33935714</v>
      </c>
      <c r="Z37">
        <v>0.1</v>
      </c>
      <c r="AA37">
        <v>0</v>
      </c>
    </row>
    <row r="38" spans="6:27" x14ac:dyDescent="0.25">
      <c r="F38">
        <v>11</v>
      </c>
      <c r="G38">
        <v>124438644.71610577</v>
      </c>
      <c r="H38">
        <v>21972860.879203752</v>
      </c>
      <c r="I38">
        <v>0.82671605147551153</v>
      </c>
      <c r="K38">
        <v>52.5</v>
      </c>
      <c r="L38">
        <v>121021690.35702381</v>
      </c>
      <c r="Z38">
        <v>0.2</v>
      </c>
      <c r="AA38">
        <v>0</v>
      </c>
    </row>
    <row r="39" spans="6:27" x14ac:dyDescent="0.25">
      <c r="F39">
        <v>12</v>
      </c>
      <c r="G39">
        <v>140920208.19209743</v>
      </c>
      <c r="H39">
        <v>-14984847.858883128</v>
      </c>
      <c r="I39">
        <v>-0.56379614479705631</v>
      </c>
      <c r="K39">
        <v>57.5</v>
      </c>
      <c r="L39">
        <v>124779287.46926983</v>
      </c>
      <c r="Z39">
        <v>0.3</v>
      </c>
      <c r="AA39">
        <v>1</v>
      </c>
    </row>
    <row r="40" spans="6:27" x14ac:dyDescent="0.25">
      <c r="F40">
        <v>13</v>
      </c>
      <c r="G40">
        <v>125319455.37449296</v>
      </c>
      <c r="H40">
        <v>22091030.185764</v>
      </c>
      <c r="I40">
        <v>0.83116210258656864</v>
      </c>
      <c r="K40">
        <v>62.5</v>
      </c>
      <c r="L40">
        <v>125935360.3332143</v>
      </c>
      <c r="Z40">
        <v>0.4</v>
      </c>
      <c r="AA40">
        <v>0</v>
      </c>
    </row>
    <row r="41" spans="6:27" x14ac:dyDescent="0.25">
      <c r="F41">
        <v>14</v>
      </c>
      <c r="G41">
        <v>141681329.94149888</v>
      </c>
      <c r="H41">
        <v>-15699349.07323201</v>
      </c>
      <c r="I41">
        <v>-0.59067883549210487</v>
      </c>
      <c r="K41">
        <v>67.5</v>
      </c>
      <c r="L41">
        <v>125981980.86826687</v>
      </c>
      <c r="Z41">
        <v>0.5</v>
      </c>
      <c r="AA41">
        <v>1</v>
      </c>
    </row>
    <row r="42" spans="6:27" ht="15.75" thickBot="1" x14ac:dyDescent="0.3">
      <c r="F42">
        <v>15</v>
      </c>
      <c r="G42">
        <v>125354975.50947295</v>
      </c>
      <c r="H42">
        <v>87672000.794057801</v>
      </c>
      <c r="I42">
        <v>3.2986078016823037</v>
      </c>
      <c r="K42">
        <v>72.5</v>
      </c>
      <c r="L42">
        <v>146411505.59530953</v>
      </c>
      <c r="Z42" s="1" t="s">
        <v>51</v>
      </c>
      <c r="AA42" s="1">
        <v>5</v>
      </c>
    </row>
    <row r="43" spans="6:27" x14ac:dyDescent="0.25">
      <c r="F43">
        <v>16</v>
      </c>
      <c r="G43">
        <v>191674462.91362244</v>
      </c>
      <c r="H43">
        <v>5460577.8382793665</v>
      </c>
      <c r="I43">
        <v>0.20545105045968837</v>
      </c>
      <c r="K43">
        <v>77.5</v>
      </c>
      <c r="L43">
        <v>147410485.56025696</v>
      </c>
    </row>
    <row r="44" spans="6:27" x14ac:dyDescent="0.25">
      <c r="F44">
        <v>17</v>
      </c>
      <c r="G44">
        <v>179566414.49138272</v>
      </c>
      <c r="H44">
        <v>14486918.354498267</v>
      </c>
      <c r="I44">
        <v>0.54506183814298681</v>
      </c>
      <c r="K44">
        <v>82.5</v>
      </c>
      <c r="L44">
        <v>152209475.00889683</v>
      </c>
    </row>
    <row r="45" spans="6:27" x14ac:dyDescent="0.25">
      <c r="F45">
        <v>18</v>
      </c>
      <c r="G45">
        <v>177218464.58760434</v>
      </c>
      <c r="H45">
        <v>-25008989.578707516</v>
      </c>
      <c r="I45">
        <v>-0.94094861973433308</v>
      </c>
      <c r="K45">
        <v>87.5</v>
      </c>
      <c r="L45">
        <v>194053332.84588099</v>
      </c>
    </row>
    <row r="46" spans="6:27" x14ac:dyDescent="0.25">
      <c r="F46">
        <v>19</v>
      </c>
      <c r="G46">
        <v>145337674.78591228</v>
      </c>
      <c r="H46">
        <v>-24315984.42888847</v>
      </c>
      <c r="I46">
        <v>-0.91487470590671505</v>
      </c>
      <c r="K46">
        <v>92.5</v>
      </c>
      <c r="L46">
        <v>197135040.75190181</v>
      </c>
    </row>
    <row r="47" spans="6:27" ht="15.75" thickBot="1" x14ac:dyDescent="0.3">
      <c r="F47" s="1">
        <v>20</v>
      </c>
      <c r="G47" s="1">
        <v>121575735.56079653</v>
      </c>
      <c r="H47" s="1">
        <v>-43200994.037311211</v>
      </c>
      <c r="I47" s="1">
        <v>-1.6254121576014491</v>
      </c>
      <c r="K47" s="1">
        <v>97.5</v>
      </c>
      <c r="L47" s="1">
        <v>213026976.30353075</v>
      </c>
    </row>
    <row r="50" spans="9:9" x14ac:dyDescent="0.25">
      <c r="I50">
        <v>-0.5</v>
      </c>
    </row>
    <row r="51" spans="9:9" x14ac:dyDescent="0.25">
      <c r="I51">
        <v>-0.4</v>
      </c>
    </row>
    <row r="52" spans="9:9" x14ac:dyDescent="0.25">
      <c r="I52">
        <v>-0.3</v>
      </c>
    </row>
    <row r="53" spans="9:9" x14ac:dyDescent="0.25">
      <c r="I53">
        <v>-0.2</v>
      </c>
    </row>
    <row r="54" spans="9:9" x14ac:dyDescent="0.25">
      <c r="I54">
        <v>-0.1</v>
      </c>
    </row>
    <row r="55" spans="9:9" x14ac:dyDescent="0.25">
      <c r="I55">
        <v>0</v>
      </c>
    </row>
    <row r="56" spans="9:9" x14ac:dyDescent="0.25">
      <c r="I56">
        <v>0.1</v>
      </c>
    </row>
    <row r="57" spans="9:9" x14ac:dyDescent="0.25">
      <c r="I57">
        <v>0.2</v>
      </c>
    </row>
    <row r="58" spans="9:9" x14ac:dyDescent="0.25">
      <c r="I58">
        <v>0.3</v>
      </c>
    </row>
    <row r="59" spans="9:9" x14ac:dyDescent="0.25">
      <c r="I59">
        <v>0.4</v>
      </c>
    </row>
    <row r="60" spans="9:9" x14ac:dyDescent="0.25">
      <c r="I60">
        <v>0.5</v>
      </c>
    </row>
  </sheetData>
  <sortState xmlns:xlrd2="http://schemas.microsoft.com/office/spreadsheetml/2017/richdata2" ref="Z31:Z41">
    <sortCondition ref="Z31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2D793-011B-4E3E-B068-91A32E63492B}">
  <dimension ref="A3:AA82"/>
  <sheetViews>
    <sheetView topLeftCell="D1" zoomScale="70" zoomScaleNormal="70" workbookViewId="0">
      <selection activeCell="F5" sqref="F5:G10"/>
    </sheetView>
  </sheetViews>
  <sheetFormatPr defaultRowHeight="15" x14ac:dyDescent="0.25"/>
  <cols>
    <col min="1" max="1" width="5" bestFit="1" customWidth="1"/>
    <col min="7" max="7" width="18.28515625" bestFit="1" customWidth="1"/>
    <col min="8" max="8" width="14.7109375" bestFit="1" customWidth="1"/>
    <col min="10" max="11" width="12.7109375" bestFit="1" customWidth="1"/>
    <col min="15" max="15" width="12.5703125" bestFit="1" customWidth="1"/>
    <col min="26" max="26" width="12.5703125" bestFit="1" customWidth="1"/>
  </cols>
  <sheetData>
    <row r="3" spans="1:11" x14ac:dyDescent="0.25">
      <c r="B3" t="s">
        <v>1</v>
      </c>
      <c r="F3" t="s">
        <v>17</v>
      </c>
    </row>
    <row r="4" spans="1:11" ht="15.75" thickBot="1" x14ac:dyDescent="0.3">
      <c r="A4">
        <v>2000</v>
      </c>
      <c r="B4">
        <v>16708549.179678362</v>
      </c>
    </row>
    <row r="5" spans="1:11" x14ac:dyDescent="0.25">
      <c r="A5">
        <v>2001</v>
      </c>
      <c r="B5">
        <v>16708884.350394737</v>
      </c>
      <c r="C5">
        <v>16708549.179678362</v>
      </c>
      <c r="F5" s="3" t="s">
        <v>18</v>
      </c>
      <c r="G5" s="3"/>
    </row>
    <row r="6" spans="1:11" x14ac:dyDescent="0.25">
      <c r="A6">
        <v>2002</v>
      </c>
      <c r="B6">
        <v>16621239.041359648</v>
      </c>
      <c r="C6">
        <v>16708884.350394737</v>
      </c>
      <c r="F6" t="s">
        <v>19</v>
      </c>
      <c r="G6">
        <v>0.79776986538092232</v>
      </c>
    </row>
    <row r="7" spans="1:11" x14ac:dyDescent="0.25">
      <c r="A7">
        <v>2003</v>
      </c>
      <c r="B7">
        <v>16912298.703333337</v>
      </c>
      <c r="C7">
        <v>16621239.041359648</v>
      </c>
      <c r="F7" t="s">
        <v>20</v>
      </c>
      <c r="G7">
        <v>0.63643675810989486</v>
      </c>
    </row>
    <row r="8" spans="1:11" x14ac:dyDescent="0.25">
      <c r="A8">
        <v>2004</v>
      </c>
      <c r="B8">
        <v>17990792.786473684</v>
      </c>
      <c r="C8">
        <v>16912298.703333337</v>
      </c>
      <c r="F8" t="s">
        <v>21</v>
      </c>
      <c r="G8">
        <v>0.61623880022711119</v>
      </c>
    </row>
    <row r="9" spans="1:11" x14ac:dyDescent="0.25">
      <c r="A9">
        <v>2005</v>
      </c>
      <c r="B9">
        <v>32224595.057609651</v>
      </c>
      <c r="C9">
        <v>17990792.786473684</v>
      </c>
      <c r="F9" t="s">
        <v>22</v>
      </c>
      <c r="G9">
        <v>69987209.317434773</v>
      </c>
    </row>
    <row r="10" spans="1:11" ht="15.75" thickBot="1" x14ac:dyDescent="0.3">
      <c r="A10">
        <v>2006</v>
      </c>
      <c r="B10">
        <v>36010295.660687134</v>
      </c>
      <c r="C10">
        <v>32224595.057609651</v>
      </c>
      <c r="F10" s="1" t="s">
        <v>23</v>
      </c>
      <c r="G10" s="1">
        <v>20</v>
      </c>
    </row>
    <row r="11" spans="1:11" x14ac:dyDescent="0.25">
      <c r="A11">
        <v>2007</v>
      </c>
      <c r="B11">
        <v>35638478.889780708</v>
      </c>
      <c r="C11">
        <v>36010295.660687134</v>
      </c>
    </row>
    <row r="12" spans="1:11" ht="15.75" thickBot="1" x14ac:dyDescent="0.3">
      <c r="A12">
        <v>2008</v>
      </c>
      <c r="B12">
        <v>21093263.448026314</v>
      </c>
      <c r="C12">
        <v>35638478.889780708</v>
      </c>
      <c r="F12" t="s">
        <v>24</v>
      </c>
    </row>
    <row r="13" spans="1:11" x14ac:dyDescent="0.25">
      <c r="A13">
        <v>2009</v>
      </c>
      <c r="B13">
        <v>22353124.59600877</v>
      </c>
      <c r="C13">
        <v>21093263.448026314</v>
      </c>
      <c r="F13" s="2"/>
      <c r="G13" s="2" t="s">
        <v>29</v>
      </c>
      <c r="H13" s="2" t="s">
        <v>30</v>
      </c>
      <c r="I13" s="2" t="s">
        <v>31</v>
      </c>
      <c r="J13" s="2" t="s">
        <v>32</v>
      </c>
      <c r="K13" s="2" t="s">
        <v>33</v>
      </c>
    </row>
    <row r="14" spans="1:11" x14ac:dyDescent="0.25">
      <c r="A14">
        <v>2010</v>
      </c>
      <c r="B14">
        <v>22384691.346491225</v>
      </c>
      <c r="C14">
        <v>22353124.59600877</v>
      </c>
      <c r="F14" t="s">
        <v>25</v>
      </c>
      <c r="G14">
        <v>1</v>
      </c>
      <c r="H14">
        <v>1.5434236334561987E+17</v>
      </c>
      <c r="I14">
        <v>1.5434236334561987E+17</v>
      </c>
      <c r="J14">
        <v>31.509955699649343</v>
      </c>
      <c r="K14">
        <v>2.5114402497956629E-5</v>
      </c>
    </row>
    <row r="15" spans="1:11" x14ac:dyDescent="0.25">
      <c r="A15">
        <v>2011</v>
      </c>
      <c r="B15">
        <v>21083590.427631583</v>
      </c>
      <c r="C15">
        <v>22384691.346491225</v>
      </c>
      <c r="F15" t="s">
        <v>26</v>
      </c>
      <c r="G15">
        <v>18</v>
      </c>
      <c r="H15">
        <v>8.8167770424763712E+16</v>
      </c>
      <c r="I15">
        <v>4898209468042428</v>
      </c>
    </row>
    <row r="16" spans="1:11" ht="15.75" thickBot="1" x14ac:dyDescent="0.3">
      <c r="A16">
        <v>2012</v>
      </c>
      <c r="B16">
        <v>4248060.8244444449</v>
      </c>
      <c r="C16">
        <v>21083590.427631583</v>
      </c>
      <c r="F16" s="1" t="s">
        <v>27</v>
      </c>
      <c r="G16" s="1">
        <v>19</v>
      </c>
      <c r="H16" s="1">
        <v>2.4251013377038358E+17</v>
      </c>
      <c r="I16" s="1"/>
      <c r="J16" s="1"/>
      <c r="K16" s="1"/>
    </row>
    <row r="17" spans="1:27" ht="15.75" thickBot="1" x14ac:dyDescent="0.3">
      <c r="A17">
        <v>2013</v>
      </c>
      <c r="B17">
        <v>15084549.272055555</v>
      </c>
      <c r="C17">
        <v>4248060.8244444449</v>
      </c>
    </row>
    <row r="18" spans="1:27" x14ac:dyDescent="0.25">
      <c r="A18">
        <v>2014</v>
      </c>
      <c r="B18">
        <v>24102254.030939683</v>
      </c>
      <c r="C18">
        <v>15084549.272055555</v>
      </c>
      <c r="F18" s="2"/>
      <c r="G18" s="2" t="s">
        <v>34</v>
      </c>
      <c r="H18" s="2" t="s">
        <v>22</v>
      </c>
      <c r="I18" s="2" t="s">
        <v>35</v>
      </c>
      <c r="J18" s="2" t="s">
        <v>36</v>
      </c>
      <c r="K18" s="2" t="s">
        <v>37</v>
      </c>
      <c r="L18" s="2" t="s">
        <v>38</v>
      </c>
      <c r="M18" s="2" t="s">
        <v>39</v>
      </c>
      <c r="N18" s="2" t="s">
        <v>40</v>
      </c>
    </row>
    <row r="19" spans="1:27" x14ac:dyDescent="0.25">
      <c r="A19">
        <v>2015</v>
      </c>
      <c r="B19">
        <v>101868384.09515873</v>
      </c>
      <c r="C19">
        <v>24102254.030939683</v>
      </c>
      <c r="F19" t="s">
        <v>28</v>
      </c>
      <c r="G19">
        <v>21941918.523137279</v>
      </c>
      <c r="H19">
        <v>18744138.556592934</v>
      </c>
      <c r="I19">
        <v>1.1706015967012569</v>
      </c>
      <c r="J19">
        <v>0.2570241110611497</v>
      </c>
      <c r="K19">
        <v>-17438055.295740649</v>
      </c>
      <c r="L19">
        <v>61321892.342015207</v>
      </c>
      <c r="M19">
        <v>-17438055.295740649</v>
      </c>
      <c r="N19">
        <v>61321892.342015207</v>
      </c>
    </row>
    <row r="20" spans="1:27" ht="15.75" thickBot="1" x14ac:dyDescent="0.3">
      <c r="A20">
        <v>2016</v>
      </c>
      <c r="B20">
        <v>89505897.242817461</v>
      </c>
      <c r="C20">
        <v>101868384.09515873</v>
      </c>
      <c r="F20" s="1" t="s">
        <v>41</v>
      </c>
      <c r="G20" s="1">
        <v>0.8159488730088108</v>
      </c>
      <c r="H20" s="1">
        <v>0.1453580374148149</v>
      </c>
      <c r="I20" s="1">
        <v>5.6133729343104717</v>
      </c>
      <c r="J20" s="1">
        <v>2.5114402497956579E-5</v>
      </c>
      <c r="K20" s="1">
        <v>0.51056296847784477</v>
      </c>
      <c r="L20" s="1">
        <v>1.1213347775397768</v>
      </c>
      <c r="M20" s="1">
        <v>0.51056296847784477</v>
      </c>
      <c r="N20" s="1">
        <v>1.1213347775397768</v>
      </c>
    </row>
    <row r="21" spans="1:27" x14ac:dyDescent="0.25">
      <c r="A21">
        <v>2017</v>
      </c>
      <c r="B21">
        <v>166340120.54050559</v>
      </c>
      <c r="C21">
        <v>89505897.242817461</v>
      </c>
    </row>
    <row r="22" spans="1:27" x14ac:dyDescent="0.25">
      <c r="A22">
        <v>2018</v>
      </c>
      <c r="B22">
        <v>410169950.20542622</v>
      </c>
      <c r="C22">
        <v>166340120.54050559</v>
      </c>
    </row>
    <row r="23" spans="1:27" x14ac:dyDescent="0.25">
      <c r="A23">
        <v>2019</v>
      </c>
      <c r="B23">
        <v>332425433.06345028</v>
      </c>
      <c r="C23">
        <v>410169950.20542622</v>
      </c>
    </row>
    <row r="24" spans="1:27" x14ac:dyDescent="0.25">
      <c r="A24">
        <v>2020</v>
      </c>
      <c r="B24">
        <v>194291046.87632623</v>
      </c>
      <c r="C24">
        <v>332425433.06345028</v>
      </c>
      <c r="F24" t="s">
        <v>42</v>
      </c>
      <c r="K24" t="s">
        <v>47</v>
      </c>
    </row>
    <row r="25" spans="1:27" ht="15.75" thickBot="1" x14ac:dyDescent="0.3">
      <c r="C25">
        <v>194291046.87632623</v>
      </c>
    </row>
    <row r="26" spans="1:27" x14ac:dyDescent="0.25">
      <c r="F26" s="2" t="s">
        <v>43</v>
      </c>
      <c r="G26" s="2" t="s">
        <v>44</v>
      </c>
      <c r="H26" s="2" t="s">
        <v>45</v>
      </c>
      <c r="I26" s="2" t="s">
        <v>46</v>
      </c>
      <c r="K26" s="2" t="s">
        <v>48</v>
      </c>
      <c r="L26" s="2" t="s">
        <v>49</v>
      </c>
    </row>
    <row r="27" spans="1:27" x14ac:dyDescent="0.25">
      <c r="F27">
        <v>1</v>
      </c>
      <c r="G27">
        <v>35575240.395908132</v>
      </c>
      <c r="H27">
        <v>-18866356.045513395</v>
      </c>
      <c r="I27">
        <v>-0.27695543830127933</v>
      </c>
      <c r="K27">
        <v>2.5</v>
      </c>
      <c r="L27">
        <v>4248060.8244444449</v>
      </c>
    </row>
    <row r="28" spans="1:27" x14ac:dyDescent="0.25">
      <c r="F28">
        <v>2</v>
      </c>
      <c r="G28">
        <v>35575513.878076419</v>
      </c>
      <c r="H28">
        <v>-18954274.836716771</v>
      </c>
      <c r="I28">
        <v>-0.27824607372096022</v>
      </c>
      <c r="K28">
        <v>7.5</v>
      </c>
      <c r="L28">
        <v>15084549.272055555</v>
      </c>
    </row>
    <row r="29" spans="1:27" ht="15.75" thickBot="1" x14ac:dyDescent="0.3">
      <c r="F29">
        <v>3</v>
      </c>
      <c r="G29">
        <v>35503999.786944732</v>
      </c>
      <c r="H29">
        <v>-18591701.083611395</v>
      </c>
      <c r="I29">
        <v>-0.27292354230760235</v>
      </c>
      <c r="K29">
        <v>12.5</v>
      </c>
      <c r="L29">
        <v>16621239.041359648</v>
      </c>
    </row>
    <row r="30" spans="1:27" x14ac:dyDescent="0.25">
      <c r="F30">
        <v>4</v>
      </c>
      <c r="G30">
        <v>35741489.590110488</v>
      </c>
      <c r="H30">
        <v>-17750696.803636804</v>
      </c>
      <c r="I30">
        <v>-0.26057771842875077</v>
      </c>
      <c r="K30">
        <v>17.5</v>
      </c>
      <c r="L30">
        <v>16708884.350394737</v>
      </c>
      <c r="Z30" s="2"/>
      <c r="AA30" s="2"/>
    </row>
    <row r="31" spans="1:27" x14ac:dyDescent="0.25">
      <c r="F31">
        <v>5</v>
      </c>
      <c r="G31">
        <v>36621485.62179552</v>
      </c>
      <c r="H31">
        <v>-4396890.5641858689</v>
      </c>
      <c r="I31">
        <v>-6.4545731588503963E-2</v>
      </c>
      <c r="K31">
        <v>22.5</v>
      </c>
      <c r="L31">
        <v>16912298.703333337</v>
      </c>
    </row>
    <row r="32" spans="1:27" x14ac:dyDescent="0.25">
      <c r="F32">
        <v>6</v>
      </c>
      <c r="G32">
        <v>48235540.543559164</v>
      </c>
      <c r="H32">
        <v>-12225244.88287203</v>
      </c>
      <c r="I32">
        <v>-0.17946486574875617</v>
      </c>
      <c r="K32">
        <v>27.5</v>
      </c>
      <c r="L32">
        <v>17990792.786473684</v>
      </c>
    </row>
    <row r="33" spans="6:27" x14ac:dyDescent="0.25">
      <c r="F33">
        <v>7</v>
      </c>
      <c r="G33">
        <v>51324478.684189014</v>
      </c>
      <c r="H33">
        <v>-15685999.794408306</v>
      </c>
      <c r="I33">
        <v>-0.23026825836286774</v>
      </c>
      <c r="K33">
        <v>32.5</v>
      </c>
      <c r="L33">
        <v>21083590.427631583</v>
      </c>
    </row>
    <row r="34" spans="6:27" x14ac:dyDescent="0.25">
      <c r="F34">
        <v>8</v>
      </c>
      <c r="G34">
        <v>51021095.209002137</v>
      </c>
      <c r="H34">
        <v>-29927831.760975823</v>
      </c>
      <c r="I34">
        <v>-0.43933633727532329</v>
      </c>
      <c r="K34">
        <v>37.5</v>
      </c>
      <c r="L34">
        <v>21093263.448026314</v>
      </c>
    </row>
    <row r="35" spans="6:27" x14ac:dyDescent="0.25">
      <c r="F35">
        <v>9</v>
      </c>
      <c r="G35">
        <v>39152943.06163229</v>
      </c>
      <c r="H35">
        <v>-16799818.46562352</v>
      </c>
      <c r="I35">
        <v>-0.24661895891841659</v>
      </c>
      <c r="K35">
        <v>42.5</v>
      </c>
      <c r="L35">
        <v>22353124.59600877</v>
      </c>
    </row>
    <row r="36" spans="6:27" x14ac:dyDescent="0.25">
      <c r="F36">
        <v>10</v>
      </c>
      <c r="G36">
        <v>40180925.345476165</v>
      </c>
      <c r="H36">
        <v>-17796233.99898494</v>
      </c>
      <c r="I36">
        <v>-0.26124619801570598</v>
      </c>
      <c r="K36">
        <v>47.5</v>
      </c>
      <c r="L36">
        <v>22384691.346491225</v>
      </c>
    </row>
    <row r="37" spans="6:27" x14ac:dyDescent="0.25">
      <c r="F37">
        <v>11</v>
      </c>
      <c r="G37">
        <v>40206682.199956879</v>
      </c>
      <c r="H37">
        <v>-19123091.772325296</v>
      </c>
      <c r="I37">
        <v>-0.28072428245832032</v>
      </c>
      <c r="K37">
        <v>52.5</v>
      </c>
      <c r="L37">
        <v>24102254.030939683</v>
      </c>
    </row>
    <row r="38" spans="6:27" x14ac:dyDescent="0.25">
      <c r="F38">
        <v>12</v>
      </c>
      <c r="G38">
        <v>39145050.371542618</v>
      </c>
      <c r="H38">
        <v>-34896989.547098175</v>
      </c>
      <c r="I38">
        <v>-0.51228287074069878</v>
      </c>
      <c r="K38">
        <v>57.5</v>
      </c>
      <c r="L38">
        <v>32224595.057609651</v>
      </c>
    </row>
    <row r="39" spans="6:27" x14ac:dyDescent="0.25">
      <c r="F39">
        <v>13</v>
      </c>
      <c r="G39">
        <v>25408118.965315603</v>
      </c>
      <c r="H39">
        <v>-10323569.693260048</v>
      </c>
      <c r="I39">
        <v>-0.15154854293712849</v>
      </c>
      <c r="K39">
        <v>62.5</v>
      </c>
      <c r="L39">
        <v>35638478.889780708</v>
      </c>
    </row>
    <row r="40" spans="6:27" x14ac:dyDescent="0.25">
      <c r="F40">
        <v>14</v>
      </c>
      <c r="G40">
        <v>34250139.501516886</v>
      </c>
      <c r="H40">
        <v>-10147885.470577203</v>
      </c>
      <c r="I40">
        <v>-0.14896952339682262</v>
      </c>
      <c r="K40">
        <v>67.5</v>
      </c>
      <c r="L40">
        <v>36010295.660687134</v>
      </c>
    </row>
    <row r="41" spans="6:27" x14ac:dyDescent="0.25">
      <c r="F41">
        <v>15</v>
      </c>
      <c r="G41">
        <v>41608125.536654577</v>
      </c>
      <c r="H41">
        <v>60260258.558504149</v>
      </c>
      <c r="I41">
        <v>0.8846120724615415</v>
      </c>
      <c r="K41">
        <v>72.5</v>
      </c>
      <c r="L41">
        <v>89505897.242817461</v>
      </c>
    </row>
    <row r="42" spans="6:27" x14ac:dyDescent="0.25">
      <c r="F42">
        <v>16</v>
      </c>
      <c r="G42">
        <v>105061311.72081071</v>
      </c>
      <c r="H42">
        <v>-15555414.47799325</v>
      </c>
      <c r="I42">
        <v>-0.22835128438780891</v>
      </c>
      <c r="K42">
        <v>77.5</v>
      </c>
      <c r="L42">
        <v>101868384.09515873</v>
      </c>
    </row>
    <row r="43" spans="6:27" x14ac:dyDescent="0.25">
      <c r="F43">
        <v>17</v>
      </c>
      <c r="G43">
        <v>94974154.506056607</v>
      </c>
      <c r="H43">
        <v>71365966.034448981</v>
      </c>
      <c r="I43">
        <v>1.0476422874233517</v>
      </c>
      <c r="K43">
        <v>82.5</v>
      </c>
      <c r="L43">
        <v>166340120.54050559</v>
      </c>
    </row>
    <row r="44" spans="6:27" x14ac:dyDescent="0.25">
      <c r="F44">
        <v>18</v>
      </c>
      <c r="G44">
        <v>157666952.41431254</v>
      </c>
      <c r="H44">
        <v>252502997.79111367</v>
      </c>
      <c r="I44">
        <v>3.7067082936906299</v>
      </c>
      <c r="K44">
        <v>87.5</v>
      </c>
      <c r="L44">
        <v>194291046.87632623</v>
      </c>
    </row>
    <row r="45" spans="6:27" ht="15.75" thickBot="1" x14ac:dyDescent="0.3">
      <c r="F45">
        <v>19</v>
      </c>
      <c r="G45">
        <v>356619627.13533485</v>
      </c>
      <c r="H45">
        <v>-24194194.071884573</v>
      </c>
      <c r="I45">
        <v>-0.35516734696197477</v>
      </c>
      <c r="K45">
        <v>92.5</v>
      </c>
      <c r="L45">
        <v>332425433.06345028</v>
      </c>
      <c r="Z45" s="1"/>
      <c r="AA45" s="1"/>
    </row>
    <row r="46" spans="6:27" ht="15.75" thickBot="1" x14ac:dyDescent="0.3">
      <c r="F46" s="1">
        <v>20</v>
      </c>
      <c r="G46" s="1">
        <v>293184075.9907254</v>
      </c>
      <c r="H46" s="1">
        <v>-98893029.114399165</v>
      </c>
      <c r="I46" s="1">
        <v>-1.4517356800245993</v>
      </c>
      <c r="K46" s="1">
        <v>97.5</v>
      </c>
      <c r="L46" s="1">
        <v>410169950.20542622</v>
      </c>
    </row>
    <row r="61" spans="7:16" ht="15.75" thickBot="1" x14ac:dyDescent="0.3">
      <c r="H61" t="s">
        <v>53</v>
      </c>
    </row>
    <row r="62" spans="7:16" x14ac:dyDescent="0.25">
      <c r="G62">
        <v>4200000</v>
      </c>
      <c r="H62">
        <v>16708549.179678362</v>
      </c>
      <c r="O62" s="2" t="s">
        <v>50</v>
      </c>
      <c r="P62" s="2" t="s">
        <v>52</v>
      </c>
    </row>
    <row r="63" spans="7:16" x14ac:dyDescent="0.25">
      <c r="G63">
        <v>13300000</v>
      </c>
      <c r="H63">
        <v>16708884.350394737</v>
      </c>
      <c r="O63">
        <v>4200000</v>
      </c>
      <c r="P63">
        <v>0</v>
      </c>
    </row>
    <row r="64" spans="7:16" x14ac:dyDescent="0.25">
      <c r="G64">
        <v>22300000</v>
      </c>
      <c r="H64">
        <v>16621239.041359648</v>
      </c>
      <c r="O64">
        <v>13300000</v>
      </c>
      <c r="P64">
        <v>1</v>
      </c>
    </row>
    <row r="65" spans="7:16" x14ac:dyDescent="0.25">
      <c r="G65">
        <v>31400000</v>
      </c>
      <c r="H65">
        <v>16912298.703333337</v>
      </c>
      <c r="O65">
        <v>22300000</v>
      </c>
      <c r="P65">
        <v>8</v>
      </c>
    </row>
    <row r="66" spans="7:16" x14ac:dyDescent="0.25">
      <c r="G66">
        <v>40500000</v>
      </c>
      <c r="H66">
        <v>17990792.786473684</v>
      </c>
      <c r="O66">
        <v>31400000</v>
      </c>
      <c r="P66">
        <v>3</v>
      </c>
    </row>
    <row r="67" spans="7:16" x14ac:dyDescent="0.25">
      <c r="G67">
        <v>49500000</v>
      </c>
      <c r="H67">
        <v>32224595.057609651</v>
      </c>
      <c r="O67">
        <v>40500000</v>
      </c>
      <c r="P67">
        <v>3</v>
      </c>
    </row>
    <row r="68" spans="7:16" x14ac:dyDescent="0.25">
      <c r="G68">
        <v>58600000</v>
      </c>
      <c r="H68">
        <v>36010295.660687134</v>
      </c>
      <c r="O68">
        <v>49500000</v>
      </c>
      <c r="P68">
        <v>0</v>
      </c>
    </row>
    <row r="69" spans="7:16" x14ac:dyDescent="0.25">
      <c r="G69">
        <v>67700000</v>
      </c>
      <c r="H69">
        <v>35638478.889780708</v>
      </c>
      <c r="O69">
        <v>58600000</v>
      </c>
      <c r="P69">
        <v>0</v>
      </c>
    </row>
    <row r="70" spans="7:16" x14ac:dyDescent="0.25">
      <c r="G70">
        <v>76700000</v>
      </c>
      <c r="H70">
        <v>21093263.448026314</v>
      </c>
      <c r="O70">
        <v>67700000</v>
      </c>
      <c r="P70">
        <v>0</v>
      </c>
    </row>
    <row r="71" spans="7:16" x14ac:dyDescent="0.25">
      <c r="G71">
        <v>85800000</v>
      </c>
      <c r="H71">
        <v>22353124.59600877</v>
      </c>
      <c r="O71">
        <v>76700000</v>
      </c>
      <c r="P71">
        <v>0</v>
      </c>
    </row>
    <row r="72" spans="7:16" x14ac:dyDescent="0.25">
      <c r="G72">
        <v>103900000</v>
      </c>
      <c r="H72">
        <v>22384691.346491225</v>
      </c>
      <c r="O72">
        <v>85800000</v>
      </c>
      <c r="P72">
        <v>0</v>
      </c>
    </row>
    <row r="73" spans="7:16" x14ac:dyDescent="0.25">
      <c r="G73">
        <v>122100000</v>
      </c>
      <c r="H73">
        <v>21083590.427631583</v>
      </c>
      <c r="O73">
        <v>103900000</v>
      </c>
      <c r="P73">
        <v>2</v>
      </c>
    </row>
    <row r="74" spans="7:16" x14ac:dyDescent="0.25">
      <c r="G74">
        <v>140200000</v>
      </c>
      <c r="H74">
        <v>4248060.8244444449</v>
      </c>
      <c r="O74">
        <v>122100000</v>
      </c>
      <c r="P74">
        <v>0</v>
      </c>
    </row>
    <row r="75" spans="7:16" x14ac:dyDescent="0.25">
      <c r="G75">
        <v>158400000</v>
      </c>
      <c r="H75">
        <v>15084549.272055555</v>
      </c>
      <c r="O75">
        <v>140200000</v>
      </c>
      <c r="P75">
        <v>0</v>
      </c>
    </row>
    <row r="76" spans="7:16" x14ac:dyDescent="0.25">
      <c r="G76">
        <v>176500000</v>
      </c>
      <c r="H76">
        <v>24102254.030939683</v>
      </c>
      <c r="O76">
        <v>158400000</v>
      </c>
      <c r="P76">
        <v>0</v>
      </c>
    </row>
    <row r="77" spans="7:16" x14ac:dyDescent="0.25">
      <c r="G77">
        <v>185600000</v>
      </c>
      <c r="H77">
        <v>101868384.09515873</v>
      </c>
      <c r="O77">
        <v>176500000</v>
      </c>
      <c r="P77">
        <v>1</v>
      </c>
    </row>
    <row r="78" spans="7:16" x14ac:dyDescent="0.25">
      <c r="G78">
        <v>410100000</v>
      </c>
      <c r="H78">
        <v>89505897.242817461</v>
      </c>
      <c r="O78">
        <v>185600000</v>
      </c>
      <c r="P78">
        <v>0</v>
      </c>
    </row>
    <row r="79" spans="7:16" x14ac:dyDescent="0.25">
      <c r="H79">
        <v>166340120.54050559</v>
      </c>
      <c r="O79">
        <v>410100000</v>
      </c>
      <c r="P79">
        <v>2</v>
      </c>
    </row>
    <row r="80" spans="7:16" ht="15.75" thickBot="1" x14ac:dyDescent="0.3">
      <c r="H80">
        <v>410169950.20542622</v>
      </c>
      <c r="O80" s="1" t="s">
        <v>51</v>
      </c>
      <c r="P80" s="1">
        <v>1</v>
      </c>
    </row>
    <row r="81" spans="8:8" x14ac:dyDescent="0.25">
      <c r="H81">
        <v>332425433.06345028</v>
      </c>
    </row>
    <row r="82" spans="8:8" x14ac:dyDescent="0.25">
      <c r="H82">
        <v>194291046.87632623</v>
      </c>
    </row>
  </sheetData>
  <sortState xmlns:xlrd2="http://schemas.microsoft.com/office/spreadsheetml/2017/richdata2" ref="O63:O79">
    <sortCondition ref="O63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ABDC7-5351-4C13-B98B-00EBB3D13266}">
  <dimension ref="A3:N46"/>
  <sheetViews>
    <sheetView workbookViewId="0">
      <selection activeCell="F5" sqref="F5:G10"/>
    </sheetView>
  </sheetViews>
  <sheetFormatPr defaultRowHeight="15" x14ac:dyDescent="0.25"/>
  <cols>
    <col min="1" max="1" width="5" bestFit="1" customWidth="1"/>
    <col min="7" max="7" width="12.42578125" bestFit="1" customWidth="1"/>
  </cols>
  <sheetData>
    <row r="3" spans="1:11" x14ac:dyDescent="0.25">
      <c r="B3" t="s">
        <v>2</v>
      </c>
      <c r="F3" t="s">
        <v>17</v>
      </c>
    </row>
    <row r="4" spans="1:11" ht="15.75" thickBot="1" x14ac:dyDescent="0.3">
      <c r="A4">
        <v>2000</v>
      </c>
      <c r="B4">
        <v>14895546.665213035</v>
      </c>
    </row>
    <row r="5" spans="1:11" x14ac:dyDescent="0.25">
      <c r="A5">
        <v>2001</v>
      </c>
      <c r="B5">
        <v>15916936.7598325</v>
      </c>
      <c r="C5">
        <v>14895546.665213035</v>
      </c>
      <c r="F5" s="3" t="s">
        <v>18</v>
      </c>
      <c r="G5" s="3"/>
    </row>
    <row r="6" spans="1:11" x14ac:dyDescent="0.25">
      <c r="A6">
        <v>2002</v>
      </c>
      <c r="B6">
        <v>16440302.312529236</v>
      </c>
      <c r="C6">
        <v>15916936.7598325</v>
      </c>
      <c r="F6" t="s">
        <v>19</v>
      </c>
      <c r="G6">
        <v>0.74872773882464227</v>
      </c>
    </row>
    <row r="7" spans="1:11" x14ac:dyDescent="0.25">
      <c r="A7">
        <v>2003</v>
      </c>
      <c r="B7">
        <v>17051794.304503344</v>
      </c>
      <c r="C7">
        <v>16440302.312529236</v>
      </c>
      <c r="F7" t="s">
        <v>20</v>
      </c>
      <c r="G7">
        <v>0.56059322688546176</v>
      </c>
    </row>
    <row r="8" spans="1:11" x14ac:dyDescent="0.25">
      <c r="A8">
        <v>2004</v>
      </c>
      <c r="B8">
        <v>25753121.473489977</v>
      </c>
      <c r="C8">
        <v>17051794.304503344</v>
      </c>
      <c r="F8" t="s">
        <v>21</v>
      </c>
      <c r="G8">
        <v>0.53618173949020964</v>
      </c>
    </row>
    <row r="9" spans="1:11" x14ac:dyDescent="0.25">
      <c r="A9">
        <v>2005</v>
      </c>
      <c r="B9">
        <v>26516485.200317882</v>
      </c>
      <c r="C9">
        <v>25753121.473489977</v>
      </c>
      <c r="F9" t="s">
        <v>22</v>
      </c>
      <c r="G9">
        <v>5988864.7913826024</v>
      </c>
    </row>
    <row r="10" spans="1:11" ht="15.75" thickBot="1" x14ac:dyDescent="0.3">
      <c r="A10">
        <v>2006</v>
      </c>
      <c r="B10">
        <v>28053836.320973262</v>
      </c>
      <c r="C10">
        <v>26516485.200317882</v>
      </c>
      <c r="F10" s="1" t="s">
        <v>23</v>
      </c>
      <c r="G10" s="1">
        <v>20</v>
      </c>
    </row>
    <row r="11" spans="1:11" x14ac:dyDescent="0.25">
      <c r="A11">
        <v>2007</v>
      </c>
      <c r="B11">
        <v>27963867.296271931</v>
      </c>
      <c r="C11">
        <v>28053836.320973262</v>
      </c>
    </row>
    <row r="12" spans="1:11" ht="15.75" thickBot="1" x14ac:dyDescent="0.3">
      <c r="A12">
        <v>2008</v>
      </c>
      <c r="B12">
        <v>39454388.755779035</v>
      </c>
      <c r="C12">
        <v>27963867.296271931</v>
      </c>
      <c r="F12" t="s">
        <v>24</v>
      </c>
    </row>
    <row r="13" spans="1:11" x14ac:dyDescent="0.25">
      <c r="A13">
        <v>2009</v>
      </c>
      <c r="B13">
        <v>41213108.991875514</v>
      </c>
      <c r="C13">
        <v>39454388.755779035</v>
      </c>
      <c r="F13" s="2"/>
      <c r="G13" s="2" t="s">
        <v>29</v>
      </c>
      <c r="H13" s="2" t="s">
        <v>30</v>
      </c>
      <c r="I13" s="2" t="s">
        <v>31</v>
      </c>
      <c r="J13" s="2" t="s">
        <v>32</v>
      </c>
      <c r="K13" s="2" t="s">
        <v>33</v>
      </c>
    </row>
    <row r="14" spans="1:11" x14ac:dyDescent="0.25">
      <c r="A14">
        <v>2010</v>
      </c>
      <c r="B14">
        <v>42926745.29106307</v>
      </c>
      <c r="C14">
        <v>41213108.991875514</v>
      </c>
      <c r="F14" t="s">
        <v>25</v>
      </c>
      <c r="G14">
        <v>1</v>
      </c>
      <c r="H14">
        <v>823649844907869.63</v>
      </c>
      <c r="I14">
        <v>823649844907869.63</v>
      </c>
      <c r="J14">
        <v>22.964320764595993</v>
      </c>
      <c r="K14">
        <v>1.4588894399122763E-4</v>
      </c>
    </row>
    <row r="15" spans="1:11" x14ac:dyDescent="0.25">
      <c r="A15">
        <v>2011</v>
      </c>
      <c r="B15">
        <v>42885186.713556819</v>
      </c>
      <c r="C15">
        <v>42926745.29106307</v>
      </c>
      <c r="F15" t="s">
        <v>26</v>
      </c>
      <c r="G15">
        <v>18</v>
      </c>
      <c r="H15">
        <v>645597026810319.38</v>
      </c>
      <c r="I15">
        <v>35866501489462.188</v>
      </c>
    </row>
    <row r="16" spans="1:11" ht="15.75" thickBot="1" x14ac:dyDescent="0.3">
      <c r="A16">
        <v>2012</v>
      </c>
      <c r="B16">
        <v>22148782.495467838</v>
      </c>
      <c r="C16">
        <v>42885186.713556819</v>
      </c>
      <c r="F16" s="1" t="s">
        <v>27</v>
      </c>
      <c r="G16" s="1">
        <v>19</v>
      </c>
      <c r="H16" s="1">
        <v>1469246871718189</v>
      </c>
      <c r="I16" s="1"/>
      <c r="J16" s="1"/>
      <c r="K16" s="1"/>
    </row>
    <row r="17" spans="1:14" ht="15.75" thickBot="1" x14ac:dyDescent="0.3">
      <c r="A17">
        <v>2013</v>
      </c>
      <c r="B17">
        <v>22105642.148086883</v>
      </c>
      <c r="C17">
        <v>22148782.495467838</v>
      </c>
    </row>
    <row r="18" spans="1:14" x14ac:dyDescent="0.25">
      <c r="A18">
        <v>2014</v>
      </c>
      <c r="B18">
        <v>19837776.942030076</v>
      </c>
      <c r="C18">
        <v>22105642.148086883</v>
      </c>
      <c r="F18" s="2"/>
      <c r="G18" s="2" t="s">
        <v>34</v>
      </c>
      <c r="H18" s="2" t="s">
        <v>22</v>
      </c>
      <c r="I18" s="2" t="s">
        <v>35</v>
      </c>
      <c r="J18" s="2" t="s">
        <v>36</v>
      </c>
      <c r="K18" s="2" t="s">
        <v>37</v>
      </c>
      <c r="L18" s="2" t="s">
        <v>38</v>
      </c>
      <c r="M18" s="2" t="s">
        <v>39</v>
      </c>
      <c r="N18" s="2" t="s">
        <v>40</v>
      </c>
    </row>
    <row r="19" spans="1:14" x14ac:dyDescent="0.25">
      <c r="A19">
        <v>2015</v>
      </c>
      <c r="B19">
        <v>26434484.64704261</v>
      </c>
      <c r="C19">
        <v>19837776.942030076</v>
      </c>
      <c r="F19" t="s">
        <v>28</v>
      </c>
      <c r="G19">
        <v>7117681.6833446883</v>
      </c>
      <c r="H19">
        <v>4163272.9389708415</v>
      </c>
      <c r="I19">
        <v>1.7096360934491541</v>
      </c>
      <c r="J19">
        <v>0.10451588893508466</v>
      </c>
      <c r="K19">
        <v>-1629030.1936782338</v>
      </c>
      <c r="L19">
        <v>15864393.56036761</v>
      </c>
      <c r="M19">
        <v>-1629030.1936782338</v>
      </c>
      <c r="N19">
        <v>15864393.56036761</v>
      </c>
    </row>
    <row r="20" spans="1:14" ht="15.75" thickBot="1" x14ac:dyDescent="0.3">
      <c r="A20">
        <v>2016</v>
      </c>
      <c r="B20">
        <v>20737738.80000627</v>
      </c>
      <c r="C20">
        <v>26434484.64704261</v>
      </c>
      <c r="F20" s="1" t="s">
        <v>41</v>
      </c>
      <c r="G20" s="1">
        <v>0.73167441707074532</v>
      </c>
      <c r="H20" s="1">
        <v>0.15268313478717693</v>
      </c>
      <c r="I20" s="1">
        <v>4.792110262149234</v>
      </c>
      <c r="J20" s="1">
        <v>1.458889439912275E-4</v>
      </c>
      <c r="K20" s="1">
        <v>0.4108990540232722</v>
      </c>
      <c r="L20" s="1">
        <v>1.0524497801182184</v>
      </c>
      <c r="M20" s="1">
        <v>0.4108990540232722</v>
      </c>
      <c r="N20" s="1">
        <v>1.0524497801182184</v>
      </c>
    </row>
    <row r="21" spans="1:14" x14ac:dyDescent="0.25">
      <c r="A21">
        <v>2017</v>
      </c>
      <c r="B21">
        <v>20303125.537451964</v>
      </c>
      <c r="C21">
        <v>20737738.80000627</v>
      </c>
    </row>
    <row r="22" spans="1:14" x14ac:dyDescent="0.25">
      <c r="A22">
        <v>2018</v>
      </c>
      <c r="B22">
        <v>23934204.520910822</v>
      </c>
      <c r="C22">
        <v>20303125.537451964</v>
      </c>
    </row>
    <row r="23" spans="1:14" x14ac:dyDescent="0.25">
      <c r="A23">
        <v>2019</v>
      </c>
      <c r="B23">
        <v>21792972.342667714</v>
      </c>
      <c r="C23">
        <v>23934204.520910822</v>
      </c>
    </row>
    <row r="24" spans="1:14" x14ac:dyDescent="0.25">
      <c r="A24">
        <v>2020</v>
      </c>
      <c r="B24">
        <v>18694959.626677111</v>
      </c>
      <c r="C24">
        <v>21792972.342667714</v>
      </c>
      <c r="F24" t="s">
        <v>42</v>
      </c>
      <c r="K24" t="s">
        <v>47</v>
      </c>
    </row>
    <row r="25" spans="1:14" ht="15.75" thickBot="1" x14ac:dyDescent="0.3">
      <c r="C25">
        <v>18694959.626677111</v>
      </c>
    </row>
    <row r="26" spans="1:14" x14ac:dyDescent="0.25">
      <c r="F26" s="2" t="s">
        <v>43</v>
      </c>
      <c r="G26" s="2" t="s">
        <v>44</v>
      </c>
      <c r="H26" s="2" t="s">
        <v>45</v>
      </c>
      <c r="I26" s="2" t="s">
        <v>46</v>
      </c>
      <c r="K26" s="2" t="s">
        <v>48</v>
      </c>
      <c r="L26" s="2" t="s">
        <v>49</v>
      </c>
    </row>
    <row r="27" spans="1:14" x14ac:dyDescent="0.25">
      <c r="F27">
        <v>1</v>
      </c>
      <c r="G27">
        <v>18016372.106564522</v>
      </c>
      <c r="H27">
        <v>-2099435.3467320222</v>
      </c>
      <c r="I27">
        <v>-0.3601625433350043</v>
      </c>
      <c r="K27">
        <v>2.5</v>
      </c>
      <c r="L27">
        <v>15916936.7598325</v>
      </c>
    </row>
    <row r="28" spans="1:14" x14ac:dyDescent="0.25">
      <c r="F28">
        <v>2</v>
      </c>
      <c r="G28">
        <v>18763697.108647048</v>
      </c>
      <c r="H28">
        <v>-2323394.7961178124</v>
      </c>
      <c r="I28">
        <v>-0.3985832572761368</v>
      </c>
      <c r="K28">
        <v>7.5</v>
      </c>
      <c r="L28">
        <v>16440302.312529236</v>
      </c>
    </row>
    <row r="29" spans="1:14" x14ac:dyDescent="0.25">
      <c r="F29">
        <v>3</v>
      </c>
      <c r="G29">
        <v>19146630.294331342</v>
      </c>
      <c r="H29">
        <v>-2094835.989827998</v>
      </c>
      <c r="I29">
        <v>-0.35937351399774115</v>
      </c>
      <c r="K29">
        <v>12.5</v>
      </c>
      <c r="L29">
        <v>17051794.304503344</v>
      </c>
    </row>
    <row r="30" spans="1:14" x14ac:dyDescent="0.25">
      <c r="F30">
        <v>4</v>
      </c>
      <c r="G30">
        <v>19594043.341102429</v>
      </c>
      <c r="H30">
        <v>6159078.1323875487</v>
      </c>
      <c r="I30">
        <v>1.056602789989538</v>
      </c>
      <c r="K30">
        <v>17.5</v>
      </c>
      <c r="L30">
        <v>18694959.626677111</v>
      </c>
    </row>
    <row r="31" spans="1:14" x14ac:dyDescent="0.25">
      <c r="F31">
        <v>5</v>
      </c>
      <c r="G31">
        <v>25960581.825212561</v>
      </c>
      <c r="H31">
        <v>555903.37510532141</v>
      </c>
      <c r="I31">
        <v>9.5366391605295545E-2</v>
      </c>
      <c r="K31">
        <v>22.5</v>
      </c>
      <c r="L31">
        <v>19837776.942030076</v>
      </c>
    </row>
    <row r="32" spans="1:14" x14ac:dyDescent="0.25">
      <c r="F32">
        <v>6</v>
      </c>
      <c r="G32">
        <v>26519115.535052322</v>
      </c>
      <c r="H32">
        <v>1534720.7859209403</v>
      </c>
      <c r="I32">
        <v>0.26328457431508462</v>
      </c>
      <c r="K32">
        <v>27.5</v>
      </c>
      <c r="L32">
        <v>20303125.537451964</v>
      </c>
    </row>
    <row r="33" spans="6:12" x14ac:dyDescent="0.25">
      <c r="F33">
        <v>7</v>
      </c>
      <c r="G33">
        <v>27643956.020090904</v>
      </c>
      <c r="H33">
        <v>319911.27618102729</v>
      </c>
      <c r="I33">
        <v>5.4881451362747198E-2</v>
      </c>
      <c r="K33">
        <v>32.5</v>
      </c>
      <c r="L33">
        <v>20737738.80000627</v>
      </c>
    </row>
    <row r="34" spans="6:12" x14ac:dyDescent="0.25">
      <c r="F34">
        <v>8</v>
      </c>
      <c r="G34">
        <v>27578127.986388132</v>
      </c>
      <c r="H34">
        <v>11876260.769390903</v>
      </c>
      <c r="I34">
        <v>2.0373974795993277</v>
      </c>
      <c r="K34">
        <v>37.5</v>
      </c>
      <c r="L34">
        <v>21792972.342667714</v>
      </c>
    </row>
    <row r="35" spans="6:12" x14ac:dyDescent="0.25">
      <c r="F35">
        <v>9</v>
      </c>
      <c r="G35">
        <v>35985448.577111885</v>
      </c>
      <c r="H35">
        <v>5227660.4147636294</v>
      </c>
      <c r="I35">
        <v>0.89681612420395196</v>
      </c>
      <c r="K35">
        <v>42.5</v>
      </c>
      <c r="L35">
        <v>22105642.148086883</v>
      </c>
    </row>
    <row r="36" spans="6:12" x14ac:dyDescent="0.25">
      <c r="F36">
        <v>10</v>
      </c>
      <c r="G36">
        <v>37272259.180648297</v>
      </c>
      <c r="H36">
        <v>5654486.1104147732</v>
      </c>
      <c r="I36">
        <v>0.97003896878725349</v>
      </c>
      <c r="K36">
        <v>47.5</v>
      </c>
      <c r="L36">
        <v>22148782.495467838</v>
      </c>
    </row>
    <row r="37" spans="6:12" x14ac:dyDescent="0.25">
      <c r="F37">
        <v>11</v>
      </c>
      <c r="G37">
        <v>38526083.020927623</v>
      </c>
      <c r="H37">
        <v>4359103.6926291957</v>
      </c>
      <c r="I37">
        <v>0.74781339422629878</v>
      </c>
      <c r="K37">
        <v>52.5</v>
      </c>
      <c r="L37">
        <v>23934204.520910822</v>
      </c>
    </row>
    <row r="38" spans="6:12" x14ac:dyDescent="0.25">
      <c r="F38">
        <v>12</v>
      </c>
      <c r="G38">
        <v>38495675.672956444</v>
      </c>
      <c r="H38">
        <v>-16346893.177488606</v>
      </c>
      <c r="I38">
        <v>-2.80434385921646</v>
      </c>
      <c r="K38">
        <v>57.5</v>
      </c>
      <c r="L38">
        <v>25753121.473489977</v>
      </c>
    </row>
    <row r="39" spans="6:12" x14ac:dyDescent="0.25">
      <c r="F39">
        <v>13</v>
      </c>
      <c r="G39">
        <v>23323379.204542845</v>
      </c>
      <c r="H39">
        <v>-1217737.0564559624</v>
      </c>
      <c r="I39">
        <v>-0.20890534974042385</v>
      </c>
      <c r="K39">
        <v>62.5</v>
      </c>
      <c r="L39">
        <v>26434484.64704261</v>
      </c>
    </row>
    <row r="40" spans="6:12" x14ac:dyDescent="0.25">
      <c r="F40">
        <v>14</v>
      </c>
      <c r="G40">
        <v>23291814.516020656</v>
      </c>
      <c r="H40">
        <v>-3454037.5739905797</v>
      </c>
      <c r="I40">
        <v>-0.59254740059490141</v>
      </c>
      <c r="K40">
        <v>67.5</v>
      </c>
      <c r="L40">
        <v>26516485.200317882</v>
      </c>
    </row>
    <row r="41" spans="6:12" x14ac:dyDescent="0.25">
      <c r="F41">
        <v>15</v>
      </c>
      <c r="G41">
        <v>21632475.563384019</v>
      </c>
      <c r="H41">
        <v>4802009.0836585909</v>
      </c>
      <c r="I41">
        <v>0.82379474432514177</v>
      </c>
      <c r="K41">
        <v>72.5</v>
      </c>
      <c r="L41">
        <v>27963867.296271931</v>
      </c>
    </row>
    <row r="42" spans="6:12" x14ac:dyDescent="0.25">
      <c r="F42">
        <v>16</v>
      </c>
      <c r="G42">
        <v>26459117.828035157</v>
      </c>
      <c r="H42">
        <v>-5721379.0280288868</v>
      </c>
      <c r="I42">
        <v>-0.98151458930421775</v>
      </c>
      <c r="K42">
        <v>77.5</v>
      </c>
      <c r="L42">
        <v>28053836.320973262</v>
      </c>
    </row>
    <row r="43" spans="6:12" x14ac:dyDescent="0.25">
      <c r="F43">
        <v>17</v>
      </c>
      <c r="G43">
        <v>22290954.631204654</v>
      </c>
      <c r="H43">
        <v>-1987829.0937526897</v>
      </c>
      <c r="I43">
        <v>-0.34101625622133064</v>
      </c>
      <c r="K43">
        <v>82.5</v>
      </c>
      <c r="L43">
        <v>39454388.755779035</v>
      </c>
    </row>
    <row r="44" spans="6:12" x14ac:dyDescent="0.25">
      <c r="F44">
        <v>18</v>
      </c>
      <c r="G44">
        <v>21972959.225674018</v>
      </c>
      <c r="H44">
        <v>1961245.2952368036</v>
      </c>
      <c r="I44">
        <v>0.33645574974996417</v>
      </c>
      <c r="K44">
        <v>87.5</v>
      </c>
      <c r="L44">
        <v>41213108.991875514</v>
      </c>
    </row>
    <row r="45" spans="6:12" x14ac:dyDescent="0.25">
      <c r="F45">
        <v>19</v>
      </c>
      <c r="G45">
        <v>24629726.824234109</v>
      </c>
      <c r="H45">
        <v>-2836754.4815663956</v>
      </c>
      <c r="I45">
        <v>-0.48665118956308412</v>
      </c>
      <c r="K45">
        <v>92.5</v>
      </c>
      <c r="L45">
        <v>42885186.713556819</v>
      </c>
    </row>
    <row r="46" spans="6:12" ht="15.75" thickBot="1" x14ac:dyDescent="0.3">
      <c r="F46" s="1">
        <v>20</v>
      </c>
      <c r="G46" s="1">
        <v>23063042.018404961</v>
      </c>
      <c r="H46" s="1">
        <v>-4368082.3917278498</v>
      </c>
      <c r="I46" s="1">
        <v>-0.74935370891531494</v>
      </c>
      <c r="K46" s="1">
        <v>97.5</v>
      </c>
      <c r="L46" s="1">
        <v>42926745.29106307</v>
      </c>
    </row>
  </sheetData>
  <sortState xmlns:xlrd2="http://schemas.microsoft.com/office/spreadsheetml/2017/richdata2" ref="L27:L46">
    <sortCondition ref="L27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A34D4-4ACE-48B1-9073-97AECB0995E2}">
  <dimension ref="A3:N47"/>
  <sheetViews>
    <sheetView workbookViewId="0">
      <selection activeCell="F6" sqref="F6:G11"/>
    </sheetView>
  </sheetViews>
  <sheetFormatPr defaultRowHeight="15" x14ac:dyDescent="0.25"/>
  <cols>
    <col min="1" max="1" width="5" bestFit="1" customWidth="1"/>
    <col min="7" max="7" width="18.28515625" bestFit="1" customWidth="1"/>
  </cols>
  <sheetData>
    <row r="3" spans="1:11" x14ac:dyDescent="0.25">
      <c r="B3" t="s">
        <v>3</v>
      </c>
    </row>
    <row r="4" spans="1:11" x14ac:dyDescent="0.25">
      <c r="A4">
        <v>2000</v>
      </c>
      <c r="B4">
        <v>78159428.70084165</v>
      </c>
      <c r="F4" t="s">
        <v>17</v>
      </c>
    </row>
    <row r="5" spans="1:11" ht="15.75" thickBot="1" x14ac:dyDescent="0.3">
      <c r="A5">
        <v>2001</v>
      </c>
      <c r="B5">
        <v>79754932.221154869</v>
      </c>
      <c r="C5">
        <v>78159428.70084165</v>
      </c>
    </row>
    <row r="6" spans="1:11" x14ac:dyDescent="0.25">
      <c r="A6">
        <v>2002</v>
      </c>
      <c r="B6">
        <v>82572071.930308357</v>
      </c>
      <c r="C6">
        <v>79754932.221154869</v>
      </c>
      <c r="F6" s="3" t="s">
        <v>18</v>
      </c>
      <c r="G6" s="3"/>
    </row>
    <row r="7" spans="1:11" x14ac:dyDescent="0.25">
      <c r="A7">
        <v>2003</v>
      </c>
      <c r="B7">
        <v>85747371.100018784</v>
      </c>
      <c r="C7">
        <v>82572071.930308357</v>
      </c>
      <c r="F7" t="s">
        <v>19</v>
      </c>
      <c r="G7">
        <v>0.73874103669423408</v>
      </c>
    </row>
    <row r="8" spans="1:11" x14ac:dyDescent="0.25">
      <c r="A8">
        <v>2004</v>
      </c>
      <c r="B8">
        <v>88823501.799946755</v>
      </c>
      <c r="C8">
        <v>85747371.100018784</v>
      </c>
      <c r="F8" t="s">
        <v>20</v>
      </c>
      <c r="G8">
        <v>0.54573831929607175</v>
      </c>
    </row>
    <row r="9" spans="1:11" x14ac:dyDescent="0.25">
      <c r="A9">
        <v>2005</v>
      </c>
      <c r="B9">
        <v>90980825.641051829</v>
      </c>
      <c r="C9">
        <v>88823501.799946755</v>
      </c>
      <c r="F9" t="s">
        <v>21</v>
      </c>
      <c r="G9">
        <v>0.52050155925696462</v>
      </c>
    </row>
    <row r="10" spans="1:11" x14ac:dyDescent="0.25">
      <c r="A10">
        <v>2006</v>
      </c>
      <c r="B10">
        <v>93434224.750214219</v>
      </c>
      <c r="C10">
        <v>90980825.641051829</v>
      </c>
      <c r="F10" t="s">
        <v>22</v>
      </c>
      <c r="G10">
        <v>32482061.158809576</v>
      </c>
    </row>
    <row r="11" spans="1:11" ht="15.75" thickBot="1" x14ac:dyDescent="0.3">
      <c r="A11">
        <v>2007</v>
      </c>
      <c r="B11">
        <v>98105257.648446709</v>
      </c>
      <c r="C11">
        <v>93434224.750214219</v>
      </c>
      <c r="F11" s="1" t="s">
        <v>23</v>
      </c>
      <c r="G11" s="1">
        <v>20</v>
      </c>
    </row>
    <row r="12" spans="1:11" x14ac:dyDescent="0.25">
      <c r="A12">
        <v>2008</v>
      </c>
      <c r="B12">
        <v>101078445.76415768</v>
      </c>
      <c r="C12">
        <v>98105257.648446709</v>
      </c>
    </row>
    <row r="13" spans="1:11" ht="15.75" thickBot="1" x14ac:dyDescent="0.3">
      <c r="A13">
        <v>2009</v>
      </c>
      <c r="B13">
        <v>104582797.03656946</v>
      </c>
      <c r="C13">
        <v>101078445.76415768</v>
      </c>
      <c r="F13" t="s">
        <v>24</v>
      </c>
    </row>
    <row r="14" spans="1:11" x14ac:dyDescent="0.25">
      <c r="A14">
        <v>2010</v>
      </c>
      <c r="B14">
        <v>105776184.51721099</v>
      </c>
      <c r="C14">
        <v>104582797.03656946</v>
      </c>
      <c r="F14" s="2"/>
      <c r="G14" s="2" t="s">
        <v>29</v>
      </c>
      <c r="H14" s="2" t="s">
        <v>30</v>
      </c>
      <c r="I14" s="2" t="s">
        <v>31</v>
      </c>
      <c r="J14" s="2" t="s">
        <v>32</v>
      </c>
      <c r="K14" s="2" t="s">
        <v>33</v>
      </c>
    </row>
    <row r="15" spans="1:11" x14ac:dyDescent="0.25">
      <c r="A15">
        <v>2011</v>
      </c>
      <c r="B15">
        <v>135372840.88102099</v>
      </c>
      <c r="C15">
        <v>105776184.51721099</v>
      </c>
      <c r="F15" t="s">
        <v>25</v>
      </c>
      <c r="G15">
        <v>1</v>
      </c>
      <c r="H15">
        <v>2.2815921304328144E+16</v>
      </c>
      <c r="I15">
        <v>2.2815921304328144E+16</v>
      </c>
      <c r="J15">
        <v>21.624737820956039</v>
      </c>
      <c r="K15">
        <v>1.9902497993187586E-4</v>
      </c>
    </row>
    <row r="16" spans="1:11" x14ac:dyDescent="0.25">
      <c r="A16">
        <v>2012</v>
      </c>
      <c r="B16">
        <v>148582723.54941028</v>
      </c>
      <c r="C16">
        <v>135372840.88102099</v>
      </c>
      <c r="F16" t="s">
        <v>26</v>
      </c>
      <c r="G16">
        <v>18</v>
      </c>
      <c r="H16">
        <v>1.8991517348243624E+16</v>
      </c>
      <c r="I16">
        <v>1055084297124645.8</v>
      </c>
    </row>
    <row r="17" spans="1:14" ht="15.75" thickBot="1" x14ac:dyDescent="0.3">
      <c r="A17">
        <v>2013</v>
      </c>
      <c r="B17">
        <v>164282756.196031</v>
      </c>
      <c r="C17">
        <v>148582723.54941028</v>
      </c>
      <c r="F17" s="1" t="s">
        <v>27</v>
      </c>
      <c r="G17" s="1">
        <v>19</v>
      </c>
      <c r="H17" s="1">
        <v>4.1807438652571768E+16</v>
      </c>
      <c r="I17" s="1"/>
      <c r="J17" s="1"/>
      <c r="K17" s="1"/>
    </row>
    <row r="18" spans="1:14" ht="15.75" thickBot="1" x14ac:dyDescent="0.3">
      <c r="A18">
        <v>2014</v>
      </c>
      <c r="B18">
        <v>173551045.36105618</v>
      </c>
      <c r="C18">
        <v>164282756.196031</v>
      </c>
    </row>
    <row r="19" spans="1:14" x14ac:dyDescent="0.25">
      <c r="A19">
        <v>2015</v>
      </c>
      <c r="B19">
        <v>177885694.95791954</v>
      </c>
      <c r="C19">
        <v>173551045.36105618</v>
      </c>
      <c r="F19" s="2"/>
      <c r="G19" s="2" t="s">
        <v>34</v>
      </c>
      <c r="H19" s="2" t="s">
        <v>22</v>
      </c>
      <c r="I19" s="2" t="s">
        <v>35</v>
      </c>
      <c r="J19" s="2" t="s">
        <v>36</v>
      </c>
      <c r="K19" s="2" t="s">
        <v>37</v>
      </c>
      <c r="L19" s="2" t="s">
        <v>38</v>
      </c>
      <c r="M19" s="2" t="s">
        <v>39</v>
      </c>
      <c r="N19" s="2" t="s">
        <v>40</v>
      </c>
    </row>
    <row r="20" spans="1:14" x14ac:dyDescent="0.25">
      <c r="A20">
        <v>2016</v>
      </c>
      <c r="B20">
        <v>149831513.85508409</v>
      </c>
      <c r="C20">
        <v>177885694.95791954</v>
      </c>
      <c r="F20" t="s">
        <v>28</v>
      </c>
      <c r="G20">
        <v>15111812.655461892</v>
      </c>
      <c r="H20">
        <v>22514449.582646869</v>
      </c>
      <c r="I20">
        <v>0.67120506766061039</v>
      </c>
      <c r="J20">
        <v>0.51061233296983399</v>
      </c>
      <c r="K20">
        <v>-32189290.696616553</v>
      </c>
      <c r="L20">
        <v>62412916.007540338</v>
      </c>
      <c r="M20">
        <v>-32189290.696616553</v>
      </c>
      <c r="N20">
        <v>62412916.007540338</v>
      </c>
    </row>
    <row r="21" spans="1:14" ht="15.75" thickBot="1" x14ac:dyDescent="0.3">
      <c r="A21">
        <v>2017</v>
      </c>
      <c r="B21">
        <v>186085427.29991889</v>
      </c>
      <c r="C21">
        <v>149831513.85508409</v>
      </c>
      <c r="F21" s="1" t="s">
        <v>41</v>
      </c>
      <c r="G21" s="1">
        <v>0.84273111279606228</v>
      </c>
      <c r="H21" s="1">
        <v>0.18122311977339947</v>
      </c>
      <c r="I21" s="1">
        <v>4.6502406196836761</v>
      </c>
      <c r="J21" s="1">
        <v>1.9902497993187689E-4</v>
      </c>
      <c r="K21" s="1">
        <v>0.4619954662628859</v>
      </c>
      <c r="L21" s="1">
        <v>1.2234667593292388</v>
      </c>
      <c r="M21" s="1">
        <v>0.4619954662628859</v>
      </c>
      <c r="N21" s="1">
        <v>1.2234667593292388</v>
      </c>
    </row>
    <row r="22" spans="1:14" x14ac:dyDescent="0.25">
      <c r="A22">
        <v>2018</v>
      </c>
      <c r="B22">
        <v>164768260.88476095</v>
      </c>
      <c r="C22">
        <v>186085427.29991889</v>
      </c>
    </row>
    <row r="23" spans="1:14" x14ac:dyDescent="0.25">
      <c r="A23">
        <v>2019</v>
      </c>
      <c r="B23">
        <v>42499759.782201052</v>
      </c>
      <c r="C23">
        <v>164768260.88476095</v>
      </c>
    </row>
    <row r="24" spans="1:14" x14ac:dyDescent="0.25">
      <c r="A24">
        <v>2020</v>
      </c>
      <c r="B24">
        <v>10518907.671401918</v>
      </c>
      <c r="C24">
        <v>42499759.782201052</v>
      </c>
    </row>
    <row r="25" spans="1:14" x14ac:dyDescent="0.25">
      <c r="C25">
        <v>10518907.671401918</v>
      </c>
      <c r="F25" t="s">
        <v>42</v>
      </c>
      <c r="K25" t="s">
        <v>47</v>
      </c>
    </row>
    <row r="26" spans="1:14" ht="15.75" thickBot="1" x14ac:dyDescent="0.3"/>
    <row r="27" spans="1:14" x14ac:dyDescent="0.25">
      <c r="F27" s="2" t="s">
        <v>43</v>
      </c>
      <c r="G27" s="2" t="s">
        <v>44</v>
      </c>
      <c r="H27" s="2" t="s">
        <v>45</v>
      </c>
      <c r="I27" s="2" t="s">
        <v>46</v>
      </c>
      <c r="K27" s="2" t="s">
        <v>48</v>
      </c>
      <c r="L27" s="2" t="s">
        <v>49</v>
      </c>
    </row>
    <row r="28" spans="1:14" x14ac:dyDescent="0.25">
      <c r="F28">
        <v>1</v>
      </c>
      <c r="G28">
        <v>80979194.980026662</v>
      </c>
      <c r="H28">
        <v>-1224262.7588717937</v>
      </c>
      <c r="I28">
        <v>-3.8723232787912246E-2</v>
      </c>
      <c r="K28">
        <v>2.5</v>
      </c>
      <c r="L28">
        <v>10518907.671401918</v>
      </c>
    </row>
    <row r="29" spans="1:14" x14ac:dyDescent="0.25">
      <c r="F29">
        <v>2</v>
      </c>
      <c r="G29">
        <v>82323775.437170252</v>
      </c>
      <c r="H29">
        <v>248296.49313810468</v>
      </c>
      <c r="I29">
        <v>7.8535778651549759E-3</v>
      </c>
      <c r="K29">
        <v>7.5</v>
      </c>
      <c r="L29">
        <v>42499759.782201052</v>
      </c>
    </row>
    <row r="30" spans="1:14" x14ac:dyDescent="0.25">
      <c r="F30">
        <v>3</v>
      </c>
      <c r="G30">
        <v>84697866.719167158</v>
      </c>
      <c r="H30">
        <v>1049504.3808516264</v>
      </c>
      <c r="I30">
        <v>3.3195653594088569E-2</v>
      </c>
      <c r="K30">
        <v>12.5</v>
      </c>
      <c r="L30">
        <v>79754932.221154869</v>
      </c>
    </row>
    <row r="31" spans="1:14" x14ac:dyDescent="0.25">
      <c r="F31">
        <v>4</v>
      </c>
      <c r="G31">
        <v>87373790.121917635</v>
      </c>
      <c r="H31">
        <v>1449711.67802912</v>
      </c>
      <c r="I31">
        <v>4.5854145588328961E-2</v>
      </c>
      <c r="K31">
        <v>17.5</v>
      </c>
      <c r="L31">
        <v>82572071.930308357</v>
      </c>
    </row>
    <row r="32" spans="1:14" x14ac:dyDescent="0.25">
      <c r="F32">
        <v>5</v>
      </c>
      <c r="G32">
        <v>89966141.169774055</v>
      </c>
      <c r="H32">
        <v>1014684.4712777734</v>
      </c>
      <c r="I32">
        <v>3.2094305493518299E-2</v>
      </c>
      <c r="K32">
        <v>22.5</v>
      </c>
      <c r="L32">
        <v>85747371.100018784</v>
      </c>
    </row>
    <row r="33" spans="6:12" x14ac:dyDescent="0.25">
      <c r="F33">
        <v>6</v>
      </c>
      <c r="G33">
        <v>91784185.091050014</v>
      </c>
      <c r="H33">
        <v>1650039.6591642052</v>
      </c>
      <c r="I33">
        <v>5.2190487187558116E-2</v>
      </c>
      <c r="K33">
        <v>27.5</v>
      </c>
      <c r="L33">
        <v>88823501.799946755</v>
      </c>
    </row>
    <row r="34" spans="6:12" x14ac:dyDescent="0.25">
      <c r="F34">
        <v>7</v>
      </c>
      <c r="G34">
        <v>93851740.852447301</v>
      </c>
      <c r="H34">
        <v>4253516.7959994078</v>
      </c>
      <c r="I34">
        <v>0.13453804738009542</v>
      </c>
      <c r="K34">
        <v>32.5</v>
      </c>
      <c r="L34">
        <v>90980825.641051829</v>
      </c>
    </row>
    <row r="35" spans="6:12" x14ac:dyDescent="0.25">
      <c r="F35">
        <v>8</v>
      </c>
      <c r="G35">
        <v>97788165.60468179</v>
      </c>
      <c r="H35">
        <v>3290280.1594758928</v>
      </c>
      <c r="I35">
        <v>0.10407102856763169</v>
      </c>
      <c r="K35">
        <v>37.5</v>
      </c>
      <c r="L35">
        <v>93434224.750214219</v>
      </c>
    </row>
    <row r="36" spans="6:12" x14ac:dyDescent="0.25">
      <c r="F36">
        <v>9</v>
      </c>
      <c r="G36">
        <v>100293763.73398693</v>
      </c>
      <c r="H36">
        <v>4289033.3025825322</v>
      </c>
      <c r="I36">
        <v>0.13566142873125173</v>
      </c>
      <c r="K36">
        <v>42.5</v>
      </c>
      <c r="L36">
        <v>98105257.648446709</v>
      </c>
    </row>
    <row r="37" spans="6:12" x14ac:dyDescent="0.25">
      <c r="F37">
        <v>10</v>
      </c>
      <c r="G37">
        <v>103246989.5814148</v>
      </c>
      <c r="H37">
        <v>2529194.9357961863</v>
      </c>
      <c r="I37">
        <v>7.9998026204030556E-2</v>
      </c>
      <c r="K37">
        <v>47.5</v>
      </c>
      <c r="L37">
        <v>101078445.76415768</v>
      </c>
    </row>
    <row r="38" spans="6:12" x14ac:dyDescent="0.25">
      <c r="F38">
        <v>11</v>
      </c>
      <c r="G38">
        <v>104252694.34097272</v>
      </c>
      <c r="H38">
        <v>31120146.540048271</v>
      </c>
      <c r="I38">
        <v>0.98432519500532134</v>
      </c>
      <c r="K38">
        <v>52.5</v>
      </c>
      <c r="L38">
        <v>104582797.03656946</v>
      </c>
    </row>
    <row r="39" spans="6:12" x14ac:dyDescent="0.25">
      <c r="F39">
        <v>12</v>
      </c>
      <c r="G39">
        <v>129194717.49348898</v>
      </c>
      <c r="H39">
        <v>19388006.055921301</v>
      </c>
      <c r="I39">
        <v>0.61323949156858581</v>
      </c>
      <c r="K39">
        <v>57.5</v>
      </c>
      <c r="L39">
        <v>105776184.51721099</v>
      </c>
    </row>
    <row r="40" spans="6:12" x14ac:dyDescent="0.25">
      <c r="F40">
        <v>13</v>
      </c>
      <c r="G40">
        <v>140327096.61452609</v>
      </c>
      <c r="H40">
        <v>23955659.581504911</v>
      </c>
      <c r="I40">
        <v>0.75771363282948545</v>
      </c>
      <c r="K40">
        <v>62.5</v>
      </c>
      <c r="L40">
        <v>135372840.88102099</v>
      </c>
    </row>
    <row r="41" spans="6:12" x14ac:dyDescent="0.25">
      <c r="F41">
        <v>14</v>
      </c>
      <c r="G41">
        <v>153558002.59774727</v>
      </c>
      <c r="H41">
        <v>19993042.763308913</v>
      </c>
      <c r="I41">
        <v>0.63237670463467066</v>
      </c>
      <c r="K41">
        <v>67.5</v>
      </c>
      <c r="L41">
        <v>148582723.54941028</v>
      </c>
    </row>
    <row r="42" spans="6:12" x14ac:dyDescent="0.25">
      <c r="F42">
        <v>15</v>
      </c>
      <c r="G42">
        <v>161368678.23950464</v>
      </c>
      <c r="H42">
        <v>16517016.718414903</v>
      </c>
      <c r="I42">
        <v>0.52243056379369746</v>
      </c>
      <c r="K42">
        <v>72.5</v>
      </c>
      <c r="L42">
        <v>149831513.85508409</v>
      </c>
    </row>
    <row r="43" spans="6:12" x14ac:dyDescent="0.25">
      <c r="F43">
        <v>16</v>
      </c>
      <c r="G43">
        <v>165021622.31785029</v>
      </c>
      <c r="H43">
        <v>-15190108.4627662</v>
      </c>
      <c r="I43">
        <v>-0.4804606705666602</v>
      </c>
      <c r="K43">
        <v>77.5</v>
      </c>
      <c r="L43">
        <v>164282756.196031</v>
      </c>
    </row>
    <row r="44" spans="6:12" x14ac:dyDescent="0.25">
      <c r="F44">
        <v>17</v>
      </c>
      <c r="G44">
        <v>141379491.05847555</v>
      </c>
      <c r="H44">
        <v>44705936.241443336</v>
      </c>
      <c r="I44">
        <v>1.4140415229769003</v>
      </c>
      <c r="K44">
        <v>82.5</v>
      </c>
      <c r="L44">
        <v>164768260.88476095</v>
      </c>
    </row>
    <row r="45" spans="6:12" x14ac:dyDescent="0.25">
      <c r="F45">
        <v>18</v>
      </c>
      <c r="G45">
        <v>171931791.87905329</v>
      </c>
      <c r="H45">
        <v>-7163530.9942923486</v>
      </c>
      <c r="I45">
        <v>-0.22658132518139942</v>
      </c>
      <c r="K45">
        <v>87.5</v>
      </c>
      <c r="L45">
        <v>173551045.36105618</v>
      </c>
    </row>
    <row r="46" spans="6:12" x14ac:dyDescent="0.25">
      <c r="F46">
        <v>19</v>
      </c>
      <c r="G46">
        <v>153967152.5043484</v>
      </c>
      <c r="H46">
        <v>-111467392.72214735</v>
      </c>
      <c r="I46">
        <v>-3.5256955791247453</v>
      </c>
      <c r="K46">
        <v>92.5</v>
      </c>
      <c r="L46">
        <v>177885694.95791954</v>
      </c>
    </row>
    <row r="47" spans="6:12" ht="15.75" thickBot="1" x14ac:dyDescent="0.3">
      <c r="F47" s="1">
        <v>20</v>
      </c>
      <c r="G47" s="1">
        <v>50927682.510281518</v>
      </c>
      <c r="H47" s="1">
        <v>-40408774.8388796</v>
      </c>
      <c r="I47" s="1">
        <v>-1.2781230037596278</v>
      </c>
      <c r="K47" s="1">
        <v>97.5</v>
      </c>
      <c r="L47" s="1">
        <v>186085427.29991889</v>
      </c>
    </row>
  </sheetData>
  <sortState xmlns:xlrd2="http://schemas.microsoft.com/office/spreadsheetml/2017/richdata2" ref="L28:L47">
    <sortCondition ref="L28"/>
  </sortState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6DA0-BF15-4DC0-873C-0003FDDC3A74}">
  <dimension ref="A3:N47"/>
  <sheetViews>
    <sheetView topLeftCell="E1" workbookViewId="0">
      <selection activeCell="F6" sqref="F6:G11"/>
    </sheetView>
  </sheetViews>
  <sheetFormatPr defaultRowHeight="15" x14ac:dyDescent="0.25"/>
  <cols>
    <col min="1" max="1" width="5" bestFit="1" customWidth="1"/>
    <col min="3" max="3" width="18.28515625" bestFit="1" customWidth="1"/>
    <col min="6" max="6" width="17.5703125" bestFit="1" customWidth="1"/>
    <col min="7" max="7" width="13.140625" bestFit="1" customWidth="1"/>
  </cols>
  <sheetData>
    <row r="3" spans="1:11" x14ac:dyDescent="0.25">
      <c r="B3" t="s">
        <v>4</v>
      </c>
    </row>
    <row r="4" spans="1:11" x14ac:dyDescent="0.25">
      <c r="A4">
        <v>2000</v>
      </c>
      <c r="B4">
        <v>50764265.476614729</v>
      </c>
      <c r="F4" t="s">
        <v>17</v>
      </c>
    </row>
    <row r="5" spans="1:11" ht="15.75" thickBot="1" x14ac:dyDescent="0.3">
      <c r="A5">
        <v>2001</v>
      </c>
      <c r="B5">
        <v>50774337.539247289</v>
      </c>
      <c r="C5">
        <v>50764265.476614729</v>
      </c>
    </row>
    <row r="6" spans="1:11" x14ac:dyDescent="0.25">
      <c r="A6">
        <v>2002</v>
      </c>
      <c r="B6">
        <v>50335231.889878154</v>
      </c>
      <c r="C6">
        <v>50774337.539247289</v>
      </c>
      <c r="F6" s="3" t="s">
        <v>18</v>
      </c>
      <c r="G6" s="3"/>
    </row>
    <row r="7" spans="1:11" x14ac:dyDescent="0.25">
      <c r="A7">
        <v>2003</v>
      </c>
      <c r="B7">
        <v>52856121.30412057</v>
      </c>
      <c r="C7">
        <v>50335231.889878154</v>
      </c>
      <c r="F7" t="s">
        <v>19</v>
      </c>
      <c r="G7">
        <v>0.92792373579459919</v>
      </c>
    </row>
    <row r="8" spans="1:11" x14ac:dyDescent="0.25">
      <c r="A8">
        <v>2004</v>
      </c>
      <c r="B8">
        <v>69969918.250373557</v>
      </c>
      <c r="C8">
        <v>52856121.30412057</v>
      </c>
      <c r="F8" t="s">
        <v>20</v>
      </c>
      <c r="G8">
        <v>0.8610424594510051</v>
      </c>
    </row>
    <row r="9" spans="1:11" x14ac:dyDescent="0.25">
      <c r="A9">
        <v>2005</v>
      </c>
      <c r="B9">
        <v>68257614.967450723</v>
      </c>
      <c r="C9">
        <v>69969918.250373557</v>
      </c>
      <c r="F9" t="s">
        <v>21</v>
      </c>
      <c r="G9">
        <v>0.85332259608717209</v>
      </c>
    </row>
    <row r="10" spans="1:11" x14ac:dyDescent="0.25">
      <c r="A10">
        <v>2006</v>
      </c>
      <c r="B10">
        <v>54723842.706776053</v>
      </c>
      <c r="C10">
        <v>68257614.967450723</v>
      </c>
      <c r="F10" t="s">
        <v>22</v>
      </c>
      <c r="G10">
        <v>25943360.910644285</v>
      </c>
    </row>
    <row r="11" spans="1:11" ht="15.75" thickBot="1" x14ac:dyDescent="0.3">
      <c r="A11">
        <v>2007</v>
      </c>
      <c r="B11">
        <v>53185019.472065121</v>
      </c>
      <c r="C11">
        <v>54723842.706776053</v>
      </c>
      <c r="F11" s="1" t="s">
        <v>23</v>
      </c>
      <c r="G11" s="1">
        <v>20</v>
      </c>
    </row>
    <row r="12" spans="1:11" x14ac:dyDescent="0.25">
      <c r="A12">
        <v>2008</v>
      </c>
      <c r="B12">
        <v>38358186.250233114</v>
      </c>
      <c r="C12">
        <v>53185019.472065121</v>
      </c>
    </row>
    <row r="13" spans="1:11" ht="15.75" thickBot="1" x14ac:dyDescent="0.3">
      <c r="A13">
        <v>2009</v>
      </c>
      <c r="B13">
        <v>36289140.125531644</v>
      </c>
      <c r="C13">
        <v>38358186.250233114</v>
      </c>
      <c r="F13" t="s">
        <v>24</v>
      </c>
    </row>
    <row r="14" spans="1:11" x14ac:dyDescent="0.25">
      <c r="A14">
        <v>2010</v>
      </c>
      <c r="B14">
        <v>31847542.07414145</v>
      </c>
      <c r="C14">
        <v>36289140.125531644</v>
      </c>
      <c r="F14" s="2"/>
      <c r="G14" s="2" t="s">
        <v>29</v>
      </c>
      <c r="H14" s="2" t="s">
        <v>30</v>
      </c>
      <c r="I14" s="2" t="s">
        <v>31</v>
      </c>
      <c r="J14" s="2" t="s">
        <v>32</v>
      </c>
      <c r="K14" s="2" t="s">
        <v>33</v>
      </c>
    </row>
    <row r="15" spans="1:11" x14ac:dyDescent="0.25">
      <c r="A15">
        <v>2011</v>
      </c>
      <c r="B15">
        <v>29878049.329418853</v>
      </c>
      <c r="C15">
        <v>31847542.07414145</v>
      </c>
      <c r="F15" t="s">
        <v>25</v>
      </c>
      <c r="G15">
        <v>1</v>
      </c>
      <c r="H15">
        <v>7.507017509595832E+16</v>
      </c>
      <c r="I15">
        <v>7.507017509595832E+16</v>
      </c>
      <c r="J15">
        <v>111.53597141173779</v>
      </c>
      <c r="K15">
        <v>3.8305263329900102E-9</v>
      </c>
    </row>
    <row r="16" spans="1:11" x14ac:dyDescent="0.25">
      <c r="A16">
        <v>2012</v>
      </c>
      <c r="B16">
        <v>27224650.822669961</v>
      </c>
      <c r="C16">
        <v>29878049.329418853</v>
      </c>
      <c r="F16" t="s">
        <v>26</v>
      </c>
      <c r="G16">
        <v>18</v>
      </c>
      <c r="H16">
        <v>1.2115043556119026E+16</v>
      </c>
      <c r="I16">
        <v>673057975339945.88</v>
      </c>
    </row>
    <row r="17" spans="1:14" ht="15.75" thickBot="1" x14ac:dyDescent="0.3">
      <c r="A17">
        <v>2013</v>
      </c>
      <c r="B17">
        <v>28389437.100745611</v>
      </c>
      <c r="C17">
        <v>27224650.822669961</v>
      </c>
      <c r="F17" s="1" t="s">
        <v>27</v>
      </c>
      <c r="G17" s="1">
        <v>19</v>
      </c>
      <c r="H17" s="1">
        <v>8.7185218652077344E+16</v>
      </c>
      <c r="I17" s="1"/>
      <c r="J17" s="1"/>
      <c r="K17" s="1"/>
    </row>
    <row r="18" spans="1:14" ht="15.75" thickBot="1" x14ac:dyDescent="0.3">
      <c r="A18">
        <v>2014</v>
      </c>
      <c r="B18">
        <v>29041953.411824565</v>
      </c>
      <c r="C18">
        <v>28389437.100745611</v>
      </c>
    </row>
    <row r="19" spans="1:14" x14ac:dyDescent="0.25">
      <c r="A19">
        <v>2015</v>
      </c>
      <c r="B19">
        <v>34928665.468587726</v>
      </c>
      <c r="C19">
        <v>29041953.411824565</v>
      </c>
      <c r="F19" s="2"/>
      <c r="G19" s="2" t="s">
        <v>34</v>
      </c>
      <c r="H19" s="2" t="s">
        <v>22</v>
      </c>
      <c r="I19" s="2" t="s">
        <v>35</v>
      </c>
      <c r="J19" s="2" t="s">
        <v>36</v>
      </c>
      <c r="K19" s="2" t="s">
        <v>37</v>
      </c>
      <c r="L19" s="2" t="s">
        <v>38</v>
      </c>
      <c r="M19" s="2" t="s">
        <v>39</v>
      </c>
      <c r="N19" s="2" t="s">
        <v>40</v>
      </c>
    </row>
    <row r="20" spans="1:14" x14ac:dyDescent="0.25">
      <c r="A20">
        <v>2016</v>
      </c>
      <c r="B20">
        <v>74784905.956905723</v>
      </c>
      <c r="C20">
        <v>34928665.468587726</v>
      </c>
      <c r="F20" t="s">
        <v>28</v>
      </c>
      <c r="G20">
        <v>-5478008.1788133979</v>
      </c>
      <c r="H20">
        <v>9457809.1655153614</v>
      </c>
      <c r="I20">
        <v>-0.57920476961906409</v>
      </c>
      <c r="J20">
        <v>0.56962939530985757</v>
      </c>
      <c r="K20">
        <v>-25348127.907038316</v>
      </c>
      <c r="L20">
        <v>14392111.54941152</v>
      </c>
      <c r="M20">
        <v>-25348127.907038316</v>
      </c>
      <c r="N20">
        <v>14392111.54941152</v>
      </c>
    </row>
    <row r="21" spans="1:14" ht="15.75" thickBot="1" x14ac:dyDescent="0.3">
      <c r="A21">
        <v>2017</v>
      </c>
      <c r="B21">
        <v>94070115.624735251</v>
      </c>
      <c r="C21">
        <v>74784905.956905723</v>
      </c>
      <c r="F21" s="1" t="s">
        <v>41</v>
      </c>
      <c r="G21" s="1">
        <v>1.2620744226469245</v>
      </c>
      <c r="H21" s="1">
        <v>0.11950263688769744</v>
      </c>
      <c r="I21" s="1">
        <v>10.561059199329287</v>
      </c>
      <c r="J21" s="1">
        <v>3.8305263329900102E-9</v>
      </c>
      <c r="K21" s="1">
        <v>1.0110086989426392</v>
      </c>
      <c r="L21" s="1">
        <v>1.5131401463512097</v>
      </c>
      <c r="M21" s="1">
        <v>1.0110086989426392</v>
      </c>
      <c r="N21" s="1">
        <v>1.5131401463512097</v>
      </c>
    </row>
    <row r="22" spans="1:14" x14ac:dyDescent="0.25">
      <c r="A22">
        <v>2018</v>
      </c>
      <c r="B22">
        <v>129988736.12009519</v>
      </c>
      <c r="C22">
        <v>94070115.624735251</v>
      </c>
    </row>
    <row r="23" spans="1:14" x14ac:dyDescent="0.25">
      <c r="A23">
        <v>2019</v>
      </c>
      <c r="B23">
        <v>244473057.03895932</v>
      </c>
      <c r="C23">
        <v>129988736.12009519</v>
      </c>
    </row>
    <row r="24" spans="1:14" x14ac:dyDescent="0.25">
      <c r="A24">
        <v>2020</v>
      </c>
      <c r="B24">
        <v>268834027.91079444</v>
      </c>
      <c r="C24">
        <v>244473057.03895932</v>
      </c>
    </row>
    <row r="25" spans="1:14" x14ac:dyDescent="0.25">
      <c r="C25">
        <v>268834027.91079444</v>
      </c>
      <c r="F25" t="s">
        <v>42</v>
      </c>
      <c r="K25" t="s">
        <v>47</v>
      </c>
    </row>
    <row r="26" spans="1:14" ht="15.75" thickBot="1" x14ac:dyDescent="0.3"/>
    <row r="27" spans="1:14" x14ac:dyDescent="0.25">
      <c r="F27" s="2" t="s">
        <v>43</v>
      </c>
      <c r="G27" s="2" t="s">
        <v>44</v>
      </c>
      <c r="H27" s="2" t="s">
        <v>45</v>
      </c>
      <c r="I27" s="2" t="s">
        <v>46</v>
      </c>
      <c r="K27" s="2" t="s">
        <v>48</v>
      </c>
      <c r="L27" s="2" t="s">
        <v>49</v>
      </c>
    </row>
    <row r="28" spans="1:14" x14ac:dyDescent="0.25">
      <c r="F28">
        <v>1</v>
      </c>
      <c r="G28">
        <v>58590272.863680333</v>
      </c>
      <c r="H28">
        <v>-7815935.3244330436</v>
      </c>
      <c r="I28">
        <v>-0.30952466879793583</v>
      </c>
      <c r="K28">
        <v>2.5</v>
      </c>
      <c r="L28">
        <v>27224650.822669961</v>
      </c>
    </row>
    <row r="29" spans="1:14" x14ac:dyDescent="0.25">
      <c r="F29">
        <v>2</v>
      </c>
      <c r="G29">
        <v>58602984.556312189</v>
      </c>
      <c r="H29">
        <v>-8267752.6664340347</v>
      </c>
      <c r="I29">
        <v>-0.32741742345045272</v>
      </c>
      <c r="K29">
        <v>7.5</v>
      </c>
      <c r="L29">
        <v>28389437.100745611</v>
      </c>
    </row>
    <row r="30" spans="1:14" x14ac:dyDescent="0.25">
      <c r="F30">
        <v>3</v>
      </c>
      <c r="G30">
        <v>58048800.547403634</v>
      </c>
      <c r="H30">
        <v>-5192679.2432830632</v>
      </c>
      <c r="I30">
        <v>-0.20563915337512015</v>
      </c>
      <c r="K30">
        <v>12.5</v>
      </c>
      <c r="L30">
        <v>29041953.411824565</v>
      </c>
    </row>
    <row r="31" spans="1:14" x14ac:dyDescent="0.25">
      <c r="F31">
        <v>4</v>
      </c>
      <c r="G31">
        <v>61230350.599440373</v>
      </c>
      <c r="H31">
        <v>8739567.6509331837</v>
      </c>
      <c r="I31">
        <v>0.34610211961912218</v>
      </c>
      <c r="K31">
        <v>17.5</v>
      </c>
      <c r="L31">
        <v>29878049.329418853</v>
      </c>
    </row>
    <row r="32" spans="1:14" x14ac:dyDescent="0.25">
      <c r="F32">
        <v>5</v>
      </c>
      <c r="G32">
        <v>82829235.999679312</v>
      </c>
      <c r="H32">
        <v>-14571621.032228589</v>
      </c>
      <c r="I32">
        <v>-0.57706160384288474</v>
      </c>
      <c r="K32">
        <v>22.5</v>
      </c>
      <c r="L32">
        <v>31847542.07414145</v>
      </c>
    </row>
    <row r="33" spans="6:12" x14ac:dyDescent="0.25">
      <c r="F33">
        <v>6</v>
      </c>
      <c r="G33">
        <v>80668181.82248804</v>
      </c>
      <c r="H33">
        <v>-25944339.115711987</v>
      </c>
      <c r="I33">
        <v>-1.0274410724547032</v>
      </c>
      <c r="K33">
        <v>27.5</v>
      </c>
      <c r="L33">
        <v>34928665.468587726</v>
      </c>
    </row>
    <row r="34" spans="6:12" x14ac:dyDescent="0.25">
      <c r="F34">
        <v>7</v>
      </c>
      <c r="G34">
        <v>63587554.010362104</v>
      </c>
      <c r="H34">
        <v>-10402534.538296983</v>
      </c>
      <c r="I34">
        <v>-0.41195850835152914</v>
      </c>
      <c r="K34">
        <v>32.5</v>
      </c>
      <c r="L34">
        <v>36289140.125531644</v>
      </c>
    </row>
    <row r="35" spans="6:12" x14ac:dyDescent="0.25">
      <c r="F35">
        <v>8</v>
      </c>
      <c r="G35">
        <v>61645444.56485863</v>
      </c>
      <c r="H35">
        <v>-23287258.314625517</v>
      </c>
      <c r="I35">
        <v>-0.92221603913659511</v>
      </c>
      <c r="K35">
        <v>37.5</v>
      </c>
      <c r="L35">
        <v>38358186.250233114</v>
      </c>
    </row>
    <row r="36" spans="6:12" x14ac:dyDescent="0.25">
      <c r="F36">
        <v>9</v>
      </c>
      <c r="G36">
        <v>42932877.58673276</v>
      </c>
      <c r="H36">
        <v>-6643737.4612011164</v>
      </c>
      <c r="I36">
        <v>-0.26310358925697519</v>
      </c>
      <c r="K36">
        <v>42.5</v>
      </c>
      <c r="L36">
        <v>50335231.889878154</v>
      </c>
    </row>
    <row r="37" spans="6:12" x14ac:dyDescent="0.25">
      <c r="F37">
        <v>10</v>
      </c>
      <c r="G37">
        <v>40321587.393470295</v>
      </c>
      <c r="H37">
        <v>-8474045.3193288445</v>
      </c>
      <c r="I37">
        <v>-0.33558697225200262</v>
      </c>
      <c r="K37">
        <v>47.5</v>
      </c>
      <c r="L37">
        <v>50774337.539247289</v>
      </c>
    </row>
    <row r="38" spans="6:12" x14ac:dyDescent="0.25">
      <c r="F38">
        <v>11</v>
      </c>
      <c r="G38">
        <v>34715960.09713231</v>
      </c>
      <c r="H38">
        <v>-4837910.7677134573</v>
      </c>
      <c r="I38">
        <v>-0.19158970307358555</v>
      </c>
      <c r="K38">
        <v>52.5</v>
      </c>
      <c r="L38">
        <v>52856121.30412057</v>
      </c>
    </row>
    <row r="39" spans="6:12" x14ac:dyDescent="0.25">
      <c r="F39">
        <v>12</v>
      </c>
      <c r="G39">
        <v>32230313.678429231</v>
      </c>
      <c r="H39">
        <v>-5005662.8557592705</v>
      </c>
      <c r="I39">
        <v>-0.19823297829750239</v>
      </c>
      <c r="K39">
        <v>57.5</v>
      </c>
      <c r="L39">
        <v>53185019.472065121</v>
      </c>
    </row>
    <row r="40" spans="6:12" x14ac:dyDescent="0.25">
      <c r="F40">
        <v>13</v>
      </c>
      <c r="G40">
        <v>28881527.28997191</v>
      </c>
      <c r="H40">
        <v>-492090.18922629952</v>
      </c>
      <c r="I40">
        <v>-1.9487629633121683E-2</v>
      </c>
      <c r="K40">
        <v>62.5</v>
      </c>
      <c r="L40">
        <v>54723842.706776053</v>
      </c>
    </row>
    <row r="41" spans="6:12" x14ac:dyDescent="0.25">
      <c r="F41">
        <v>14</v>
      </c>
      <c r="G41">
        <v>30351574.259381294</v>
      </c>
      <c r="H41">
        <v>-1309620.8475567289</v>
      </c>
      <c r="I41">
        <v>-5.1863269367607351E-2</v>
      </c>
      <c r="K41">
        <v>67.5</v>
      </c>
      <c r="L41">
        <v>68257614.967450723</v>
      </c>
    </row>
    <row r="42" spans="6:12" x14ac:dyDescent="0.25">
      <c r="F42">
        <v>15</v>
      </c>
      <c r="G42">
        <v>31175098.405953966</v>
      </c>
      <c r="H42">
        <v>3753567.0626337603</v>
      </c>
      <c r="I42">
        <v>0.14864780140140582</v>
      </c>
      <c r="K42">
        <v>72.5</v>
      </c>
      <c r="L42">
        <v>69969918.250373557</v>
      </c>
    </row>
    <row r="43" spans="6:12" x14ac:dyDescent="0.25">
      <c r="F43">
        <v>16</v>
      </c>
      <c r="G43">
        <v>38604567.126282021</v>
      </c>
      <c r="H43">
        <v>36180338.830623701</v>
      </c>
      <c r="I43">
        <v>1.4328045113856205</v>
      </c>
      <c r="K43">
        <v>77.5</v>
      </c>
      <c r="L43">
        <v>74784905.956905723</v>
      </c>
    </row>
    <row r="44" spans="6:12" x14ac:dyDescent="0.25">
      <c r="F44">
        <v>17</v>
      </c>
      <c r="G44">
        <v>88906108.829452932</v>
      </c>
      <c r="H44">
        <v>5164006.7952823192</v>
      </c>
      <c r="I44">
        <v>0.20450367443335957</v>
      </c>
      <c r="K44">
        <v>82.5</v>
      </c>
      <c r="L44">
        <v>94070115.624735251</v>
      </c>
    </row>
    <row r="45" spans="6:12" x14ac:dyDescent="0.25">
      <c r="F45">
        <v>18</v>
      </c>
      <c r="G45">
        <v>113245478.68660377</v>
      </c>
      <c r="H45">
        <v>16743257.433491424</v>
      </c>
      <c r="I45">
        <v>0.66306219237758823</v>
      </c>
      <c r="K45">
        <v>87.5</v>
      </c>
      <c r="L45">
        <v>129988736.12009519</v>
      </c>
    </row>
    <row r="46" spans="6:12" x14ac:dyDescent="0.25">
      <c r="F46">
        <v>19</v>
      </c>
      <c r="G46">
        <v>158577450.91055915</v>
      </c>
      <c r="H46">
        <v>85895606.128400177</v>
      </c>
      <c r="I46">
        <v>3.4016157931833422</v>
      </c>
      <c r="K46">
        <v>92.5</v>
      </c>
      <c r="L46">
        <v>244473057.03895932</v>
      </c>
    </row>
    <row r="47" spans="6:12" ht="15.75" thickBot="1" x14ac:dyDescent="0.3">
      <c r="F47" s="1">
        <v>20</v>
      </c>
      <c r="G47" s="1">
        <v>303065184.13635981</v>
      </c>
      <c r="H47" s="1">
        <v>-34231156.225565374</v>
      </c>
      <c r="I47" s="1">
        <v>-1.3556134811104128</v>
      </c>
      <c r="K47" s="1">
        <v>97.5</v>
      </c>
      <c r="L47" s="1">
        <v>268834027.91079444</v>
      </c>
    </row>
  </sheetData>
  <sortState xmlns:xlrd2="http://schemas.microsoft.com/office/spreadsheetml/2017/richdata2" ref="L28:L47">
    <sortCondition ref="L28"/>
  </sortState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4B056-39A8-4EE0-B596-48F58D8EB645}">
  <dimension ref="A3:N47"/>
  <sheetViews>
    <sheetView workbookViewId="0">
      <selection activeCell="F6" sqref="F6:G11"/>
    </sheetView>
  </sheetViews>
  <sheetFormatPr defaultRowHeight="15" x14ac:dyDescent="0.25"/>
  <cols>
    <col min="1" max="1" width="5" bestFit="1" customWidth="1"/>
    <col min="6" max="6" width="17.5703125" bestFit="1" customWidth="1"/>
    <col min="7" max="7" width="12.42578125" bestFit="1" customWidth="1"/>
  </cols>
  <sheetData>
    <row r="3" spans="1:11" x14ac:dyDescent="0.25">
      <c r="B3" t="s">
        <v>5</v>
      </c>
    </row>
    <row r="4" spans="1:11" x14ac:dyDescent="0.25">
      <c r="A4">
        <v>2000</v>
      </c>
      <c r="B4">
        <v>20923950.020323381</v>
      </c>
      <c r="F4" t="s">
        <v>17</v>
      </c>
    </row>
    <row r="5" spans="1:11" ht="15.75" thickBot="1" x14ac:dyDescent="0.3">
      <c r="A5">
        <v>2001</v>
      </c>
      <c r="B5">
        <v>20532693.853786986</v>
      </c>
      <c r="C5">
        <v>20923950.020323381</v>
      </c>
    </row>
    <row r="6" spans="1:11" x14ac:dyDescent="0.25">
      <c r="A6">
        <v>2002</v>
      </c>
      <c r="B6">
        <v>20111574.529954832</v>
      </c>
      <c r="C6">
        <v>20532693.853786986</v>
      </c>
      <c r="F6" s="3" t="s">
        <v>18</v>
      </c>
      <c r="G6" s="3"/>
    </row>
    <row r="7" spans="1:11" x14ac:dyDescent="0.25">
      <c r="A7">
        <v>2003</v>
      </c>
      <c r="B7">
        <v>19392670.084334902</v>
      </c>
      <c r="C7">
        <v>20111574.529954832</v>
      </c>
      <c r="F7" t="s">
        <v>19</v>
      </c>
      <c r="G7">
        <v>0.89991582560923133</v>
      </c>
    </row>
    <row r="8" spans="1:11" x14ac:dyDescent="0.25">
      <c r="A8">
        <v>2004</v>
      </c>
      <c r="B8">
        <v>19054703.122363184</v>
      </c>
      <c r="C8">
        <v>19392670.084334902</v>
      </c>
      <c r="F8" t="s">
        <v>20</v>
      </c>
      <c r="G8">
        <v>0.80984849318194452</v>
      </c>
    </row>
    <row r="9" spans="1:11" x14ac:dyDescent="0.25">
      <c r="A9">
        <v>2005</v>
      </c>
      <c r="B9">
        <v>18693917.72138387</v>
      </c>
      <c r="C9">
        <v>19054703.122363184</v>
      </c>
      <c r="F9" t="s">
        <v>21</v>
      </c>
      <c r="G9">
        <v>0.79928452058094146</v>
      </c>
    </row>
    <row r="10" spans="1:11" x14ac:dyDescent="0.25">
      <c r="A10">
        <v>2006</v>
      </c>
      <c r="B10">
        <v>20305661.86554661</v>
      </c>
      <c r="C10">
        <v>18693917.72138387</v>
      </c>
      <c r="F10" t="s">
        <v>22</v>
      </c>
      <c r="G10">
        <v>3976321.0793543342</v>
      </c>
    </row>
    <row r="11" spans="1:11" ht="15.75" thickBot="1" x14ac:dyDescent="0.3">
      <c r="A11">
        <v>2007</v>
      </c>
      <c r="B11">
        <v>19916221.87937418</v>
      </c>
      <c r="C11">
        <v>20305661.86554661</v>
      </c>
      <c r="F11" s="1" t="s">
        <v>23</v>
      </c>
      <c r="G11" s="1">
        <v>20</v>
      </c>
    </row>
    <row r="12" spans="1:11" x14ac:dyDescent="0.25">
      <c r="A12">
        <v>2008</v>
      </c>
      <c r="B12">
        <v>19937955.877736975</v>
      </c>
      <c r="C12">
        <v>19916221.87937418</v>
      </c>
    </row>
    <row r="13" spans="1:11" ht="15.75" thickBot="1" x14ac:dyDescent="0.3">
      <c r="A13">
        <v>2009</v>
      </c>
      <c r="B13">
        <v>19825403.520701751</v>
      </c>
      <c r="C13">
        <v>19937955.877736975</v>
      </c>
      <c r="F13" t="s">
        <v>24</v>
      </c>
    </row>
    <row r="14" spans="1:11" x14ac:dyDescent="0.25">
      <c r="A14">
        <v>2010</v>
      </c>
      <c r="B14">
        <v>19155298.849561401</v>
      </c>
      <c r="C14">
        <v>19825403.520701751</v>
      </c>
      <c r="F14" s="2"/>
      <c r="G14" s="2" t="s">
        <v>29</v>
      </c>
      <c r="H14" s="2" t="s">
        <v>30</v>
      </c>
      <c r="I14" s="2" t="s">
        <v>31</v>
      </c>
      <c r="J14" s="2" t="s">
        <v>32</v>
      </c>
      <c r="K14" s="2" t="s">
        <v>33</v>
      </c>
    </row>
    <row r="15" spans="1:11" x14ac:dyDescent="0.25">
      <c r="A15">
        <v>2011</v>
      </c>
      <c r="B15">
        <v>19326300.843421053</v>
      </c>
      <c r="C15">
        <v>19155298.849561401</v>
      </c>
      <c r="F15" t="s">
        <v>25</v>
      </c>
      <c r="G15">
        <v>1</v>
      </c>
      <c r="H15">
        <v>1212102657199751</v>
      </c>
      <c r="I15">
        <v>1212102657199751</v>
      </c>
      <c r="J15">
        <v>76.661358730241929</v>
      </c>
      <c r="K15">
        <v>6.6221632003547358E-8</v>
      </c>
    </row>
    <row r="16" spans="1:11" x14ac:dyDescent="0.25">
      <c r="A16">
        <v>2012</v>
      </c>
      <c r="B16">
        <v>1956106.5441666669</v>
      </c>
      <c r="C16">
        <v>19326300.843421053</v>
      </c>
      <c r="F16" t="s">
        <v>26</v>
      </c>
      <c r="G16">
        <v>18</v>
      </c>
      <c r="H16">
        <v>284600327870117.13</v>
      </c>
      <c r="I16">
        <v>15811129326117.617</v>
      </c>
    </row>
    <row r="17" spans="1:14" ht="15.75" thickBot="1" x14ac:dyDescent="0.3">
      <c r="A17">
        <v>2013</v>
      </c>
      <c r="B17">
        <v>1868860.0933333333</v>
      </c>
      <c r="C17">
        <v>1956106.5441666669</v>
      </c>
      <c r="F17" s="1" t="s">
        <v>27</v>
      </c>
      <c r="G17" s="1">
        <v>19</v>
      </c>
      <c r="H17" s="1">
        <v>1496702985069868</v>
      </c>
      <c r="I17" s="1"/>
      <c r="J17" s="1"/>
      <c r="K17" s="1"/>
    </row>
    <row r="18" spans="1:14" ht="15.75" thickBot="1" x14ac:dyDescent="0.3">
      <c r="A18">
        <v>2014</v>
      </c>
      <c r="B18">
        <v>1900870.4433333334</v>
      </c>
      <c r="C18">
        <v>1868860.0933333333</v>
      </c>
    </row>
    <row r="19" spans="1:14" x14ac:dyDescent="0.25">
      <c r="A19">
        <v>2015</v>
      </c>
      <c r="B19">
        <v>1887280.7208333334</v>
      </c>
      <c r="C19">
        <v>1900870.4433333334</v>
      </c>
      <c r="F19" s="2"/>
      <c r="G19" s="2" t="s">
        <v>34</v>
      </c>
      <c r="H19" s="2" t="s">
        <v>22</v>
      </c>
      <c r="I19" s="2" t="s">
        <v>35</v>
      </c>
      <c r="J19" s="2" t="s">
        <v>36</v>
      </c>
      <c r="K19" s="2" t="s">
        <v>37</v>
      </c>
      <c r="L19" s="2" t="s">
        <v>38</v>
      </c>
      <c r="M19" s="2" t="s">
        <v>39</v>
      </c>
      <c r="N19" s="2" t="s">
        <v>40</v>
      </c>
    </row>
    <row r="20" spans="1:14" x14ac:dyDescent="0.25">
      <c r="A20">
        <v>2016</v>
      </c>
      <c r="B20">
        <v>1784486.5525000002</v>
      </c>
      <c r="C20">
        <v>1887280.7208333334</v>
      </c>
      <c r="F20" t="s">
        <v>28</v>
      </c>
      <c r="G20">
        <v>561141.64398386143</v>
      </c>
      <c r="H20">
        <v>1567629.117798473</v>
      </c>
      <c r="I20">
        <v>0.35795561438148737</v>
      </c>
      <c r="J20">
        <v>0.72453978116141671</v>
      </c>
      <c r="K20">
        <v>-2732324.9205225646</v>
      </c>
      <c r="L20">
        <v>3854608.2084902874</v>
      </c>
      <c r="M20">
        <v>-2732324.9205225646</v>
      </c>
      <c r="N20">
        <v>3854608.2084902874</v>
      </c>
    </row>
    <row r="21" spans="1:14" ht="15.75" thickBot="1" x14ac:dyDescent="0.3">
      <c r="A21">
        <v>2017</v>
      </c>
      <c r="B21">
        <v>2200512.6324999998</v>
      </c>
      <c r="C21">
        <v>1784486.5525000002</v>
      </c>
      <c r="F21" s="1" t="s">
        <v>41</v>
      </c>
      <c r="G21" s="1">
        <v>0.89302059233918574</v>
      </c>
      <c r="H21" s="1">
        <v>0.10199366957708078</v>
      </c>
      <c r="I21" s="1">
        <v>8.7556472479333003</v>
      </c>
      <c r="J21" s="1">
        <v>6.6221632003547107E-8</v>
      </c>
      <c r="K21" s="1">
        <v>0.67873984395963494</v>
      </c>
      <c r="L21" s="1">
        <v>1.1073013407187366</v>
      </c>
      <c r="M21" s="1">
        <v>0.67873984395963494</v>
      </c>
      <c r="N21" s="1">
        <v>1.1073013407187366</v>
      </c>
    </row>
    <row r="22" spans="1:14" x14ac:dyDescent="0.25">
      <c r="A22">
        <v>2018</v>
      </c>
      <c r="B22">
        <v>2217689.2383333333</v>
      </c>
      <c r="C22">
        <v>2200512.6324999998</v>
      </c>
    </row>
    <row r="23" spans="1:14" x14ac:dyDescent="0.25">
      <c r="A23">
        <v>2019</v>
      </c>
      <c r="B23">
        <v>2177787.5541666667</v>
      </c>
      <c r="C23">
        <v>2217689.2383333333</v>
      </c>
    </row>
    <row r="24" spans="1:14" x14ac:dyDescent="0.25">
      <c r="A24">
        <v>2020</v>
      </c>
      <c r="B24">
        <v>5062812.0449999999</v>
      </c>
      <c r="C24">
        <v>2177787.5541666667</v>
      </c>
    </row>
    <row r="25" spans="1:14" x14ac:dyDescent="0.25">
      <c r="C25">
        <v>5062812.0449999999</v>
      </c>
      <c r="F25" t="s">
        <v>42</v>
      </c>
      <c r="K25" t="s">
        <v>47</v>
      </c>
    </row>
    <row r="26" spans="1:14" ht="15.75" thickBot="1" x14ac:dyDescent="0.3"/>
    <row r="27" spans="1:14" x14ac:dyDescent="0.25">
      <c r="F27" s="2" t="s">
        <v>43</v>
      </c>
      <c r="G27" s="2" t="s">
        <v>44</v>
      </c>
      <c r="H27" s="2" t="s">
        <v>45</v>
      </c>
      <c r="I27" s="2" t="s">
        <v>46</v>
      </c>
      <c r="K27" s="2" t="s">
        <v>48</v>
      </c>
      <c r="L27" s="2" t="s">
        <v>49</v>
      </c>
    </row>
    <row r="28" spans="1:14" x14ac:dyDescent="0.25">
      <c r="F28">
        <v>1</v>
      </c>
      <c r="G28">
        <v>19246659.885208562</v>
      </c>
      <c r="H28">
        <v>1286033.9685784243</v>
      </c>
      <c r="I28">
        <v>0.33228561636031489</v>
      </c>
      <c r="K28">
        <v>2.5</v>
      </c>
      <c r="L28">
        <v>1784486.5525000002</v>
      </c>
    </row>
    <row r="29" spans="1:14" x14ac:dyDescent="0.25">
      <c r="F29">
        <v>2</v>
      </c>
      <c r="G29">
        <v>18897260.071611874</v>
      </c>
      <c r="H29">
        <v>1214314.4583429582</v>
      </c>
      <c r="I29">
        <v>0.31375472040739166</v>
      </c>
      <c r="K29">
        <v>7.5</v>
      </c>
      <c r="L29">
        <v>1868860.0933333333</v>
      </c>
    </row>
    <row r="30" spans="1:14" x14ac:dyDescent="0.25">
      <c r="F30">
        <v>3</v>
      </c>
      <c r="G30">
        <v>18521191.843597807</v>
      </c>
      <c r="H30">
        <v>871478.24073709548</v>
      </c>
      <c r="I30">
        <v>0.22517265596648947</v>
      </c>
      <c r="K30">
        <v>12.5</v>
      </c>
      <c r="L30">
        <v>1887280.7208333334</v>
      </c>
    </row>
    <row r="31" spans="1:14" x14ac:dyDescent="0.25">
      <c r="F31">
        <v>4</v>
      </c>
      <c r="G31">
        <v>17879195.369735025</v>
      </c>
      <c r="H31">
        <v>1175507.7526281588</v>
      </c>
      <c r="I31">
        <v>0.30372783897003003</v>
      </c>
      <c r="K31">
        <v>17.5</v>
      </c>
      <c r="L31">
        <v>1900870.4433333334</v>
      </c>
    </row>
    <row r="32" spans="1:14" x14ac:dyDescent="0.25">
      <c r="F32">
        <v>5</v>
      </c>
      <c r="G32">
        <v>17577383.91316396</v>
      </c>
      <c r="H32">
        <v>1116533.8082199097</v>
      </c>
      <c r="I32">
        <v>0.28849014389689326</v>
      </c>
      <c r="K32">
        <v>22.5</v>
      </c>
      <c r="L32">
        <v>1956106.5441666669</v>
      </c>
    </row>
    <row r="33" spans="6:12" x14ac:dyDescent="0.25">
      <c r="F33">
        <v>6</v>
      </c>
      <c r="G33">
        <v>17255195.120674089</v>
      </c>
      <c r="H33">
        <v>3050466.7448725216</v>
      </c>
      <c r="I33">
        <v>0.78817997601343837</v>
      </c>
      <c r="K33">
        <v>27.5</v>
      </c>
      <c r="L33">
        <v>2177787.5541666667</v>
      </c>
    </row>
    <row r="34" spans="6:12" x14ac:dyDescent="0.25">
      <c r="F34">
        <v>7</v>
      </c>
      <c r="G34">
        <v>18694515.830993511</v>
      </c>
      <c r="H34">
        <v>1221706.0483806692</v>
      </c>
      <c r="I34">
        <v>0.3156645603584145</v>
      </c>
      <c r="K34">
        <v>32.5</v>
      </c>
      <c r="L34">
        <v>2200512.6324999998</v>
      </c>
    </row>
    <row r="35" spans="6:12" x14ac:dyDescent="0.25">
      <c r="F35">
        <v>8</v>
      </c>
      <c r="G35">
        <v>18346737.90386124</v>
      </c>
      <c r="H35">
        <v>1591217.973875735</v>
      </c>
      <c r="I35">
        <v>0.41113909751340039</v>
      </c>
      <c r="K35">
        <v>37.5</v>
      </c>
      <c r="L35">
        <v>2217689.2383333333</v>
      </c>
    </row>
    <row r="36" spans="6:12" x14ac:dyDescent="0.25">
      <c r="F36">
        <v>9</v>
      </c>
      <c r="G36">
        <v>18366146.811953083</v>
      </c>
      <c r="H36">
        <v>1459256.7087486684</v>
      </c>
      <c r="I36">
        <v>0.37704292945735401</v>
      </c>
      <c r="K36">
        <v>42.5</v>
      </c>
      <c r="L36">
        <v>5062812.0449999999</v>
      </c>
    </row>
    <row r="37" spans="6:12" x14ac:dyDescent="0.25">
      <c r="F37">
        <v>10</v>
      </c>
      <c r="G37">
        <v>18265635.239404321</v>
      </c>
      <c r="H37">
        <v>889663.61015707999</v>
      </c>
      <c r="I37">
        <v>0.22987139397349499</v>
      </c>
      <c r="K37">
        <v>47.5</v>
      </c>
      <c r="L37">
        <v>18693917.72138387</v>
      </c>
    </row>
    <row r="38" spans="6:12" x14ac:dyDescent="0.25">
      <c r="F38">
        <v>11</v>
      </c>
      <c r="G38">
        <v>17667217.969053306</v>
      </c>
      <c r="H38">
        <v>1659082.8743677475</v>
      </c>
      <c r="I38">
        <v>0.42867403892256634</v>
      </c>
      <c r="K38">
        <v>52.5</v>
      </c>
      <c r="L38">
        <v>19054703.122363184</v>
      </c>
    </row>
    <row r="39" spans="6:12" x14ac:dyDescent="0.25">
      <c r="F39">
        <v>12</v>
      </c>
      <c r="G39">
        <v>17819926.270901032</v>
      </c>
      <c r="H39">
        <v>-15863819.726734364</v>
      </c>
      <c r="I39">
        <v>-4.0988957092274489</v>
      </c>
      <c r="K39">
        <v>57.5</v>
      </c>
      <c r="L39">
        <v>19155298.849561401</v>
      </c>
    </row>
    <row r="40" spans="6:12" x14ac:dyDescent="0.25">
      <c r="F40">
        <v>13</v>
      </c>
      <c r="G40">
        <v>2307985.0687341359</v>
      </c>
      <c r="H40">
        <v>-439124.97540080268</v>
      </c>
      <c r="I40">
        <v>-0.11346116562656387</v>
      </c>
      <c r="K40">
        <v>62.5</v>
      </c>
      <c r="L40">
        <v>19326300.843421053</v>
      </c>
    </row>
    <row r="41" spans="6:12" x14ac:dyDescent="0.25">
      <c r="F41">
        <v>14</v>
      </c>
      <c r="G41">
        <v>2230072.1915314607</v>
      </c>
      <c r="H41">
        <v>-329201.74819812737</v>
      </c>
      <c r="I41">
        <v>-8.5059188543694556E-2</v>
      </c>
      <c r="K41">
        <v>67.5</v>
      </c>
      <c r="L41">
        <v>19392670.084334902</v>
      </c>
    </row>
    <row r="42" spans="6:12" x14ac:dyDescent="0.25">
      <c r="F42">
        <v>15</v>
      </c>
      <c r="G42">
        <v>2258658.0932494453</v>
      </c>
      <c r="H42">
        <v>-371377.37241611187</v>
      </c>
      <c r="I42">
        <v>-9.5956531561892891E-2</v>
      </c>
      <c r="K42">
        <v>72.5</v>
      </c>
      <c r="L42">
        <v>19825403.520701751</v>
      </c>
    </row>
    <row r="43" spans="6:12" x14ac:dyDescent="0.25">
      <c r="F43">
        <v>16</v>
      </c>
      <c r="G43">
        <v>2246522.1912127705</v>
      </c>
      <c r="H43">
        <v>-462035.63871277031</v>
      </c>
      <c r="I43">
        <v>-0.11938082565565009</v>
      </c>
      <c r="K43">
        <v>77.5</v>
      </c>
      <c r="L43">
        <v>19916221.87937418</v>
      </c>
    </row>
    <row r="44" spans="6:12" x14ac:dyDescent="0.25">
      <c r="F44">
        <v>17</v>
      </c>
      <c r="G44">
        <v>2154724.8821187234</v>
      </c>
      <c r="H44">
        <v>45787.750381276477</v>
      </c>
      <c r="I44">
        <v>1.1830644624428432E-2</v>
      </c>
      <c r="K44">
        <v>82.5</v>
      </c>
      <c r="L44">
        <v>19937955.877736975</v>
      </c>
    </row>
    <row r="45" spans="6:12" x14ac:dyDescent="0.25">
      <c r="F45">
        <v>18</v>
      </c>
      <c r="G45">
        <v>2526244.7385088722</v>
      </c>
      <c r="H45">
        <v>-308555.50017553894</v>
      </c>
      <c r="I45">
        <v>-7.9724608418025519E-2</v>
      </c>
      <c r="K45">
        <v>87.5</v>
      </c>
      <c r="L45">
        <v>20111574.529954832</v>
      </c>
    </row>
    <row r="46" spans="6:12" x14ac:dyDescent="0.25">
      <c r="F46">
        <v>19</v>
      </c>
      <c r="G46">
        <v>2541583.8012245325</v>
      </c>
      <c r="H46">
        <v>-363796.24705786584</v>
      </c>
      <c r="I46">
        <v>-9.3997719451234418E-2</v>
      </c>
      <c r="K46">
        <v>92.5</v>
      </c>
      <c r="L46">
        <v>20305661.86554661</v>
      </c>
    </row>
    <row r="47" spans="6:12" ht="15.75" thickBot="1" x14ac:dyDescent="0.3">
      <c r="F47" s="1">
        <v>20</v>
      </c>
      <c r="G47" s="1">
        <v>2505950.7755946848</v>
      </c>
      <c r="H47" s="1">
        <v>2556861.2694053152</v>
      </c>
      <c r="I47" s="1">
        <v>0.6606421320202881</v>
      </c>
      <c r="K47" s="1">
        <v>97.5</v>
      </c>
      <c r="L47" s="1">
        <v>20532693.853786986</v>
      </c>
    </row>
  </sheetData>
  <sortState xmlns:xlrd2="http://schemas.microsoft.com/office/spreadsheetml/2017/richdata2" ref="L28:L47">
    <sortCondition ref="L28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7B321-71C6-43B4-A4C1-B3433789AB39}">
  <dimension ref="A3:N47"/>
  <sheetViews>
    <sheetView workbookViewId="0">
      <selection activeCell="F6" sqref="F6:G11"/>
    </sheetView>
  </sheetViews>
  <sheetFormatPr defaultRowHeight="15" x14ac:dyDescent="0.25"/>
  <cols>
    <col min="1" max="1" width="5" bestFit="1" customWidth="1"/>
    <col min="2" max="2" width="38.5703125" bestFit="1" customWidth="1"/>
    <col min="6" max="6" width="17.5703125" bestFit="1" customWidth="1"/>
    <col min="7" max="7" width="13.140625" bestFit="1" customWidth="1"/>
  </cols>
  <sheetData>
    <row r="3" spans="1:11" x14ac:dyDescent="0.25">
      <c r="B3" t="s">
        <v>6</v>
      </c>
    </row>
    <row r="4" spans="1:11" x14ac:dyDescent="0.25">
      <c r="A4">
        <v>2000</v>
      </c>
      <c r="B4">
        <v>311598814.06162727</v>
      </c>
      <c r="F4" t="s">
        <v>17</v>
      </c>
    </row>
    <row r="5" spans="1:11" ht="15.75" thickBot="1" x14ac:dyDescent="0.3">
      <c r="A5">
        <v>2001</v>
      </c>
      <c r="B5">
        <v>314913212.59057081</v>
      </c>
      <c r="C5">
        <v>311598814.06162727</v>
      </c>
    </row>
    <row r="6" spans="1:11" x14ac:dyDescent="0.25">
      <c r="A6">
        <v>2002</v>
      </c>
      <c r="B6">
        <v>275098221.46512675</v>
      </c>
      <c r="C6">
        <v>314913212.59057081</v>
      </c>
      <c r="F6" s="3" t="s">
        <v>18</v>
      </c>
      <c r="G6" s="3"/>
    </row>
    <row r="7" spans="1:11" x14ac:dyDescent="0.25">
      <c r="A7">
        <v>2003</v>
      </c>
      <c r="B7">
        <v>262871459.77782801</v>
      </c>
      <c r="C7">
        <v>275098221.46512675</v>
      </c>
      <c r="F7" t="s">
        <v>19</v>
      </c>
      <c r="G7">
        <v>0.96485536603666622</v>
      </c>
    </row>
    <row r="8" spans="1:11" x14ac:dyDescent="0.25">
      <c r="A8">
        <v>2004</v>
      </c>
      <c r="B8">
        <v>261128636.20449466</v>
      </c>
      <c r="C8">
        <v>262871459.77782801</v>
      </c>
      <c r="F8" t="s">
        <v>20</v>
      </c>
      <c r="G8">
        <v>0.93094587736974921</v>
      </c>
    </row>
    <row r="9" spans="1:11" x14ac:dyDescent="0.25">
      <c r="A9">
        <v>2005</v>
      </c>
      <c r="B9">
        <v>257038004.93187308</v>
      </c>
      <c r="C9">
        <v>261128636.20449466</v>
      </c>
      <c r="F9" t="s">
        <v>21</v>
      </c>
      <c r="G9">
        <v>0.9271095372236241</v>
      </c>
    </row>
    <row r="10" spans="1:11" x14ac:dyDescent="0.25">
      <c r="A10">
        <v>2006</v>
      </c>
      <c r="B10">
        <v>243336949.27765125</v>
      </c>
      <c r="C10">
        <v>257038004.93187308</v>
      </c>
      <c r="F10" t="s">
        <v>22</v>
      </c>
      <c r="G10">
        <v>23337922.156081583</v>
      </c>
    </row>
    <row r="11" spans="1:11" ht="15.75" thickBot="1" x14ac:dyDescent="0.3">
      <c r="A11">
        <v>2007</v>
      </c>
      <c r="B11">
        <v>227800791.45995286</v>
      </c>
      <c r="C11">
        <v>243336949.27765125</v>
      </c>
      <c r="F11" s="1" t="s">
        <v>23</v>
      </c>
      <c r="G11" s="1">
        <v>20</v>
      </c>
    </row>
    <row r="12" spans="1:11" x14ac:dyDescent="0.25">
      <c r="A12">
        <v>2008</v>
      </c>
      <c r="B12">
        <v>225945393.95778477</v>
      </c>
      <c r="C12">
        <v>227800791.45995286</v>
      </c>
    </row>
    <row r="13" spans="1:11" ht="15.75" thickBot="1" x14ac:dyDescent="0.3">
      <c r="A13">
        <v>2009</v>
      </c>
      <c r="B13">
        <v>232813533.26876855</v>
      </c>
      <c r="C13">
        <v>225945393.95778477</v>
      </c>
      <c r="F13" t="s">
        <v>24</v>
      </c>
    </row>
    <row r="14" spans="1:11" x14ac:dyDescent="0.25">
      <c r="A14">
        <v>2010</v>
      </c>
      <c r="B14">
        <v>235328125.65923217</v>
      </c>
      <c r="C14">
        <v>232813533.26876855</v>
      </c>
      <c r="F14" s="2"/>
      <c r="G14" s="2" t="s">
        <v>29</v>
      </c>
      <c r="H14" s="2" t="s">
        <v>30</v>
      </c>
      <c r="I14" s="2" t="s">
        <v>31</v>
      </c>
      <c r="J14" s="2" t="s">
        <v>32</v>
      </c>
      <c r="K14" s="2" t="s">
        <v>33</v>
      </c>
    </row>
    <row r="15" spans="1:11" x14ac:dyDescent="0.25">
      <c r="A15">
        <v>2011</v>
      </c>
      <c r="B15">
        <v>232957520.37821281</v>
      </c>
      <c r="C15">
        <v>235328125.65923217</v>
      </c>
      <c r="F15" t="s">
        <v>25</v>
      </c>
      <c r="G15">
        <v>1</v>
      </c>
      <c r="H15">
        <v>1.3216963792692187E+17</v>
      </c>
      <c r="I15">
        <v>1.3216963792692187E+17</v>
      </c>
      <c r="J15">
        <v>242.66510317393656</v>
      </c>
      <c r="K15">
        <v>6.8378837621762502E-12</v>
      </c>
    </row>
    <row r="16" spans="1:11" x14ac:dyDescent="0.25">
      <c r="A16">
        <v>2012</v>
      </c>
      <c r="B16">
        <v>144417830.43723875</v>
      </c>
      <c r="C16">
        <v>232957520.37821281</v>
      </c>
      <c r="F16" t="s">
        <v>26</v>
      </c>
      <c r="G16">
        <v>18</v>
      </c>
      <c r="H16">
        <v>9803854990139826</v>
      </c>
      <c r="I16">
        <v>544658610563323.69</v>
      </c>
    </row>
    <row r="17" spans="1:14" ht="15.75" thickBot="1" x14ac:dyDescent="0.3">
      <c r="A17">
        <v>2013</v>
      </c>
      <c r="B17">
        <v>142191816.79626864</v>
      </c>
      <c r="C17">
        <v>144417830.43723875</v>
      </c>
      <c r="F17" s="1" t="s">
        <v>27</v>
      </c>
      <c r="G17" s="1">
        <v>19</v>
      </c>
      <c r="H17" s="1">
        <v>1.419734929170617E+17</v>
      </c>
      <c r="I17" s="1"/>
      <c r="J17" s="1"/>
      <c r="K17" s="1"/>
    </row>
    <row r="18" spans="1:14" ht="15.75" thickBot="1" x14ac:dyDescent="0.3">
      <c r="A18">
        <v>2014</v>
      </c>
      <c r="B18">
        <v>138986007.87026119</v>
      </c>
      <c r="C18">
        <v>142191816.79626864</v>
      </c>
    </row>
    <row r="19" spans="1:14" x14ac:dyDescent="0.25">
      <c r="A19">
        <v>2015</v>
      </c>
      <c r="B19">
        <v>91307954.436380625</v>
      </c>
      <c r="C19">
        <v>138986007.87026119</v>
      </c>
      <c r="F19" s="2"/>
      <c r="G19" s="2" t="s">
        <v>34</v>
      </c>
      <c r="H19" s="2" t="s">
        <v>22</v>
      </c>
      <c r="I19" s="2" t="s">
        <v>35</v>
      </c>
      <c r="J19" s="2" t="s">
        <v>36</v>
      </c>
      <c r="K19" s="2" t="s">
        <v>37</v>
      </c>
      <c r="L19" s="2" t="s">
        <v>38</v>
      </c>
      <c r="M19" s="2" t="s">
        <v>39</v>
      </c>
      <c r="N19" s="2" t="s">
        <v>40</v>
      </c>
    </row>
    <row r="20" spans="1:14" x14ac:dyDescent="0.25">
      <c r="A20">
        <v>2016</v>
      </c>
      <c r="B20">
        <v>64954166.940870769</v>
      </c>
      <c r="C20">
        <v>91307954.436380625</v>
      </c>
      <c r="F20" t="s">
        <v>28</v>
      </c>
      <c r="G20">
        <v>-5808829.9117754996</v>
      </c>
      <c r="H20">
        <v>13053494.296597406</v>
      </c>
      <c r="I20">
        <v>-0.44500191134948902</v>
      </c>
      <c r="J20">
        <v>0.66162337456993425</v>
      </c>
      <c r="K20">
        <v>-33233203.781657673</v>
      </c>
      <c r="L20">
        <v>21615543.958106674</v>
      </c>
      <c r="M20">
        <v>-33233203.781657673</v>
      </c>
      <c r="N20">
        <v>21615543.958106674</v>
      </c>
    </row>
    <row r="21" spans="1:14" ht="15.75" thickBot="1" x14ac:dyDescent="0.3">
      <c r="A21">
        <v>2017</v>
      </c>
      <c r="B21">
        <v>66630415.072983138</v>
      </c>
      <c r="C21">
        <v>64954166.940870769</v>
      </c>
      <c r="F21" s="1" t="s">
        <v>41</v>
      </c>
      <c r="G21" s="1">
        <v>0.96532305924793416</v>
      </c>
      <c r="H21" s="1">
        <v>6.1968219410024963E-2</v>
      </c>
      <c r="I21" s="1">
        <v>15.577711743832488</v>
      </c>
      <c r="J21" s="1">
        <v>6.8378837621762251E-12</v>
      </c>
      <c r="K21" s="1">
        <v>0.83513266129492025</v>
      </c>
      <c r="L21" s="1">
        <v>1.0955134572009482</v>
      </c>
      <c r="M21" s="1">
        <v>0.83513266129492025</v>
      </c>
      <c r="N21" s="1">
        <v>1.0955134572009482</v>
      </c>
    </row>
    <row r="22" spans="1:14" x14ac:dyDescent="0.25">
      <c r="A22">
        <v>2018</v>
      </c>
      <c r="B22">
        <v>66455709.460084438</v>
      </c>
      <c r="C22">
        <v>66630415.072983138</v>
      </c>
    </row>
    <row r="23" spans="1:14" x14ac:dyDescent="0.25">
      <c r="A23">
        <v>2019</v>
      </c>
      <c r="B23">
        <v>65876338.938094288</v>
      </c>
      <c r="C23">
        <v>66455709.460084438</v>
      </c>
    </row>
    <row r="24" spans="1:14" x14ac:dyDescent="0.25">
      <c r="A24">
        <v>2020</v>
      </c>
      <c r="B24">
        <v>61511976.258134328</v>
      </c>
      <c r="C24">
        <v>65876338.938094288</v>
      </c>
    </row>
    <row r="25" spans="1:14" x14ac:dyDescent="0.25">
      <c r="C25">
        <v>61511976.258134328</v>
      </c>
      <c r="F25" t="s">
        <v>42</v>
      </c>
      <c r="K25" t="s">
        <v>47</v>
      </c>
    </row>
    <row r="26" spans="1:14" ht="15.75" thickBot="1" x14ac:dyDescent="0.3"/>
    <row r="27" spans="1:14" x14ac:dyDescent="0.25">
      <c r="F27" s="2" t="s">
        <v>43</v>
      </c>
      <c r="G27" s="2" t="s">
        <v>44</v>
      </c>
      <c r="H27" s="2" t="s">
        <v>45</v>
      </c>
      <c r="I27" s="2" t="s">
        <v>46</v>
      </c>
      <c r="K27" s="2" t="s">
        <v>48</v>
      </c>
      <c r="L27" s="2" t="s">
        <v>49</v>
      </c>
    </row>
    <row r="28" spans="1:14" x14ac:dyDescent="0.25">
      <c r="F28">
        <v>1</v>
      </c>
      <c r="G28">
        <v>294984690.5362227</v>
      </c>
      <c r="H28">
        <v>19928522.054348111</v>
      </c>
      <c r="I28">
        <v>0.87731075335032882</v>
      </c>
      <c r="K28">
        <v>2.5</v>
      </c>
      <c r="L28">
        <v>61511976.258134328</v>
      </c>
    </row>
    <row r="29" spans="1:14" x14ac:dyDescent="0.25">
      <c r="F29">
        <v>2</v>
      </c>
      <c r="G29">
        <v>298184155.86374938</v>
      </c>
      <c r="H29">
        <v>-23085934.398622632</v>
      </c>
      <c r="I29">
        <v>-1.0163091093166574</v>
      </c>
      <c r="K29">
        <v>7.5</v>
      </c>
      <c r="L29">
        <v>64954166.940870769</v>
      </c>
    </row>
    <row r="30" spans="1:14" x14ac:dyDescent="0.25">
      <c r="F30">
        <v>3</v>
      </c>
      <c r="G30">
        <v>259749826.82660636</v>
      </c>
      <c r="H30">
        <v>3121632.9512216449</v>
      </c>
      <c r="I30">
        <v>0.13742324436557701</v>
      </c>
      <c r="K30">
        <v>12.5</v>
      </c>
      <c r="L30">
        <v>65876338.938094288</v>
      </c>
    </row>
    <row r="31" spans="1:14" x14ac:dyDescent="0.25">
      <c r="F31">
        <v>4</v>
      </c>
      <c r="G31">
        <v>247947051.82992771</v>
      </c>
      <c r="H31">
        <v>13181584.374566942</v>
      </c>
      <c r="I31">
        <v>0.58029118699643234</v>
      </c>
      <c r="K31">
        <v>17.5</v>
      </c>
      <c r="L31">
        <v>66455709.460084438</v>
      </c>
    </row>
    <row r="32" spans="1:14" x14ac:dyDescent="0.25">
      <c r="F32">
        <v>5</v>
      </c>
      <c r="G32">
        <v>246264664.04638815</v>
      </c>
      <c r="H32">
        <v>10773340.885484934</v>
      </c>
      <c r="I32">
        <v>0.47427339481416747</v>
      </c>
      <c r="K32">
        <v>22.5</v>
      </c>
      <c r="L32">
        <v>66630415.072983138</v>
      </c>
    </row>
    <row r="33" spans="6:12" x14ac:dyDescent="0.25">
      <c r="F33">
        <v>6</v>
      </c>
      <c r="G33">
        <v>242315883.3520458</v>
      </c>
      <c r="H33">
        <v>1021065.9256054461</v>
      </c>
      <c r="I33">
        <v>4.4950253409174211E-2</v>
      </c>
      <c r="K33">
        <v>27.5</v>
      </c>
      <c r="L33">
        <v>91307954.436380625</v>
      </c>
    </row>
    <row r="34" spans="6:12" x14ac:dyDescent="0.25">
      <c r="F34">
        <v>7</v>
      </c>
      <c r="G34">
        <v>229089938.39298618</v>
      </c>
      <c r="H34">
        <v>-1289146.9330333173</v>
      </c>
      <c r="I34">
        <v>-5.6751948986199993E-2</v>
      </c>
      <c r="K34">
        <v>32.5</v>
      </c>
      <c r="L34">
        <v>138986007.87026119</v>
      </c>
    </row>
    <row r="35" spans="6:12" x14ac:dyDescent="0.25">
      <c r="F35">
        <v>8</v>
      </c>
      <c r="G35">
        <v>214092526.99944687</v>
      </c>
      <c r="H35">
        <v>11852866.958337903</v>
      </c>
      <c r="I35">
        <v>0.52179723173760462</v>
      </c>
      <c r="K35">
        <v>37.5</v>
      </c>
      <c r="L35">
        <v>142191816.79626864</v>
      </c>
    </row>
    <row r="36" spans="6:12" x14ac:dyDescent="0.25">
      <c r="F36">
        <v>9</v>
      </c>
      <c r="G36">
        <v>212301469.006533</v>
      </c>
      <c r="H36">
        <v>20512064.262235552</v>
      </c>
      <c r="I36">
        <v>0.90299995662477561</v>
      </c>
      <c r="K36">
        <v>42.5</v>
      </c>
      <c r="L36">
        <v>144417830.43723875</v>
      </c>
    </row>
    <row r="37" spans="6:12" x14ac:dyDescent="0.25">
      <c r="F37">
        <v>10</v>
      </c>
      <c r="G37">
        <v>218931442.25755286</v>
      </c>
      <c r="H37">
        <v>16396683.401679307</v>
      </c>
      <c r="I37">
        <v>0.7218290763531815</v>
      </c>
      <c r="K37">
        <v>47.5</v>
      </c>
      <c r="L37">
        <v>225945393.95778477</v>
      </c>
    </row>
    <row r="38" spans="6:12" x14ac:dyDescent="0.25">
      <c r="F38">
        <v>11</v>
      </c>
      <c r="G38">
        <v>221358836.27667677</v>
      </c>
      <c r="H38">
        <v>11598684.101536036</v>
      </c>
      <c r="I38">
        <v>0.51060737265114364</v>
      </c>
      <c r="K38">
        <v>52.5</v>
      </c>
      <c r="L38">
        <v>227800791.45995286</v>
      </c>
    </row>
    <row r="39" spans="6:12" x14ac:dyDescent="0.25">
      <c r="F39">
        <v>12</v>
      </c>
      <c r="G39">
        <v>219070436.33453384</v>
      </c>
      <c r="H39">
        <v>-74652605.897295088</v>
      </c>
      <c r="I39">
        <v>-3.286422030731146</v>
      </c>
      <c r="K39">
        <v>57.5</v>
      </c>
      <c r="L39">
        <v>232813533.26876855</v>
      </c>
    </row>
    <row r="40" spans="6:12" x14ac:dyDescent="0.25">
      <c r="F40">
        <v>13</v>
      </c>
      <c r="G40">
        <v>133601031.97584924</v>
      </c>
      <c r="H40">
        <v>8590784.8204194009</v>
      </c>
      <c r="I40">
        <v>0.37819101096000729</v>
      </c>
      <c r="K40">
        <v>62.5</v>
      </c>
      <c r="L40">
        <v>232957520.37821281</v>
      </c>
    </row>
    <row r="41" spans="6:12" x14ac:dyDescent="0.25">
      <c r="F41">
        <v>14</v>
      </c>
      <c r="G41">
        <v>131452209.67802033</v>
      </c>
      <c r="H41">
        <v>7533798.192240864</v>
      </c>
      <c r="I41">
        <v>0.33165942509931817</v>
      </c>
      <c r="K41">
        <v>67.5</v>
      </c>
      <c r="L41">
        <v>235328125.65923217</v>
      </c>
    </row>
    <row r="42" spans="6:12" x14ac:dyDescent="0.25">
      <c r="F42">
        <v>15</v>
      </c>
      <c r="G42">
        <v>128357568.39820249</v>
      </c>
      <c r="H42">
        <v>-37049613.961821869</v>
      </c>
      <c r="I42">
        <v>-1.6310303718229271</v>
      </c>
      <c r="K42">
        <v>72.5</v>
      </c>
      <c r="L42">
        <v>243336949.27765125</v>
      </c>
    </row>
    <row r="43" spans="6:12" x14ac:dyDescent="0.25">
      <c r="F43">
        <v>16</v>
      </c>
      <c r="G43">
        <v>82332843.998422429</v>
      </c>
      <c r="H43">
        <v>-17378677.05755166</v>
      </c>
      <c r="I43">
        <v>-0.76505925627666704</v>
      </c>
      <c r="K43">
        <v>77.5</v>
      </c>
      <c r="L43">
        <v>257038004.93187308</v>
      </c>
    </row>
    <row r="44" spans="6:12" x14ac:dyDescent="0.25">
      <c r="F44">
        <v>17</v>
      </c>
      <c r="G44">
        <v>56892925.2304869</v>
      </c>
      <c r="H44">
        <v>9737489.8424962386</v>
      </c>
      <c r="I44">
        <v>0.42867225809139392</v>
      </c>
      <c r="K44">
        <v>82.5</v>
      </c>
      <c r="L44">
        <v>261128636.20449466</v>
      </c>
    </row>
    <row r="45" spans="6:12" x14ac:dyDescent="0.25">
      <c r="F45">
        <v>18</v>
      </c>
      <c r="G45">
        <v>58511046.205436245</v>
      </c>
      <c r="H45">
        <v>7944663.2546481937</v>
      </c>
      <c r="I45">
        <v>0.34974688469330539</v>
      </c>
      <c r="K45">
        <v>87.5</v>
      </c>
      <c r="L45">
        <v>262871459.77782801</v>
      </c>
    </row>
    <row r="46" spans="6:12" x14ac:dyDescent="0.25">
      <c r="F46">
        <v>19</v>
      </c>
      <c r="G46">
        <v>58342398.848725088</v>
      </c>
      <c r="H46">
        <v>7533940.0893692002</v>
      </c>
      <c r="I46">
        <v>0.33166567181827805</v>
      </c>
      <c r="K46">
        <v>92.5</v>
      </c>
      <c r="L46">
        <v>275098221.46512675</v>
      </c>
    </row>
    <row r="47" spans="6:12" ht="15.75" thickBot="1" x14ac:dyDescent="0.3">
      <c r="F47" s="1">
        <v>20</v>
      </c>
      <c r="G47" s="1">
        <v>57783119.123999484</v>
      </c>
      <c r="H47" s="1">
        <v>3728857.1341348439</v>
      </c>
      <c r="I47" s="1">
        <v>0.16415499616891177</v>
      </c>
      <c r="K47" s="1">
        <v>97.5</v>
      </c>
      <c r="L47" s="1">
        <v>314913212.59057081</v>
      </c>
    </row>
  </sheetData>
  <sortState xmlns:xlrd2="http://schemas.microsoft.com/office/spreadsheetml/2017/richdata2" ref="L28:L47">
    <sortCondition ref="L28"/>
  </sortState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74BBA-D9FB-4BF2-B4FE-2D422F3E2E9B}">
  <dimension ref="A3:N47"/>
  <sheetViews>
    <sheetView workbookViewId="0">
      <selection activeCell="F6" sqref="F6:G11"/>
    </sheetView>
  </sheetViews>
  <sheetFormatPr defaultRowHeight="15" x14ac:dyDescent="0.25"/>
  <cols>
    <col min="1" max="1" width="5" bestFit="1" customWidth="1"/>
    <col min="6" max="6" width="17.5703125" bestFit="1" customWidth="1"/>
    <col min="7" max="7" width="9.28515625" customWidth="1"/>
  </cols>
  <sheetData>
    <row r="3" spans="1:11" x14ac:dyDescent="0.25">
      <c r="B3" t="s">
        <v>7</v>
      </c>
    </row>
    <row r="4" spans="1:11" x14ac:dyDescent="0.25">
      <c r="A4">
        <v>2000</v>
      </c>
      <c r="B4">
        <v>4569986.5263157897</v>
      </c>
      <c r="F4" t="s">
        <v>17</v>
      </c>
    </row>
    <row r="5" spans="1:11" ht="15.75" thickBot="1" x14ac:dyDescent="0.3">
      <c r="A5">
        <v>2001</v>
      </c>
      <c r="B5">
        <v>2613786.0340789473</v>
      </c>
      <c r="C5">
        <v>4569986.5263157897</v>
      </c>
    </row>
    <row r="6" spans="1:11" x14ac:dyDescent="0.25">
      <c r="A6">
        <v>2002</v>
      </c>
      <c r="B6">
        <v>2314794.7413157895</v>
      </c>
      <c r="C6">
        <v>2613786.0340789473</v>
      </c>
      <c r="F6" s="3" t="s">
        <v>18</v>
      </c>
      <c r="G6" s="3"/>
    </row>
    <row r="7" spans="1:11" x14ac:dyDescent="0.25">
      <c r="A7">
        <v>2003</v>
      </c>
      <c r="B7">
        <v>4993056.5542105269</v>
      </c>
      <c r="C7">
        <v>2314794.7413157895</v>
      </c>
      <c r="F7" t="s">
        <v>19</v>
      </c>
      <c r="G7">
        <v>0.66307151826337118</v>
      </c>
    </row>
    <row r="8" spans="1:11" x14ac:dyDescent="0.25">
      <c r="A8">
        <v>2004</v>
      </c>
      <c r="B8">
        <v>6731549.5777631579</v>
      </c>
      <c r="C8">
        <v>4993056.5542105269</v>
      </c>
      <c r="F8" t="s">
        <v>20</v>
      </c>
      <c r="G8">
        <v>0.43966383833209216</v>
      </c>
    </row>
    <row r="9" spans="1:11" x14ac:dyDescent="0.25">
      <c r="A9">
        <v>2005</v>
      </c>
      <c r="B9">
        <v>5829500.5882894741</v>
      </c>
      <c r="C9">
        <v>6731549.5777631579</v>
      </c>
      <c r="F9" t="s">
        <v>21</v>
      </c>
      <c r="G9">
        <v>0.40853405157276396</v>
      </c>
    </row>
    <row r="10" spans="1:11" x14ac:dyDescent="0.25">
      <c r="A10">
        <v>2006</v>
      </c>
      <c r="B10">
        <v>2388879.1685526315</v>
      </c>
      <c r="C10">
        <v>5829500.5882894741</v>
      </c>
      <c r="F10" t="s">
        <v>22</v>
      </c>
      <c r="G10">
        <v>1653380.0927341322</v>
      </c>
    </row>
    <row r="11" spans="1:11" ht="15.75" thickBot="1" x14ac:dyDescent="0.3">
      <c r="A11">
        <v>2007</v>
      </c>
      <c r="B11">
        <v>2682333.9976315787</v>
      </c>
      <c r="C11">
        <v>2388879.1685526315</v>
      </c>
      <c r="F11" s="1" t="s">
        <v>23</v>
      </c>
      <c r="G11" s="1">
        <v>20</v>
      </c>
    </row>
    <row r="12" spans="1:11" x14ac:dyDescent="0.25">
      <c r="A12">
        <v>2008</v>
      </c>
      <c r="B12">
        <v>5503855.038947368</v>
      </c>
      <c r="C12">
        <v>2682333.9976315787</v>
      </c>
    </row>
    <row r="13" spans="1:11" ht="15.75" thickBot="1" x14ac:dyDescent="0.3">
      <c r="A13">
        <v>2009</v>
      </c>
      <c r="B13">
        <v>6149962.5543421051</v>
      </c>
      <c r="C13">
        <v>5503855.038947368</v>
      </c>
      <c r="F13" t="s">
        <v>24</v>
      </c>
    </row>
    <row r="14" spans="1:11" x14ac:dyDescent="0.25">
      <c r="A14">
        <v>2010</v>
      </c>
      <c r="B14">
        <v>2755123.0750000002</v>
      </c>
      <c r="C14">
        <v>6149962.5543421051</v>
      </c>
      <c r="F14" s="2"/>
      <c r="G14" s="2" t="s">
        <v>29</v>
      </c>
      <c r="H14" s="2" t="s">
        <v>30</v>
      </c>
      <c r="I14" s="2" t="s">
        <v>31</v>
      </c>
      <c r="J14" s="2" t="s">
        <v>32</v>
      </c>
      <c r="K14" s="2" t="s">
        <v>33</v>
      </c>
    </row>
    <row r="15" spans="1:11" x14ac:dyDescent="0.25">
      <c r="A15">
        <v>2011</v>
      </c>
      <c r="B15">
        <v>3016433.5149999997</v>
      </c>
      <c r="C15">
        <v>2755123.0750000002</v>
      </c>
      <c r="F15" t="s">
        <v>25</v>
      </c>
      <c r="G15">
        <v>1</v>
      </c>
      <c r="H15">
        <v>38609129491386.117</v>
      </c>
      <c r="I15">
        <v>38609129491386.117</v>
      </c>
      <c r="J15">
        <v>14.123573724781281</v>
      </c>
      <c r="K15">
        <v>1.4396149880312747E-3</v>
      </c>
    </row>
    <row r="16" spans="1:11" x14ac:dyDescent="0.25">
      <c r="A16">
        <v>2012</v>
      </c>
      <c r="B16">
        <v>2770511.5999999996</v>
      </c>
      <c r="C16">
        <v>3016433.5149999997</v>
      </c>
      <c r="F16" t="s">
        <v>26</v>
      </c>
      <c r="G16">
        <v>18</v>
      </c>
      <c r="H16">
        <v>49205983158891.492</v>
      </c>
      <c r="I16">
        <v>2733665731049.5273</v>
      </c>
    </row>
    <row r="17" spans="1:14" ht="15.75" thickBot="1" x14ac:dyDescent="0.3">
      <c r="A17">
        <v>2013</v>
      </c>
      <c r="B17">
        <v>2616817.8899999997</v>
      </c>
      <c r="C17">
        <v>2770511.5999999996</v>
      </c>
      <c r="F17" s="1" t="s">
        <v>27</v>
      </c>
      <c r="G17" s="1">
        <v>19</v>
      </c>
      <c r="H17" s="1">
        <v>87815112650277.609</v>
      </c>
      <c r="I17" s="1"/>
      <c r="J17" s="1"/>
      <c r="K17" s="1"/>
    </row>
    <row r="18" spans="1:14" ht="15.75" thickBot="1" x14ac:dyDescent="0.3">
      <c r="A18">
        <v>2014</v>
      </c>
      <c r="B18">
        <v>0</v>
      </c>
      <c r="C18">
        <v>2616817.8899999997</v>
      </c>
    </row>
    <row r="19" spans="1:14" x14ac:dyDescent="0.25">
      <c r="A19">
        <v>2015</v>
      </c>
      <c r="B19">
        <v>0</v>
      </c>
      <c r="C19">
        <v>0</v>
      </c>
      <c r="F19" s="2"/>
      <c r="G19" s="2" t="s">
        <v>34</v>
      </c>
      <c r="H19" s="2" t="s">
        <v>22</v>
      </c>
      <c r="I19" s="2" t="s">
        <v>35</v>
      </c>
      <c r="J19" s="2" t="s">
        <v>36</v>
      </c>
      <c r="K19" s="2" t="s">
        <v>37</v>
      </c>
      <c r="L19" s="2" t="s">
        <v>38</v>
      </c>
      <c r="M19" s="2" t="s">
        <v>39</v>
      </c>
      <c r="N19" s="2" t="s">
        <v>40</v>
      </c>
    </row>
    <row r="20" spans="1:14" x14ac:dyDescent="0.25">
      <c r="A20">
        <v>2016</v>
      </c>
      <c r="B20">
        <v>0</v>
      </c>
      <c r="C20">
        <v>0</v>
      </c>
      <c r="F20" t="s">
        <v>28</v>
      </c>
      <c r="G20">
        <v>899096.19897570834</v>
      </c>
      <c r="H20">
        <v>621048.56342456618</v>
      </c>
      <c r="I20">
        <v>1.4477067526216321</v>
      </c>
      <c r="J20">
        <v>0.16489291515129156</v>
      </c>
      <c r="K20">
        <v>-405678.41598299681</v>
      </c>
      <c r="L20">
        <v>2203870.8139344137</v>
      </c>
      <c r="M20">
        <v>-405678.41598299681</v>
      </c>
      <c r="N20">
        <v>2203870.8139344137</v>
      </c>
    </row>
    <row r="21" spans="1:14" ht="15.75" thickBot="1" x14ac:dyDescent="0.3">
      <c r="A21">
        <v>2017</v>
      </c>
      <c r="B21">
        <v>0</v>
      </c>
      <c r="C21">
        <v>0</v>
      </c>
      <c r="F21" s="1" t="s">
        <v>41</v>
      </c>
      <c r="G21" s="1">
        <v>0.65214749926274473</v>
      </c>
      <c r="H21" s="1">
        <v>0.17352958678277203</v>
      </c>
      <c r="I21" s="1">
        <v>3.7581343409704342</v>
      </c>
      <c r="J21" s="1">
        <v>1.4396149880312715E-3</v>
      </c>
      <c r="K21" s="1">
        <v>0.28757536575689913</v>
      </c>
      <c r="L21" s="1">
        <v>1.0167196327685903</v>
      </c>
      <c r="M21" s="1">
        <v>0.28757536575689913</v>
      </c>
      <c r="N21" s="1">
        <v>1.0167196327685903</v>
      </c>
    </row>
    <row r="22" spans="1:14" x14ac:dyDescent="0.25">
      <c r="A22">
        <v>2018</v>
      </c>
      <c r="B22">
        <v>0</v>
      </c>
      <c r="C22">
        <v>0</v>
      </c>
    </row>
    <row r="23" spans="1:14" x14ac:dyDescent="0.25">
      <c r="A23">
        <v>2019</v>
      </c>
      <c r="B23">
        <v>2577182.4</v>
      </c>
      <c r="C23">
        <v>0</v>
      </c>
    </row>
    <row r="24" spans="1:14" x14ac:dyDescent="0.25">
      <c r="A24">
        <v>2020</v>
      </c>
      <c r="B24">
        <v>2545600.65</v>
      </c>
      <c r="C24">
        <v>2577182.4</v>
      </c>
    </row>
    <row r="25" spans="1:14" x14ac:dyDescent="0.25">
      <c r="C25">
        <v>2545600.65</v>
      </c>
      <c r="F25" t="s">
        <v>42</v>
      </c>
      <c r="K25" t="s">
        <v>47</v>
      </c>
    </row>
    <row r="26" spans="1:14" ht="15.75" thickBot="1" x14ac:dyDescent="0.3"/>
    <row r="27" spans="1:14" x14ac:dyDescent="0.25">
      <c r="F27" s="2" t="s">
        <v>43</v>
      </c>
      <c r="G27" s="2" t="s">
        <v>44</v>
      </c>
      <c r="H27" s="2" t="s">
        <v>45</v>
      </c>
      <c r="I27" s="2" t="s">
        <v>46</v>
      </c>
      <c r="K27" s="2" t="s">
        <v>48</v>
      </c>
      <c r="L27" s="2" t="s">
        <v>49</v>
      </c>
    </row>
    <row r="28" spans="1:14" x14ac:dyDescent="0.25">
      <c r="F28">
        <v>1</v>
      </c>
      <c r="G28">
        <v>3879401.483776988</v>
      </c>
      <c r="H28">
        <v>-1265615.4496980407</v>
      </c>
      <c r="I28">
        <v>-0.78644727395894543</v>
      </c>
      <c r="K28">
        <v>2.5</v>
      </c>
      <c r="L28">
        <v>0</v>
      </c>
    </row>
    <row r="29" spans="1:14" x14ac:dyDescent="0.25">
      <c r="F29">
        <v>2</v>
      </c>
      <c r="G29">
        <v>2603670.2247081809</v>
      </c>
      <c r="H29">
        <v>-288875.48339239135</v>
      </c>
      <c r="I29">
        <v>-0.17950581788624834</v>
      </c>
      <c r="K29">
        <v>7.5</v>
      </c>
      <c r="L29">
        <v>0</v>
      </c>
    </row>
    <row r="30" spans="1:14" x14ac:dyDescent="0.25">
      <c r="F30">
        <v>3</v>
      </c>
      <c r="G30">
        <v>2408683.8008313524</v>
      </c>
      <c r="H30">
        <v>2584372.7533791745</v>
      </c>
      <c r="I30">
        <v>1.6059166370588691</v>
      </c>
      <c r="K30">
        <v>12.5</v>
      </c>
      <c r="L30">
        <v>0</v>
      </c>
    </row>
    <row r="31" spans="1:14" x14ac:dyDescent="0.25">
      <c r="F31">
        <v>4</v>
      </c>
      <c r="G31">
        <v>4155305.5444815606</v>
      </c>
      <c r="H31">
        <v>2576244.0332815973</v>
      </c>
      <c r="I31">
        <v>1.6008654899959598</v>
      </c>
      <c r="K31">
        <v>17.5</v>
      </c>
      <c r="L31">
        <v>0</v>
      </c>
    </row>
    <row r="32" spans="1:14" x14ac:dyDescent="0.25">
      <c r="F32">
        <v>5</v>
      </c>
      <c r="G32">
        <v>5289059.4222771367</v>
      </c>
      <c r="H32">
        <v>540441.16601233743</v>
      </c>
      <c r="I32">
        <v>0.33582750735778621</v>
      </c>
      <c r="K32">
        <v>22.5</v>
      </c>
      <c r="L32">
        <v>0</v>
      </c>
    </row>
    <row r="33" spans="6:12" x14ac:dyDescent="0.25">
      <c r="F33">
        <v>6</v>
      </c>
      <c r="G33">
        <v>4700790.4295793884</v>
      </c>
      <c r="H33">
        <v>-2311911.2610267568</v>
      </c>
      <c r="I33">
        <v>-1.4366103932306442</v>
      </c>
      <c r="K33">
        <v>27.5</v>
      </c>
      <c r="L33">
        <v>2314794.7413157895</v>
      </c>
    </row>
    <row r="34" spans="6:12" x14ac:dyDescent="0.25">
      <c r="F34">
        <v>7</v>
      </c>
      <c r="G34">
        <v>2456997.774788172</v>
      </c>
      <c r="H34">
        <v>225336.22284340672</v>
      </c>
      <c r="I34">
        <v>0.14002283096471671</v>
      </c>
      <c r="K34">
        <v>32.5</v>
      </c>
      <c r="L34">
        <v>2388879.1685526315</v>
      </c>
    </row>
    <row r="35" spans="6:12" x14ac:dyDescent="0.25">
      <c r="F35">
        <v>8</v>
      </c>
      <c r="G35">
        <v>2648373.6077185832</v>
      </c>
      <c r="H35">
        <v>2855481.4312287848</v>
      </c>
      <c r="I35">
        <v>1.7743822485463947</v>
      </c>
      <c r="K35">
        <v>37.5</v>
      </c>
      <c r="L35">
        <v>2545600.65</v>
      </c>
    </row>
    <row r="36" spans="6:12" x14ac:dyDescent="0.25">
      <c r="F36">
        <v>9</v>
      </c>
      <c r="G36">
        <v>4488421.4989298908</v>
      </c>
      <c r="H36">
        <v>1661541.0554122142</v>
      </c>
      <c r="I36">
        <v>1.0324735162735015</v>
      </c>
      <c r="K36">
        <v>42.5</v>
      </c>
      <c r="L36">
        <v>2577182.4</v>
      </c>
    </row>
    <row r="37" spans="6:12" x14ac:dyDescent="0.25">
      <c r="F37">
        <v>10</v>
      </c>
      <c r="G37">
        <v>4909778.8993494343</v>
      </c>
      <c r="H37">
        <v>-2154655.8243494341</v>
      </c>
      <c r="I37">
        <v>-1.3388926310781588</v>
      </c>
      <c r="K37">
        <v>47.5</v>
      </c>
      <c r="L37">
        <v>2613786.0340789473</v>
      </c>
    </row>
    <row r="38" spans="6:12" x14ac:dyDescent="0.25">
      <c r="F38">
        <v>11</v>
      </c>
      <c r="G38">
        <v>2695842.8224980421</v>
      </c>
      <c r="H38">
        <v>320590.69250195753</v>
      </c>
      <c r="I38">
        <v>0.1992134943002864</v>
      </c>
      <c r="K38">
        <v>52.5</v>
      </c>
      <c r="L38">
        <v>2616817.8899999997</v>
      </c>
    </row>
    <row r="39" spans="6:12" x14ac:dyDescent="0.25">
      <c r="F39">
        <v>12</v>
      </c>
      <c r="G39">
        <v>2866255.7724752892</v>
      </c>
      <c r="H39">
        <v>-95744.172475289553</v>
      </c>
      <c r="I39">
        <v>-5.9494962279902343E-2</v>
      </c>
      <c r="K39">
        <v>57.5</v>
      </c>
      <c r="L39">
        <v>2682333.9976315787</v>
      </c>
    </row>
    <row r="40" spans="6:12" x14ac:dyDescent="0.25">
      <c r="F40">
        <v>13</v>
      </c>
      <c r="G40">
        <v>2705878.4105941337</v>
      </c>
      <c r="H40">
        <v>-89060.520594133995</v>
      </c>
      <c r="I40">
        <v>-5.5341773565842745E-2</v>
      </c>
      <c r="K40">
        <v>62.5</v>
      </c>
      <c r="L40">
        <v>2755123.0750000002</v>
      </c>
    </row>
    <row r="41" spans="6:12" x14ac:dyDescent="0.25">
      <c r="F41">
        <v>14</v>
      </c>
      <c r="G41">
        <v>2605647.4419652205</v>
      </c>
      <c r="H41">
        <v>-2605647.4419652205</v>
      </c>
      <c r="I41">
        <v>-1.6191366248891483</v>
      </c>
      <c r="K41">
        <v>67.5</v>
      </c>
      <c r="L41">
        <v>2770511.5999999996</v>
      </c>
    </row>
    <row r="42" spans="6:12" x14ac:dyDescent="0.25">
      <c r="F42">
        <v>15</v>
      </c>
      <c r="G42">
        <v>899096.19897570834</v>
      </c>
      <c r="H42">
        <v>-899096.19897570834</v>
      </c>
      <c r="I42">
        <v>-0.55869399735914904</v>
      </c>
      <c r="K42">
        <v>72.5</v>
      </c>
      <c r="L42">
        <v>3016433.5149999997</v>
      </c>
    </row>
    <row r="43" spans="6:12" x14ac:dyDescent="0.25">
      <c r="F43">
        <v>16</v>
      </c>
      <c r="G43">
        <v>899096.19897570834</v>
      </c>
      <c r="H43">
        <v>-899096.19897570834</v>
      </c>
      <c r="I43">
        <v>-0.55869399735914904</v>
      </c>
      <c r="K43">
        <v>77.5</v>
      </c>
      <c r="L43">
        <v>4993056.5542105269</v>
      </c>
    </row>
    <row r="44" spans="6:12" x14ac:dyDescent="0.25">
      <c r="F44">
        <v>17</v>
      </c>
      <c r="G44">
        <v>899096.19897570834</v>
      </c>
      <c r="H44">
        <v>-899096.19897570834</v>
      </c>
      <c r="I44">
        <v>-0.55869399735914904</v>
      </c>
      <c r="K44">
        <v>82.5</v>
      </c>
      <c r="L44">
        <v>5503855.038947368</v>
      </c>
    </row>
    <row r="45" spans="6:12" x14ac:dyDescent="0.25">
      <c r="F45">
        <v>18</v>
      </c>
      <c r="G45">
        <v>899096.19897570834</v>
      </c>
      <c r="H45">
        <v>-899096.19897570834</v>
      </c>
      <c r="I45">
        <v>-0.55869399735914904</v>
      </c>
      <c r="K45">
        <v>87.5</v>
      </c>
      <c r="L45">
        <v>5829500.5882894741</v>
      </c>
    </row>
    <row r="46" spans="6:12" x14ac:dyDescent="0.25">
      <c r="F46">
        <v>19</v>
      </c>
      <c r="G46">
        <v>899096.19897570834</v>
      </c>
      <c r="H46">
        <v>1678086.2010242916</v>
      </c>
      <c r="I46">
        <v>1.0427545891436032</v>
      </c>
      <c r="K46">
        <v>92.5</v>
      </c>
      <c r="L46">
        <v>6149962.5543421051</v>
      </c>
    </row>
    <row r="47" spans="6:12" ht="15.75" thickBot="1" x14ac:dyDescent="0.3">
      <c r="F47" s="1">
        <v>20</v>
      </c>
      <c r="G47" s="1">
        <v>2579799.2562796669</v>
      </c>
      <c r="H47" s="1">
        <v>-34198.606279667001</v>
      </c>
      <c r="I47" s="1">
        <v>-2.1250847315633099E-2</v>
      </c>
      <c r="K47" s="1">
        <v>97.5</v>
      </c>
      <c r="L47" s="1">
        <v>6731549.5777631579</v>
      </c>
    </row>
  </sheetData>
  <sortState xmlns:xlrd2="http://schemas.microsoft.com/office/spreadsheetml/2017/richdata2" ref="L28:L47">
    <sortCondition ref="L28"/>
  </sortState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8DA15-8166-4372-A588-10710F55F50E}">
  <dimension ref="A3:AA58"/>
  <sheetViews>
    <sheetView workbookViewId="0">
      <selection activeCell="F6" sqref="F6:G11"/>
    </sheetView>
  </sheetViews>
  <sheetFormatPr defaultRowHeight="15" x14ac:dyDescent="0.25"/>
  <cols>
    <col min="1" max="1" width="5" bestFit="1" customWidth="1"/>
    <col min="6" max="6" width="17.5703125" bestFit="1" customWidth="1"/>
    <col min="7" max="7" width="12.42578125" bestFit="1" customWidth="1"/>
  </cols>
  <sheetData>
    <row r="3" spans="1:11" x14ac:dyDescent="0.25">
      <c r="B3" t="s">
        <v>8</v>
      </c>
    </row>
    <row r="4" spans="1:11" x14ac:dyDescent="0.25">
      <c r="A4">
        <v>2000</v>
      </c>
      <c r="B4">
        <v>5598384.2381578945</v>
      </c>
      <c r="F4" t="s">
        <v>17</v>
      </c>
    </row>
    <row r="5" spans="1:11" ht="15.75" thickBot="1" x14ac:dyDescent="0.3">
      <c r="A5">
        <v>2001</v>
      </c>
      <c r="B5">
        <v>11321282.009342104</v>
      </c>
      <c r="C5">
        <v>5598384.2381578945</v>
      </c>
    </row>
    <row r="6" spans="1:11" x14ac:dyDescent="0.25">
      <c r="A6">
        <v>2002</v>
      </c>
      <c r="B6">
        <v>21742186.647105262</v>
      </c>
      <c r="C6">
        <v>11321282.009342104</v>
      </c>
      <c r="F6" s="3" t="s">
        <v>18</v>
      </c>
      <c r="G6" s="3"/>
    </row>
    <row r="7" spans="1:11" x14ac:dyDescent="0.25">
      <c r="A7">
        <v>2003</v>
      </c>
      <c r="B7">
        <v>23354085.385394737</v>
      </c>
      <c r="C7">
        <v>21742186.647105262</v>
      </c>
      <c r="F7" t="s">
        <v>19</v>
      </c>
      <c r="G7">
        <v>0.9852420543442536</v>
      </c>
    </row>
    <row r="8" spans="1:11" x14ac:dyDescent="0.25">
      <c r="A8">
        <v>2004</v>
      </c>
      <c r="B8">
        <v>34313913.773947358</v>
      </c>
      <c r="C8">
        <v>23354085.385394737</v>
      </c>
      <c r="F8" t="s">
        <v>20</v>
      </c>
      <c r="G8">
        <v>0.97070190564848524</v>
      </c>
    </row>
    <row r="9" spans="1:11" x14ac:dyDescent="0.25">
      <c r="A9">
        <v>2005</v>
      </c>
      <c r="B9">
        <v>44391889.895394735</v>
      </c>
      <c r="C9">
        <v>34313913.773947358</v>
      </c>
      <c r="F9" t="s">
        <v>21</v>
      </c>
      <c r="G9">
        <v>0.96907423374006774</v>
      </c>
    </row>
    <row r="10" spans="1:11" x14ac:dyDescent="0.25">
      <c r="A10">
        <v>2006</v>
      </c>
      <c r="B10">
        <v>49168454.713947371</v>
      </c>
      <c r="C10">
        <v>44391889.895394735</v>
      </c>
      <c r="F10" t="s">
        <v>22</v>
      </c>
      <c r="G10">
        <v>17128748.344284885</v>
      </c>
    </row>
    <row r="11" spans="1:11" ht="15.75" thickBot="1" x14ac:dyDescent="0.3">
      <c r="A11">
        <v>2007</v>
      </c>
      <c r="B11">
        <v>61360525.330131561</v>
      </c>
      <c r="C11">
        <v>49168454.713947371</v>
      </c>
      <c r="F11" s="1" t="s">
        <v>23</v>
      </c>
      <c r="G11" s="1">
        <v>20</v>
      </c>
    </row>
    <row r="12" spans="1:11" x14ac:dyDescent="0.25">
      <c r="A12">
        <v>2008</v>
      </c>
      <c r="B12">
        <v>68262550.020394742</v>
      </c>
      <c r="C12">
        <v>61360525.330131561</v>
      </c>
    </row>
    <row r="13" spans="1:11" ht="15.75" thickBot="1" x14ac:dyDescent="0.3">
      <c r="A13">
        <v>2009</v>
      </c>
      <c r="B13">
        <v>121877662.13407895</v>
      </c>
      <c r="C13">
        <v>68262550.020394742</v>
      </c>
      <c r="F13" t="s">
        <v>24</v>
      </c>
    </row>
    <row r="14" spans="1:11" x14ac:dyDescent="0.25">
      <c r="A14">
        <v>2010</v>
      </c>
      <c r="B14">
        <v>123733296.76793858</v>
      </c>
      <c r="C14">
        <v>121877662.13407895</v>
      </c>
      <c r="F14" s="2"/>
      <c r="G14" s="2" t="s">
        <v>29</v>
      </c>
      <c r="H14" s="2" t="s">
        <v>30</v>
      </c>
      <c r="I14" s="2" t="s">
        <v>31</v>
      </c>
      <c r="J14" s="2" t="s">
        <v>32</v>
      </c>
      <c r="K14" s="2" t="s">
        <v>33</v>
      </c>
    </row>
    <row r="15" spans="1:11" x14ac:dyDescent="0.25">
      <c r="A15">
        <v>2011</v>
      </c>
      <c r="B15">
        <v>129845141.81893274</v>
      </c>
      <c r="C15">
        <v>123733296.76793858</v>
      </c>
      <c r="F15" t="s">
        <v>25</v>
      </c>
      <c r="G15">
        <v>1</v>
      </c>
      <c r="H15">
        <v>1.7497269117536208E+17</v>
      </c>
      <c r="I15">
        <v>1.7497269117536208E+17</v>
      </c>
      <c r="J15">
        <v>596.37442940958169</v>
      </c>
      <c r="K15">
        <v>2.9897387370665231E-15</v>
      </c>
    </row>
    <row r="16" spans="1:11" x14ac:dyDescent="0.25">
      <c r="A16">
        <v>2012</v>
      </c>
      <c r="B16">
        <v>142806746.3986842</v>
      </c>
      <c r="C16">
        <v>129845141.81893274</v>
      </c>
      <c r="F16" t="s">
        <v>26</v>
      </c>
      <c r="G16">
        <v>18</v>
      </c>
      <c r="H16">
        <v>5281092357153158</v>
      </c>
      <c r="I16">
        <v>293394019841842.13</v>
      </c>
    </row>
    <row r="17" spans="1:27" ht="15.75" thickBot="1" x14ac:dyDescent="0.3">
      <c r="A17">
        <v>2013</v>
      </c>
      <c r="B17">
        <v>151228547.34372807</v>
      </c>
      <c r="C17">
        <v>142806746.3986842</v>
      </c>
      <c r="F17" s="1" t="s">
        <v>27</v>
      </c>
      <c r="G17" s="1">
        <v>19</v>
      </c>
      <c r="H17" s="1">
        <v>1.8025378353251523E+17</v>
      </c>
      <c r="I17" s="1"/>
      <c r="J17" s="1"/>
      <c r="K17" s="1"/>
    </row>
    <row r="18" spans="1:27" ht="15.75" thickBot="1" x14ac:dyDescent="0.3">
      <c r="A18">
        <v>2014</v>
      </c>
      <c r="B18">
        <v>175493078.55431286</v>
      </c>
      <c r="C18">
        <v>151228547.34372807</v>
      </c>
    </row>
    <row r="19" spans="1:27" x14ac:dyDescent="0.25">
      <c r="A19">
        <v>2015</v>
      </c>
      <c r="B19">
        <v>234133328.25460526</v>
      </c>
      <c r="C19">
        <v>175493078.55431286</v>
      </c>
      <c r="F19" s="2"/>
      <c r="G19" s="2" t="s">
        <v>34</v>
      </c>
      <c r="H19" s="2" t="s">
        <v>22</v>
      </c>
      <c r="I19" s="2" t="s">
        <v>35</v>
      </c>
      <c r="J19" s="2" t="s">
        <v>36</v>
      </c>
      <c r="K19" s="2" t="s">
        <v>37</v>
      </c>
      <c r="L19" s="2" t="s">
        <v>38</v>
      </c>
      <c r="M19" s="2" t="s">
        <v>39</v>
      </c>
      <c r="N19" s="2" t="s">
        <v>40</v>
      </c>
    </row>
    <row r="20" spans="1:27" x14ac:dyDescent="0.25">
      <c r="A20">
        <v>2016</v>
      </c>
      <c r="B20">
        <v>261276329.46746492</v>
      </c>
      <c r="C20">
        <v>234133328.25460526</v>
      </c>
      <c r="F20" t="s">
        <v>28</v>
      </c>
      <c r="G20">
        <v>13804199.251554295</v>
      </c>
      <c r="H20">
        <v>6343214.4653269704</v>
      </c>
      <c r="I20">
        <v>2.1762151235797349</v>
      </c>
      <c r="J20">
        <v>4.3099969741500599E-2</v>
      </c>
      <c r="K20">
        <v>477600.17537309229</v>
      </c>
      <c r="L20">
        <v>27130798.327735499</v>
      </c>
      <c r="M20">
        <v>477600.17537309229</v>
      </c>
      <c r="N20">
        <v>27130798.327735499</v>
      </c>
    </row>
    <row r="21" spans="1:27" ht="15.75" thickBot="1" x14ac:dyDescent="0.3">
      <c r="A21">
        <v>2017</v>
      </c>
      <c r="B21">
        <v>266757548.93412569</v>
      </c>
      <c r="C21">
        <v>261276329.46746492</v>
      </c>
      <c r="F21" s="1" t="s">
        <v>41</v>
      </c>
      <c r="G21" s="1">
        <v>0.99489749368721658</v>
      </c>
      <c r="H21" s="1">
        <v>4.0739794104524843E-2</v>
      </c>
      <c r="I21" s="1">
        <v>24.420778640526226</v>
      </c>
      <c r="J21" s="1">
        <v>2.9897387370665124E-15</v>
      </c>
      <c r="K21" s="1">
        <v>0.90930636233813844</v>
      </c>
      <c r="L21" s="1">
        <v>1.0804886250362946</v>
      </c>
      <c r="M21" s="1">
        <v>0.90930636233813844</v>
      </c>
      <c r="N21" s="1">
        <v>1.0804886250362946</v>
      </c>
    </row>
    <row r="22" spans="1:27" x14ac:dyDescent="0.25">
      <c r="A22">
        <v>2018</v>
      </c>
      <c r="B22">
        <v>275438932.44827187</v>
      </c>
      <c r="C22">
        <v>266757548.93412569</v>
      </c>
    </row>
    <row r="23" spans="1:27" x14ac:dyDescent="0.25">
      <c r="A23">
        <v>2019</v>
      </c>
      <c r="B23">
        <v>280161656.13334793</v>
      </c>
      <c r="C23">
        <v>275438932.44827187</v>
      </c>
    </row>
    <row r="24" spans="1:27" x14ac:dyDescent="0.25">
      <c r="A24">
        <v>2020</v>
      </c>
      <c r="B24">
        <v>269016593.68001461</v>
      </c>
      <c r="C24">
        <v>280161656.13334793</v>
      </c>
    </row>
    <row r="25" spans="1:27" x14ac:dyDescent="0.25">
      <c r="F25" t="s">
        <v>42</v>
      </c>
      <c r="K25" t="s">
        <v>47</v>
      </c>
    </row>
    <row r="26" spans="1:27" ht="15.75" thickBot="1" x14ac:dyDescent="0.3"/>
    <row r="27" spans="1:27" x14ac:dyDescent="0.25">
      <c r="F27" s="2" t="s">
        <v>43</v>
      </c>
      <c r="G27" s="2" t="s">
        <v>44</v>
      </c>
      <c r="H27" s="2" t="s">
        <v>45</v>
      </c>
      <c r="I27" s="2" t="s">
        <v>46</v>
      </c>
      <c r="K27" s="2" t="s">
        <v>48</v>
      </c>
      <c r="L27" s="2" t="s">
        <v>49</v>
      </c>
    </row>
    <row r="28" spans="1:27" x14ac:dyDescent="0.25">
      <c r="F28">
        <v>1</v>
      </c>
      <c r="G28">
        <v>19374017.698795602</v>
      </c>
      <c r="H28">
        <v>-8052735.6894534975</v>
      </c>
      <c r="I28">
        <v>-0.48301249307608274</v>
      </c>
      <c r="K28">
        <v>2.5</v>
      </c>
      <c r="L28">
        <v>11321282.009342104</v>
      </c>
    </row>
    <row r="29" spans="1:27" ht="15.75" thickBot="1" x14ac:dyDescent="0.3">
      <c r="F29">
        <v>2</v>
      </c>
      <c r="G29">
        <v>25067714.34797493</v>
      </c>
      <c r="H29">
        <v>-3325527.7008696683</v>
      </c>
      <c r="I29">
        <v>-0.19946903605619798</v>
      </c>
      <c r="K29">
        <v>7.5</v>
      </c>
      <c r="L29">
        <v>21742186.647105262</v>
      </c>
    </row>
    <row r="30" spans="1:27" x14ac:dyDescent="0.25">
      <c r="F30">
        <v>3</v>
      </c>
      <c r="G30">
        <v>35435446.25403899</v>
      </c>
      <c r="H30">
        <v>-12081360.868644252</v>
      </c>
      <c r="I30">
        <v>-0.72465413717207383</v>
      </c>
      <c r="K30">
        <v>12.5</v>
      </c>
      <c r="L30">
        <v>23354085.385394737</v>
      </c>
      <c r="Z30" s="2" t="s">
        <v>50</v>
      </c>
      <c r="AA30" s="2" t="s">
        <v>52</v>
      </c>
    </row>
    <row r="31" spans="1:27" x14ac:dyDescent="0.25">
      <c r="F31">
        <v>4</v>
      </c>
      <c r="G31">
        <v>37039120.268840775</v>
      </c>
      <c r="H31">
        <v>-2725206.4948934168</v>
      </c>
      <c r="I31">
        <v>-0.16346106888489395</v>
      </c>
      <c r="K31">
        <v>17.5</v>
      </c>
      <c r="L31">
        <v>34313913.773947358</v>
      </c>
      <c r="Z31">
        <v>-0.5</v>
      </c>
      <c r="AA31">
        <v>4</v>
      </c>
    </row>
    <row r="32" spans="1:27" x14ac:dyDescent="0.25">
      <c r="F32">
        <v>5</v>
      </c>
      <c r="G32">
        <v>47943026.063853778</v>
      </c>
      <c r="H32">
        <v>-3551136.1684590429</v>
      </c>
      <c r="I32">
        <v>-0.21300129547607891</v>
      </c>
      <c r="K32">
        <v>22.5</v>
      </c>
      <c r="L32">
        <v>44391889.895394735</v>
      </c>
      <c r="Z32">
        <v>-0.3</v>
      </c>
      <c r="AA32">
        <v>5</v>
      </c>
    </row>
    <row r="33" spans="6:27" x14ac:dyDescent="0.25">
      <c r="F33">
        <v>6</v>
      </c>
      <c r="G33">
        <v>57969579.248521395</v>
      </c>
      <c r="H33">
        <v>-8801124.5345740244</v>
      </c>
      <c r="I33">
        <v>-0.52790173020147613</v>
      </c>
      <c r="K33">
        <v>27.5</v>
      </c>
      <c r="L33">
        <v>49168454.713947371</v>
      </c>
      <c r="Z33">
        <v>-0.1</v>
      </c>
      <c r="AA33">
        <v>5</v>
      </c>
    </row>
    <row r="34" spans="6:27" x14ac:dyDescent="0.25">
      <c r="F34">
        <v>7</v>
      </c>
      <c r="G34">
        <v>62721771.614933945</v>
      </c>
      <c r="H34">
        <v>-1361246.2848023847</v>
      </c>
      <c r="I34">
        <v>-8.1649142237968653E-2</v>
      </c>
      <c r="K34">
        <v>32.5</v>
      </c>
      <c r="L34">
        <v>61360525.330131561</v>
      </c>
      <c r="Z34">
        <v>0.1</v>
      </c>
      <c r="AA34">
        <v>2</v>
      </c>
    </row>
    <row r="35" spans="6:27" x14ac:dyDescent="0.25">
      <c r="F35">
        <v>8</v>
      </c>
      <c r="G35">
        <v>74851632.113833159</v>
      </c>
      <c r="H35">
        <v>-6589082.0934384167</v>
      </c>
      <c r="I35">
        <v>-0.39522084068931529</v>
      </c>
      <c r="K35">
        <v>37.5</v>
      </c>
      <c r="L35">
        <v>68262550.020394742</v>
      </c>
      <c r="Z35">
        <v>0.3</v>
      </c>
      <c r="AA35">
        <v>0</v>
      </c>
    </row>
    <row r="36" spans="6:27" x14ac:dyDescent="0.25">
      <c r="F36">
        <v>9</v>
      </c>
      <c r="G36">
        <v>81718439.179543287</v>
      </c>
      <c r="H36">
        <v>40159222.954535663</v>
      </c>
      <c r="I36">
        <v>2.4087971029116111</v>
      </c>
      <c r="K36">
        <v>42.5</v>
      </c>
      <c r="L36">
        <v>121877662.13407895</v>
      </c>
      <c r="Z36">
        <v>0.5</v>
      </c>
      <c r="AA36">
        <v>0</v>
      </c>
    </row>
    <row r="37" spans="6:27" x14ac:dyDescent="0.25">
      <c r="F37">
        <v>10</v>
      </c>
      <c r="G37">
        <v>135059979.84520683</v>
      </c>
      <c r="H37">
        <v>-11326683.077268243</v>
      </c>
      <c r="I37">
        <v>-0.67938768170414121</v>
      </c>
      <c r="K37">
        <v>47.5</v>
      </c>
      <c r="L37">
        <v>123733296.76793858</v>
      </c>
      <c r="Z37">
        <v>0.7</v>
      </c>
      <c r="AA37">
        <v>1</v>
      </c>
    </row>
    <row r="38" spans="6:27" x14ac:dyDescent="0.25">
      <c r="F38">
        <v>11</v>
      </c>
      <c r="G38">
        <v>136906146.09163296</v>
      </c>
      <c r="H38">
        <v>-7061004.2727002203</v>
      </c>
      <c r="I38">
        <v>-0.42352728425503117</v>
      </c>
      <c r="K38">
        <v>52.5</v>
      </c>
      <c r="L38">
        <v>129845141.81893274</v>
      </c>
      <c r="Z38">
        <v>0.9</v>
      </c>
      <c r="AA38">
        <v>1</v>
      </c>
    </row>
    <row r="39" spans="6:27" x14ac:dyDescent="0.25">
      <c r="F39">
        <v>12</v>
      </c>
      <c r="G39">
        <v>142986805.41467166</v>
      </c>
      <c r="H39">
        <v>-180059.01598745584</v>
      </c>
      <c r="I39">
        <v>-1.0800150106358403E-2</v>
      </c>
      <c r="K39">
        <v>57.5</v>
      </c>
      <c r="L39">
        <v>142806746.3986842</v>
      </c>
      <c r="Z39">
        <v>1.1000000000000001</v>
      </c>
      <c r="AA39">
        <v>0</v>
      </c>
    </row>
    <row r="40" spans="6:27" ht="15.75" thickBot="1" x14ac:dyDescent="0.3">
      <c r="F40">
        <v>13</v>
      </c>
      <c r="G40">
        <v>155882273.32523113</v>
      </c>
      <c r="H40">
        <v>-4653725.9815030694</v>
      </c>
      <c r="I40">
        <v>-0.27913592040064661</v>
      </c>
      <c r="K40">
        <v>62.5</v>
      </c>
      <c r="L40">
        <v>151228547.34372807</v>
      </c>
      <c r="Z40" s="1" t="s">
        <v>51</v>
      </c>
      <c r="AA40" s="1">
        <v>2</v>
      </c>
    </row>
    <row r="41" spans="6:27" x14ac:dyDescent="0.25">
      <c r="F41">
        <v>14</v>
      </c>
      <c r="G41">
        <v>164261101.97778791</v>
      </c>
      <c r="H41">
        <v>11231976.576524943</v>
      </c>
      <c r="I41">
        <v>0.67370707516263462</v>
      </c>
      <c r="K41">
        <v>67.5</v>
      </c>
      <c r="L41">
        <v>175493078.55431286</v>
      </c>
    </row>
    <row r="42" spans="6:27" ht="15.75" thickBot="1" x14ac:dyDescent="0.3">
      <c r="F42">
        <v>15</v>
      </c>
      <c r="G42">
        <v>188401823.26469398</v>
      </c>
      <c r="H42">
        <v>45731504.989911288</v>
      </c>
      <c r="I42">
        <v>2.7430290883913813</v>
      </c>
      <c r="K42">
        <v>72.5</v>
      </c>
      <c r="L42">
        <v>234133328.25460526</v>
      </c>
      <c r="Z42" s="1"/>
      <c r="AA42" s="1"/>
    </row>
    <row r="43" spans="6:27" x14ac:dyDescent="0.25">
      <c r="F43">
        <v>16</v>
      </c>
      <c r="G43">
        <v>246742860.72070742</v>
      </c>
      <c r="H43">
        <v>14533468.746757507</v>
      </c>
      <c r="I43">
        <v>0.8717344320152498</v>
      </c>
      <c r="K43">
        <v>77.5</v>
      </c>
      <c r="L43">
        <v>261276329.46746492</v>
      </c>
    </row>
    <row r="44" spans="6:27" x14ac:dyDescent="0.25">
      <c r="F44">
        <v>17</v>
      </c>
      <c r="G44">
        <v>273747364.59853059</v>
      </c>
      <c r="H44">
        <v>-6989815.6644048989</v>
      </c>
      <c r="I44">
        <v>-0.41925730837386904</v>
      </c>
      <c r="K44">
        <v>82.5</v>
      </c>
      <c r="L44">
        <v>266757548.93412569</v>
      </c>
    </row>
    <row r="45" spans="6:27" x14ac:dyDescent="0.25">
      <c r="F45">
        <v>18</v>
      </c>
      <c r="G45">
        <v>279200616.10826099</v>
      </c>
      <c r="H45">
        <v>-3761683.6599891186</v>
      </c>
      <c r="I45">
        <v>-0.22563017995915563</v>
      </c>
      <c r="K45">
        <v>87.5</v>
      </c>
      <c r="L45">
        <v>269016593.68001461</v>
      </c>
    </row>
    <row r="46" spans="6:27" x14ac:dyDescent="0.25">
      <c r="F46">
        <v>19</v>
      </c>
      <c r="G46">
        <v>287837702.80822253</v>
      </c>
      <c r="H46">
        <v>-7676046.6748746037</v>
      </c>
      <c r="I46">
        <v>-0.46041824597016884</v>
      </c>
      <c r="K46">
        <v>92.5</v>
      </c>
      <c r="L46">
        <v>275438932.44827187</v>
      </c>
    </row>
    <row r="47" spans="6:27" ht="15.75" thickBot="1" x14ac:dyDescent="0.3">
      <c r="F47" s="1">
        <v>20</v>
      </c>
      <c r="G47" s="1">
        <v>292536328.76588196</v>
      </c>
      <c r="H47" s="1">
        <v>-23519735.085867345</v>
      </c>
      <c r="I47" s="1">
        <v>-1.410741183917434</v>
      </c>
      <c r="K47" s="1">
        <v>97.5</v>
      </c>
      <c r="L47" s="1">
        <v>280161656.13334793</v>
      </c>
    </row>
    <row r="50" spans="9:9" x14ac:dyDescent="0.25">
      <c r="I50">
        <v>-0.5</v>
      </c>
    </row>
    <row r="51" spans="9:9" x14ac:dyDescent="0.25">
      <c r="I51">
        <v>-0.3</v>
      </c>
    </row>
    <row r="52" spans="9:9" x14ac:dyDescent="0.25">
      <c r="I52">
        <v>-0.1</v>
      </c>
    </row>
    <row r="53" spans="9:9" x14ac:dyDescent="0.25">
      <c r="I53">
        <v>0.1</v>
      </c>
    </row>
    <row r="54" spans="9:9" x14ac:dyDescent="0.25">
      <c r="I54">
        <v>0.3</v>
      </c>
    </row>
    <row r="55" spans="9:9" x14ac:dyDescent="0.25">
      <c r="I55">
        <v>0.5</v>
      </c>
    </row>
    <row r="56" spans="9:9" x14ac:dyDescent="0.25">
      <c r="I56">
        <v>0.7</v>
      </c>
    </row>
    <row r="57" spans="9:9" x14ac:dyDescent="0.25">
      <c r="I57">
        <v>0.9</v>
      </c>
    </row>
    <row r="58" spans="9:9" x14ac:dyDescent="0.25">
      <c r="I58">
        <v>1.1000000000000001</v>
      </c>
    </row>
  </sheetData>
  <sortState xmlns:xlrd2="http://schemas.microsoft.com/office/spreadsheetml/2017/richdata2" ref="Z31:Z39">
    <sortCondition ref="Z31"/>
  </sortState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00B4D-3CD9-4EF3-9336-DDB4892C4D8A}">
  <dimension ref="A3:N47"/>
  <sheetViews>
    <sheetView workbookViewId="0">
      <selection activeCell="F6" sqref="F6:G11"/>
    </sheetView>
  </sheetViews>
  <sheetFormatPr defaultRowHeight="15" x14ac:dyDescent="0.25"/>
  <cols>
    <col min="1" max="1" width="5" bestFit="1" customWidth="1"/>
    <col min="6" max="6" width="17.5703125" bestFit="1" customWidth="1"/>
    <col min="7" max="7" width="13.140625" bestFit="1" customWidth="1"/>
  </cols>
  <sheetData>
    <row r="3" spans="1:11" x14ac:dyDescent="0.25">
      <c r="B3" t="s">
        <v>9</v>
      </c>
    </row>
    <row r="4" spans="1:11" x14ac:dyDescent="0.25">
      <c r="A4">
        <v>2000</v>
      </c>
      <c r="B4">
        <v>77147.621052631584</v>
      </c>
      <c r="F4" t="s">
        <v>17</v>
      </c>
    </row>
    <row r="5" spans="1:11" ht="15.75" thickBot="1" x14ac:dyDescent="0.3">
      <c r="A5">
        <v>2001</v>
      </c>
      <c r="B5">
        <v>78898.436052631587</v>
      </c>
      <c r="C5">
        <v>77147.621052631584</v>
      </c>
    </row>
    <row r="6" spans="1:11" x14ac:dyDescent="0.25">
      <c r="A6">
        <v>2002</v>
      </c>
      <c r="B6">
        <v>77949.259342105273</v>
      </c>
      <c r="C6">
        <v>78898.436052631587</v>
      </c>
      <c r="F6" s="3" t="s">
        <v>18</v>
      </c>
      <c r="G6" s="3"/>
    </row>
    <row r="7" spans="1:11" x14ac:dyDescent="0.25">
      <c r="A7">
        <v>2003</v>
      </c>
      <c r="B7">
        <v>0</v>
      </c>
      <c r="C7">
        <v>77949.259342105273</v>
      </c>
      <c r="F7" t="s">
        <v>19</v>
      </c>
      <c r="G7">
        <v>6.3157332582215925E-2</v>
      </c>
    </row>
    <row r="8" spans="1:11" x14ac:dyDescent="0.25">
      <c r="A8">
        <v>2004</v>
      </c>
      <c r="B8">
        <v>0</v>
      </c>
      <c r="C8">
        <v>0</v>
      </c>
      <c r="F8" t="s">
        <v>20</v>
      </c>
      <c r="G8">
        <v>3.9888486589006334E-3</v>
      </c>
    </row>
    <row r="9" spans="1:11" x14ac:dyDescent="0.25">
      <c r="A9">
        <v>2005</v>
      </c>
      <c r="B9">
        <v>0</v>
      </c>
      <c r="C9">
        <v>0</v>
      </c>
      <c r="F9" t="s">
        <v>21</v>
      </c>
      <c r="G9">
        <v>-5.1345104193382667E-2</v>
      </c>
    </row>
    <row r="10" spans="1:11" x14ac:dyDescent="0.25">
      <c r="A10">
        <v>2006</v>
      </c>
      <c r="B10">
        <v>0</v>
      </c>
      <c r="C10">
        <v>0</v>
      </c>
      <c r="F10" t="s">
        <v>22</v>
      </c>
      <c r="G10">
        <v>208187.86598923706</v>
      </c>
    </row>
    <row r="11" spans="1:11" ht="15.75" thickBot="1" x14ac:dyDescent="0.3">
      <c r="A11">
        <v>2007</v>
      </c>
      <c r="B11">
        <v>0</v>
      </c>
      <c r="C11">
        <v>0</v>
      </c>
      <c r="F11" s="1" t="s">
        <v>23</v>
      </c>
      <c r="G11" s="1">
        <v>20</v>
      </c>
    </row>
    <row r="12" spans="1:11" x14ac:dyDescent="0.25">
      <c r="A12">
        <v>2008</v>
      </c>
      <c r="B12">
        <v>0</v>
      </c>
      <c r="C12">
        <v>0</v>
      </c>
    </row>
    <row r="13" spans="1:11" ht="15.75" thickBot="1" x14ac:dyDescent="0.3">
      <c r="A13">
        <v>2009</v>
      </c>
      <c r="B13">
        <v>0</v>
      </c>
      <c r="C13">
        <v>0</v>
      </c>
      <c r="F13" t="s">
        <v>24</v>
      </c>
    </row>
    <row r="14" spans="1:11" x14ac:dyDescent="0.25">
      <c r="A14">
        <v>2010</v>
      </c>
      <c r="B14">
        <v>0</v>
      </c>
      <c r="C14">
        <v>0</v>
      </c>
      <c r="F14" s="2"/>
      <c r="G14" s="2" t="s">
        <v>29</v>
      </c>
      <c r="H14" s="2" t="s">
        <v>30</v>
      </c>
      <c r="I14" s="2" t="s">
        <v>31</v>
      </c>
      <c r="J14" s="2" t="s">
        <v>32</v>
      </c>
      <c r="K14" s="2" t="s">
        <v>33</v>
      </c>
    </row>
    <row r="15" spans="1:11" x14ac:dyDescent="0.25">
      <c r="A15">
        <v>2011</v>
      </c>
      <c r="B15">
        <v>0</v>
      </c>
      <c r="C15">
        <v>0</v>
      </c>
      <c r="F15" t="s">
        <v>25</v>
      </c>
      <c r="G15">
        <v>1</v>
      </c>
      <c r="H15">
        <v>3124400440.446167</v>
      </c>
      <c r="I15">
        <v>3124400440.446167</v>
      </c>
      <c r="J15">
        <v>7.2086819272591279E-2</v>
      </c>
      <c r="K15">
        <v>0.79137521549746948</v>
      </c>
    </row>
    <row r="16" spans="1:11" x14ac:dyDescent="0.25">
      <c r="A16">
        <v>2012</v>
      </c>
      <c r="B16">
        <v>0</v>
      </c>
      <c r="C16">
        <v>0</v>
      </c>
      <c r="F16" t="s">
        <v>26</v>
      </c>
      <c r="G16">
        <v>18</v>
      </c>
      <c r="H16">
        <v>780159375812.74548</v>
      </c>
      <c r="I16">
        <v>43342187545.152527</v>
      </c>
    </row>
    <row r="17" spans="1:14" ht="15.75" thickBot="1" x14ac:dyDescent="0.3">
      <c r="A17">
        <v>2013</v>
      </c>
      <c r="B17">
        <v>0</v>
      </c>
      <c r="C17">
        <v>0</v>
      </c>
      <c r="F17" s="1" t="s">
        <v>27</v>
      </c>
      <c r="G17" s="1">
        <v>19</v>
      </c>
      <c r="H17" s="1">
        <v>783283776253.19165</v>
      </c>
      <c r="I17" s="1"/>
      <c r="J17" s="1"/>
      <c r="K17" s="1"/>
    </row>
    <row r="18" spans="1:14" ht="15.75" thickBot="1" x14ac:dyDescent="0.3">
      <c r="A18">
        <v>2014</v>
      </c>
      <c r="B18">
        <v>0</v>
      </c>
      <c r="C18">
        <v>0</v>
      </c>
    </row>
    <row r="19" spans="1:14" x14ac:dyDescent="0.25">
      <c r="A19">
        <v>2015</v>
      </c>
      <c r="B19">
        <v>14724.549928421055</v>
      </c>
      <c r="C19">
        <v>0</v>
      </c>
      <c r="F19" s="2"/>
      <c r="G19" s="2" t="s">
        <v>34</v>
      </c>
      <c r="H19" s="2" t="s">
        <v>22</v>
      </c>
      <c r="I19" s="2" t="s">
        <v>35</v>
      </c>
      <c r="J19" s="2" t="s">
        <v>36</v>
      </c>
      <c r="K19" s="2" t="s">
        <v>37</v>
      </c>
      <c r="L19" s="2" t="s">
        <v>38</v>
      </c>
      <c r="M19" s="2" t="s">
        <v>39</v>
      </c>
      <c r="N19" s="2" t="s">
        <v>40</v>
      </c>
    </row>
    <row r="20" spans="1:14" x14ac:dyDescent="0.25">
      <c r="A20">
        <v>2016</v>
      </c>
      <c r="B20">
        <v>213958.16491831583</v>
      </c>
      <c r="C20">
        <v>14724.549928421055</v>
      </c>
      <c r="F20" t="s">
        <v>28</v>
      </c>
      <c r="G20">
        <v>67277.739591788166</v>
      </c>
      <c r="H20">
        <v>49885.178145469879</v>
      </c>
      <c r="I20">
        <v>1.3486518860491976</v>
      </c>
      <c r="J20">
        <v>0.19417369217791866</v>
      </c>
      <c r="K20">
        <v>-37527.130655380039</v>
      </c>
      <c r="L20">
        <v>172082.60983895638</v>
      </c>
      <c r="M20">
        <v>-37527.130655380039</v>
      </c>
      <c r="N20">
        <v>172082.60983895638</v>
      </c>
    </row>
    <row r="21" spans="1:14" ht="15.75" thickBot="1" x14ac:dyDescent="0.3">
      <c r="A21">
        <v>2017</v>
      </c>
      <c r="B21">
        <v>0</v>
      </c>
      <c r="C21">
        <v>213958.16491831583</v>
      </c>
      <c r="F21" s="1" t="s">
        <v>41</v>
      </c>
      <c r="G21" s="1">
        <v>6.3378987876933551E-2</v>
      </c>
      <c r="H21" s="1">
        <v>0.23605726327522075</v>
      </c>
      <c r="I21" s="1">
        <v>0.26848988672311924</v>
      </c>
      <c r="J21" s="1">
        <v>0.79137521549746648</v>
      </c>
      <c r="K21" s="1">
        <v>-0.432558919296959</v>
      </c>
      <c r="L21" s="1">
        <v>0.55931689505082616</v>
      </c>
      <c r="M21" s="1">
        <v>-0.432558919296959</v>
      </c>
      <c r="N21" s="1">
        <v>0.55931689505082616</v>
      </c>
    </row>
    <row r="22" spans="1:14" x14ac:dyDescent="0.25">
      <c r="A22">
        <v>2018</v>
      </c>
      <c r="B22">
        <v>896285.52631578944</v>
      </c>
      <c r="C22">
        <v>0</v>
      </c>
    </row>
    <row r="23" spans="1:14" x14ac:dyDescent="0.25">
      <c r="A23">
        <v>2019</v>
      </c>
      <c r="B23">
        <v>160009.85263157895</v>
      </c>
      <c r="C23">
        <v>896285.52631578944</v>
      </c>
    </row>
    <row r="24" spans="1:14" x14ac:dyDescent="0.25">
      <c r="A24">
        <v>2020</v>
      </c>
      <c r="B24">
        <v>0</v>
      </c>
      <c r="C24">
        <v>160009.85263157895</v>
      </c>
    </row>
    <row r="25" spans="1:14" x14ac:dyDescent="0.25">
      <c r="C25">
        <v>0</v>
      </c>
      <c r="F25" t="s">
        <v>42</v>
      </c>
      <c r="K25" t="s">
        <v>47</v>
      </c>
    </row>
    <row r="26" spans="1:14" ht="15.75" thickBot="1" x14ac:dyDescent="0.3"/>
    <row r="27" spans="1:14" x14ac:dyDescent="0.25">
      <c r="F27" s="2" t="s">
        <v>43</v>
      </c>
      <c r="G27" s="2" t="s">
        <v>44</v>
      </c>
      <c r="H27" s="2" t="s">
        <v>45</v>
      </c>
      <c r="I27" s="2" t="s">
        <v>46</v>
      </c>
      <c r="K27" s="2" t="s">
        <v>48</v>
      </c>
      <c r="L27" s="2" t="s">
        <v>49</v>
      </c>
    </row>
    <row r="28" spans="1:14" x14ac:dyDescent="0.25">
      <c r="F28">
        <v>1</v>
      </c>
      <c r="G28">
        <v>72167.277731217167</v>
      </c>
      <c r="H28">
        <v>6731.1583214144193</v>
      </c>
      <c r="I28">
        <v>3.3218111612448913E-2</v>
      </c>
      <c r="K28">
        <v>2.5</v>
      </c>
      <c r="L28">
        <v>0</v>
      </c>
    </row>
    <row r="29" spans="1:14" x14ac:dyDescent="0.25">
      <c r="F29">
        <v>2</v>
      </c>
      <c r="G29">
        <v>72278.242613876922</v>
      </c>
      <c r="H29">
        <v>5671.016728228351</v>
      </c>
      <c r="I29">
        <v>2.7986337215549228E-2</v>
      </c>
      <c r="K29">
        <v>7.5</v>
      </c>
      <c r="L29">
        <v>0</v>
      </c>
    </row>
    <row r="30" spans="1:14" x14ac:dyDescent="0.25">
      <c r="F30">
        <v>3</v>
      </c>
      <c r="G30">
        <v>72218.084754647411</v>
      </c>
      <c r="H30">
        <v>-72218.084754647411</v>
      </c>
      <c r="I30">
        <v>-0.35639458845963995</v>
      </c>
      <c r="K30">
        <v>12.5</v>
      </c>
      <c r="L30">
        <v>0</v>
      </c>
    </row>
    <row r="31" spans="1:14" x14ac:dyDescent="0.25">
      <c r="F31">
        <v>4</v>
      </c>
      <c r="G31">
        <v>67277.739591788166</v>
      </c>
      <c r="H31">
        <v>-67277.739591788166</v>
      </c>
      <c r="I31">
        <v>-0.33201409862599773</v>
      </c>
      <c r="K31">
        <v>17.5</v>
      </c>
      <c r="L31">
        <v>0</v>
      </c>
    </row>
    <row r="32" spans="1:14" x14ac:dyDescent="0.25">
      <c r="F32">
        <v>5</v>
      </c>
      <c r="G32">
        <v>67277.739591788166</v>
      </c>
      <c r="H32">
        <v>-67277.739591788166</v>
      </c>
      <c r="I32">
        <v>-0.33201409862599773</v>
      </c>
      <c r="K32">
        <v>22.5</v>
      </c>
      <c r="L32">
        <v>0</v>
      </c>
    </row>
    <row r="33" spans="6:12" x14ac:dyDescent="0.25">
      <c r="F33">
        <v>6</v>
      </c>
      <c r="G33">
        <v>67277.739591788166</v>
      </c>
      <c r="H33">
        <v>-67277.739591788166</v>
      </c>
      <c r="I33">
        <v>-0.33201409862599773</v>
      </c>
      <c r="K33">
        <v>27.5</v>
      </c>
      <c r="L33">
        <v>0</v>
      </c>
    </row>
    <row r="34" spans="6:12" x14ac:dyDescent="0.25">
      <c r="F34">
        <v>7</v>
      </c>
      <c r="G34">
        <v>67277.739591788166</v>
      </c>
      <c r="H34">
        <v>-67277.739591788166</v>
      </c>
      <c r="I34">
        <v>-0.33201409862599773</v>
      </c>
      <c r="K34">
        <v>32.5</v>
      </c>
      <c r="L34">
        <v>0</v>
      </c>
    </row>
    <row r="35" spans="6:12" x14ac:dyDescent="0.25">
      <c r="F35">
        <v>8</v>
      </c>
      <c r="G35">
        <v>67277.739591788166</v>
      </c>
      <c r="H35">
        <v>-67277.739591788166</v>
      </c>
      <c r="I35">
        <v>-0.33201409862599773</v>
      </c>
      <c r="K35">
        <v>37.5</v>
      </c>
      <c r="L35">
        <v>0</v>
      </c>
    </row>
    <row r="36" spans="6:12" x14ac:dyDescent="0.25">
      <c r="F36">
        <v>9</v>
      </c>
      <c r="G36">
        <v>67277.739591788166</v>
      </c>
      <c r="H36">
        <v>-67277.739591788166</v>
      </c>
      <c r="I36">
        <v>-0.33201409862599773</v>
      </c>
      <c r="K36">
        <v>42.5</v>
      </c>
      <c r="L36">
        <v>0</v>
      </c>
    </row>
    <row r="37" spans="6:12" x14ac:dyDescent="0.25">
      <c r="F37">
        <v>10</v>
      </c>
      <c r="G37">
        <v>67277.739591788166</v>
      </c>
      <c r="H37">
        <v>-67277.739591788166</v>
      </c>
      <c r="I37">
        <v>-0.33201409862599773</v>
      </c>
      <c r="K37">
        <v>47.5</v>
      </c>
      <c r="L37">
        <v>0</v>
      </c>
    </row>
    <row r="38" spans="6:12" x14ac:dyDescent="0.25">
      <c r="F38">
        <v>11</v>
      </c>
      <c r="G38">
        <v>67277.739591788166</v>
      </c>
      <c r="H38">
        <v>-67277.739591788166</v>
      </c>
      <c r="I38">
        <v>-0.33201409862599773</v>
      </c>
      <c r="K38">
        <v>52.5</v>
      </c>
      <c r="L38">
        <v>0</v>
      </c>
    </row>
    <row r="39" spans="6:12" x14ac:dyDescent="0.25">
      <c r="F39">
        <v>12</v>
      </c>
      <c r="G39">
        <v>67277.739591788166</v>
      </c>
      <c r="H39">
        <v>-67277.739591788166</v>
      </c>
      <c r="I39">
        <v>-0.33201409862599773</v>
      </c>
      <c r="K39">
        <v>57.5</v>
      </c>
      <c r="L39">
        <v>0</v>
      </c>
    </row>
    <row r="40" spans="6:12" x14ac:dyDescent="0.25">
      <c r="F40">
        <v>13</v>
      </c>
      <c r="G40">
        <v>67277.739591788166</v>
      </c>
      <c r="H40">
        <v>-67277.739591788166</v>
      </c>
      <c r="I40">
        <v>-0.33201409862599773</v>
      </c>
      <c r="K40">
        <v>62.5</v>
      </c>
      <c r="L40">
        <v>0</v>
      </c>
    </row>
    <row r="41" spans="6:12" x14ac:dyDescent="0.25">
      <c r="F41">
        <v>14</v>
      </c>
      <c r="G41">
        <v>67277.739591788166</v>
      </c>
      <c r="H41">
        <v>-67277.739591788166</v>
      </c>
      <c r="I41">
        <v>-0.33201409862599773</v>
      </c>
      <c r="K41">
        <v>67.5</v>
      </c>
      <c r="L41">
        <v>0</v>
      </c>
    </row>
    <row r="42" spans="6:12" x14ac:dyDescent="0.25">
      <c r="F42">
        <v>15</v>
      </c>
      <c r="G42">
        <v>67277.739591788166</v>
      </c>
      <c r="H42">
        <v>-52553.189663367113</v>
      </c>
      <c r="I42">
        <v>-0.25934878314689491</v>
      </c>
      <c r="K42">
        <v>72.5</v>
      </c>
      <c r="L42">
        <v>14724.549928421055</v>
      </c>
    </row>
    <row r="43" spans="6:12" x14ac:dyDescent="0.25">
      <c r="F43">
        <v>16</v>
      </c>
      <c r="G43">
        <v>68210.966663194864</v>
      </c>
      <c r="H43">
        <v>145747.19825512095</v>
      </c>
      <c r="I43">
        <v>0.71925907364826225</v>
      </c>
      <c r="K43">
        <v>77.5</v>
      </c>
      <c r="L43">
        <v>77949.259342105273</v>
      </c>
    </row>
    <row r="44" spans="6:12" x14ac:dyDescent="0.25">
      <c r="F44">
        <v>17</v>
      </c>
      <c r="G44">
        <v>80838.191532317054</v>
      </c>
      <c r="H44">
        <v>-80838.191532317054</v>
      </c>
      <c r="I44">
        <v>-0.39893461728957963</v>
      </c>
      <c r="K44">
        <v>82.5</v>
      </c>
      <c r="L44">
        <v>78898.436052631587</v>
      </c>
    </row>
    <row r="45" spans="6:12" x14ac:dyDescent="0.25">
      <c r="F45">
        <v>18</v>
      </c>
      <c r="G45">
        <v>67277.739591788166</v>
      </c>
      <c r="H45">
        <v>829007.78672400129</v>
      </c>
      <c r="I45">
        <v>4.0911343742098376</v>
      </c>
      <c r="K45">
        <v>87.5</v>
      </c>
      <c r="L45">
        <v>160009.85263157895</v>
      </c>
    </row>
    <row r="46" spans="6:12" x14ac:dyDescent="0.25">
      <c r="F46">
        <v>19</v>
      </c>
      <c r="G46">
        <v>124083.4090984276</v>
      </c>
      <c r="H46">
        <v>35926.443533151352</v>
      </c>
      <c r="I46">
        <v>0.17729617313053989</v>
      </c>
      <c r="K46">
        <v>92.5</v>
      </c>
      <c r="L46">
        <v>213958.16491831583</v>
      </c>
    </row>
    <row r="47" spans="6:12" ht="15.75" thickBot="1" x14ac:dyDescent="0.3">
      <c r="F47" s="1">
        <v>20</v>
      </c>
      <c r="G47" s="1">
        <v>77419.002101914928</v>
      </c>
      <c r="H47" s="1">
        <v>-77419.002101914928</v>
      </c>
      <c r="I47" s="1">
        <v>-0.38206099603454768</v>
      </c>
      <c r="K47" s="1">
        <v>97.5</v>
      </c>
      <c r="L47" s="1">
        <v>896285.52631578944</v>
      </c>
    </row>
  </sheetData>
  <sortState xmlns:xlrd2="http://schemas.microsoft.com/office/spreadsheetml/2017/richdata2" ref="L28:L47">
    <sortCondition ref="L28"/>
  </sortState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6D1BC-D9E6-4E2E-B4CD-337A3C61DB76}">
  <dimension ref="A3:N41"/>
  <sheetViews>
    <sheetView workbookViewId="0">
      <selection activeCell="F6" sqref="F6:G11"/>
    </sheetView>
  </sheetViews>
  <sheetFormatPr defaultRowHeight="15" x14ac:dyDescent="0.25"/>
  <cols>
    <col min="1" max="1" width="5" bestFit="1" customWidth="1"/>
    <col min="6" max="6" width="17.5703125" bestFit="1" customWidth="1"/>
    <col min="7" max="7" width="12.42578125" bestFit="1" customWidth="1"/>
  </cols>
  <sheetData>
    <row r="3" spans="1:11" x14ac:dyDescent="0.25">
      <c r="B3" t="s">
        <v>10</v>
      </c>
    </row>
    <row r="4" spans="1:11" x14ac:dyDescent="0.25">
      <c r="A4">
        <v>2000</v>
      </c>
      <c r="B4">
        <v>0</v>
      </c>
      <c r="F4" t="s">
        <v>17</v>
      </c>
    </row>
    <row r="5" spans="1:11" ht="15.75" thickBot="1" x14ac:dyDescent="0.3">
      <c r="A5">
        <v>2001</v>
      </c>
      <c r="B5">
        <v>0</v>
      </c>
      <c r="C5">
        <v>0</v>
      </c>
    </row>
    <row r="6" spans="1:11" x14ac:dyDescent="0.25">
      <c r="A6">
        <v>2002</v>
      </c>
      <c r="B6">
        <v>0</v>
      </c>
      <c r="C6">
        <v>0</v>
      </c>
      <c r="F6" s="3" t="s">
        <v>18</v>
      </c>
      <c r="G6" s="3"/>
    </row>
    <row r="7" spans="1:11" x14ac:dyDescent="0.25">
      <c r="A7">
        <v>2003</v>
      </c>
      <c r="B7">
        <v>0</v>
      </c>
      <c r="C7">
        <v>0</v>
      </c>
      <c r="F7" t="s">
        <v>19</v>
      </c>
      <c r="G7">
        <v>0.95636602179275243</v>
      </c>
    </row>
    <row r="8" spans="1:11" x14ac:dyDescent="0.25">
      <c r="A8">
        <v>2004</v>
      </c>
      <c r="B8">
        <v>0</v>
      </c>
      <c r="C8">
        <v>0</v>
      </c>
      <c r="F8" t="s">
        <v>20</v>
      </c>
      <c r="G8">
        <v>0.91463596763969535</v>
      </c>
    </row>
    <row r="9" spans="1:11" x14ac:dyDescent="0.25">
      <c r="A9">
        <v>2005</v>
      </c>
      <c r="B9">
        <v>0</v>
      </c>
      <c r="C9">
        <v>0</v>
      </c>
      <c r="F9" t="s">
        <v>21</v>
      </c>
      <c r="G9">
        <v>0.90752229827633668</v>
      </c>
    </row>
    <row r="10" spans="1:11" x14ac:dyDescent="0.25">
      <c r="A10">
        <v>2006</v>
      </c>
      <c r="B10">
        <v>538568.79999999993</v>
      </c>
      <c r="C10">
        <v>0</v>
      </c>
      <c r="F10" t="s">
        <v>22</v>
      </c>
      <c r="G10">
        <v>9848412.1785071921</v>
      </c>
    </row>
    <row r="11" spans="1:11" ht="15.75" thickBot="1" x14ac:dyDescent="0.3">
      <c r="A11">
        <v>2007</v>
      </c>
      <c r="B11">
        <v>572237.67999999993</v>
      </c>
      <c r="C11">
        <v>538568.79999999993</v>
      </c>
      <c r="F11" s="1" t="s">
        <v>23</v>
      </c>
      <c r="G11" s="1">
        <v>14</v>
      </c>
    </row>
    <row r="12" spans="1:11" x14ac:dyDescent="0.25">
      <c r="A12">
        <v>2008</v>
      </c>
      <c r="B12">
        <v>1564054.0750000002</v>
      </c>
      <c r="C12">
        <v>572237.67999999993</v>
      </c>
    </row>
    <row r="13" spans="1:11" ht="15.75" thickBot="1" x14ac:dyDescent="0.3">
      <c r="A13">
        <v>2009</v>
      </c>
      <c r="B13">
        <v>1802422.5724999998</v>
      </c>
      <c r="C13">
        <v>1564054.0750000002</v>
      </c>
      <c r="F13" t="s">
        <v>24</v>
      </c>
    </row>
    <row r="14" spans="1:11" x14ac:dyDescent="0.25">
      <c r="A14">
        <v>2010</v>
      </c>
      <c r="B14">
        <v>1596326.35</v>
      </c>
      <c r="C14">
        <v>1802422.5724999998</v>
      </c>
      <c r="F14" s="2"/>
      <c r="G14" s="2" t="s">
        <v>29</v>
      </c>
      <c r="H14" s="2" t="s">
        <v>30</v>
      </c>
      <c r="I14" s="2" t="s">
        <v>31</v>
      </c>
      <c r="J14" s="2" t="s">
        <v>32</v>
      </c>
      <c r="K14" s="2" t="s">
        <v>33</v>
      </c>
    </row>
    <row r="15" spans="1:11" x14ac:dyDescent="0.25">
      <c r="A15">
        <v>2011</v>
      </c>
      <c r="B15">
        <v>1432203.1749999998</v>
      </c>
      <c r="C15">
        <v>1596326.35</v>
      </c>
      <c r="F15" t="s">
        <v>25</v>
      </c>
      <c r="G15">
        <v>1</v>
      </c>
      <c r="H15">
        <v>1.2470590922297286E+16</v>
      </c>
      <c r="I15">
        <v>1.2470590922297286E+16</v>
      </c>
      <c r="J15">
        <v>128.57442775606455</v>
      </c>
      <c r="K15">
        <v>9.0673883172961105E-8</v>
      </c>
    </row>
    <row r="16" spans="1:11" x14ac:dyDescent="0.25">
      <c r="A16">
        <v>2012</v>
      </c>
      <c r="B16">
        <v>1193206.3599999999</v>
      </c>
      <c r="C16">
        <v>1432203.1749999998</v>
      </c>
      <c r="F16" t="s">
        <v>26</v>
      </c>
      <c r="G16">
        <v>12</v>
      </c>
      <c r="H16">
        <v>1163894669253225.3</v>
      </c>
      <c r="I16">
        <v>96991222437768.766</v>
      </c>
    </row>
    <row r="17" spans="1:14" ht="15.75" thickBot="1" x14ac:dyDescent="0.3">
      <c r="A17">
        <v>2013</v>
      </c>
      <c r="B17">
        <v>1051750.0339473682</v>
      </c>
      <c r="C17">
        <v>1193206.3599999999</v>
      </c>
      <c r="F17" s="1" t="s">
        <v>27</v>
      </c>
      <c r="G17" s="1">
        <v>13</v>
      </c>
      <c r="H17" s="1">
        <v>1.3634485591550512E+16</v>
      </c>
      <c r="I17" s="1"/>
      <c r="J17" s="1"/>
      <c r="K17" s="1"/>
    </row>
    <row r="18" spans="1:14" ht="15.75" thickBot="1" x14ac:dyDescent="0.3">
      <c r="A18">
        <v>2014</v>
      </c>
      <c r="B18">
        <v>838163.73810307006</v>
      </c>
      <c r="C18">
        <v>1051750.0339473682</v>
      </c>
    </row>
    <row r="19" spans="1:14" x14ac:dyDescent="0.25">
      <c r="A19">
        <v>2015</v>
      </c>
      <c r="B19">
        <v>14134727.231597047</v>
      </c>
      <c r="C19">
        <v>838163.73810307006</v>
      </c>
      <c r="F19" s="2"/>
      <c r="G19" s="2" t="s">
        <v>34</v>
      </c>
      <c r="H19" s="2" t="s">
        <v>22</v>
      </c>
      <c r="I19" s="2" t="s">
        <v>35</v>
      </c>
      <c r="J19" s="2" t="s">
        <v>36</v>
      </c>
      <c r="K19" s="2" t="s">
        <v>37</v>
      </c>
      <c r="L19" s="2" t="s">
        <v>38</v>
      </c>
      <c r="M19" s="2" t="s">
        <v>39</v>
      </c>
      <c r="N19" s="2" t="s">
        <v>40</v>
      </c>
    </row>
    <row r="20" spans="1:14" x14ac:dyDescent="0.25">
      <c r="A20">
        <v>2016</v>
      </c>
      <c r="B20">
        <v>45560280.206873044</v>
      </c>
      <c r="C20">
        <v>14134727.231597047</v>
      </c>
      <c r="F20" t="s">
        <v>28</v>
      </c>
      <c r="G20">
        <v>4190331.8477633744</v>
      </c>
      <c r="H20">
        <v>3202987.7884885836</v>
      </c>
      <c r="I20">
        <v>1.3082572037343594</v>
      </c>
      <c r="J20">
        <v>0.2152908547647345</v>
      </c>
      <c r="K20">
        <v>-2788379.039063015</v>
      </c>
      <c r="L20">
        <v>11169042.734589763</v>
      </c>
      <c r="M20">
        <v>-2788379.039063015</v>
      </c>
      <c r="N20">
        <v>11169042.734589763</v>
      </c>
    </row>
    <row r="21" spans="1:14" ht="15.75" thickBot="1" x14ac:dyDescent="0.3">
      <c r="A21">
        <v>2017</v>
      </c>
      <c r="B21">
        <v>51668555.84326534</v>
      </c>
      <c r="C21">
        <v>45560280.206873044</v>
      </c>
      <c r="F21" s="1" t="s">
        <v>41</v>
      </c>
      <c r="G21" s="1">
        <v>1.0767582812273355</v>
      </c>
      <c r="H21" s="1">
        <v>9.4960046915579244E-2</v>
      </c>
      <c r="I21" s="1">
        <v>11.339066441116948</v>
      </c>
      <c r="J21" s="1">
        <v>9.0673883172961105E-8</v>
      </c>
      <c r="K21" s="1">
        <v>0.86985811270186952</v>
      </c>
      <c r="L21" s="1">
        <v>1.2836584497528014</v>
      </c>
      <c r="M21" s="1">
        <v>0.86985811270186952</v>
      </c>
      <c r="N21" s="1">
        <v>1.2836584497528014</v>
      </c>
    </row>
    <row r="22" spans="1:14" x14ac:dyDescent="0.25">
      <c r="A22">
        <v>2018</v>
      </c>
      <c r="B22">
        <v>65056520.774600595</v>
      </c>
      <c r="C22">
        <v>51668555.84326534</v>
      </c>
    </row>
    <row r="23" spans="1:14" x14ac:dyDescent="0.25">
      <c r="A23">
        <v>2019</v>
      </c>
      <c r="B23">
        <v>82074178.903402403</v>
      </c>
      <c r="C23">
        <v>65056520.774600595</v>
      </c>
    </row>
    <row r="24" spans="1:14" x14ac:dyDescent="0.25">
      <c r="A24">
        <v>2020</v>
      </c>
      <c r="B24">
        <v>79857578.281177551</v>
      </c>
      <c r="C24">
        <v>82074178.903402403</v>
      </c>
    </row>
    <row r="25" spans="1:14" x14ac:dyDescent="0.25">
      <c r="C25">
        <v>79857578.281177551</v>
      </c>
      <c r="F25" t="s">
        <v>42</v>
      </c>
      <c r="K25" t="s">
        <v>47</v>
      </c>
    </row>
    <row r="26" spans="1:14" ht="15.75" thickBot="1" x14ac:dyDescent="0.3"/>
    <row r="27" spans="1:14" x14ac:dyDescent="0.25">
      <c r="F27" s="2" t="s">
        <v>43</v>
      </c>
      <c r="G27" s="2" t="s">
        <v>44</v>
      </c>
      <c r="H27" s="2" t="s">
        <v>45</v>
      </c>
      <c r="I27" s="2" t="s">
        <v>46</v>
      </c>
      <c r="K27" s="2" t="s">
        <v>48</v>
      </c>
      <c r="L27" s="2" t="s">
        <v>49</v>
      </c>
    </row>
    <row r="28" spans="1:14" x14ac:dyDescent="0.25">
      <c r="F28">
        <v>1</v>
      </c>
      <c r="G28">
        <v>4770240.263174043</v>
      </c>
      <c r="H28">
        <v>-4198002.5831740433</v>
      </c>
      <c r="I28">
        <v>-0.44366741991849817</v>
      </c>
      <c r="K28">
        <v>3.5714285714285716</v>
      </c>
      <c r="L28">
        <v>572237.67999999993</v>
      </c>
    </row>
    <row r="29" spans="1:14" x14ac:dyDescent="0.25">
      <c r="F29">
        <v>2</v>
      </c>
      <c r="G29">
        <v>4806493.508533692</v>
      </c>
      <c r="H29">
        <v>-3242439.4335336918</v>
      </c>
      <c r="I29">
        <v>-0.3426783831634076</v>
      </c>
      <c r="K29">
        <v>10.714285714285715</v>
      </c>
      <c r="L29">
        <v>838163.73810307006</v>
      </c>
    </row>
    <row r="30" spans="1:14" x14ac:dyDescent="0.25">
      <c r="F30">
        <v>3</v>
      </c>
      <c r="G30">
        <v>5874440.0253069848</v>
      </c>
      <c r="H30">
        <v>-4072017.452806985</v>
      </c>
      <c r="I30">
        <v>-0.43035263589190365</v>
      </c>
      <c r="K30">
        <v>17.857142857142858</v>
      </c>
      <c r="L30">
        <v>1051750.0339473682</v>
      </c>
    </row>
    <row r="31" spans="1:14" x14ac:dyDescent="0.25">
      <c r="F31">
        <v>4</v>
      </c>
      <c r="G31">
        <v>6131105.2789738271</v>
      </c>
      <c r="H31">
        <v>-4534778.9289738275</v>
      </c>
      <c r="I31">
        <v>-0.47925974971587493</v>
      </c>
      <c r="K31">
        <v>25.000000000000004</v>
      </c>
      <c r="L31">
        <v>1193206.3599999999</v>
      </c>
    </row>
    <row r="32" spans="1:14" x14ac:dyDescent="0.25">
      <c r="F32">
        <v>5</v>
      </c>
      <c r="G32">
        <v>5909189.4646672811</v>
      </c>
      <c r="H32">
        <v>-4476986.2896672813</v>
      </c>
      <c r="I32">
        <v>-0.4731519137478396</v>
      </c>
      <c r="K32">
        <v>32.142857142857146</v>
      </c>
      <c r="L32">
        <v>1432203.1749999998</v>
      </c>
    </row>
    <row r="33" spans="6:12" x14ac:dyDescent="0.25">
      <c r="F33">
        <v>6</v>
      </c>
      <c r="G33">
        <v>5732468.4768447075</v>
      </c>
      <c r="H33">
        <v>-4539262.1168447081</v>
      </c>
      <c r="I33">
        <v>-0.4797335570459742</v>
      </c>
      <c r="K33">
        <v>39.285714285714285</v>
      </c>
      <c r="L33">
        <v>1564054.0750000002</v>
      </c>
    </row>
    <row r="34" spans="6:12" x14ac:dyDescent="0.25">
      <c r="F34">
        <v>7</v>
      </c>
      <c r="G34">
        <v>5475126.6771064997</v>
      </c>
      <c r="H34">
        <v>-4423376.6431591315</v>
      </c>
      <c r="I34">
        <v>-0.46748615888519485</v>
      </c>
      <c r="K34">
        <v>46.428571428571431</v>
      </c>
      <c r="L34">
        <v>1596326.35</v>
      </c>
    </row>
    <row r="35" spans="6:12" x14ac:dyDescent="0.25">
      <c r="F35">
        <v>8</v>
      </c>
      <c r="G35">
        <v>5322812.4065973349</v>
      </c>
      <c r="H35">
        <v>-4484648.6684942646</v>
      </c>
      <c r="I35">
        <v>-0.47396171502291062</v>
      </c>
      <c r="K35">
        <v>53.571428571428569</v>
      </c>
      <c r="L35">
        <v>1802422.5724999998</v>
      </c>
    </row>
    <row r="36" spans="6:12" x14ac:dyDescent="0.25">
      <c r="F36">
        <v>9</v>
      </c>
      <c r="G36">
        <v>5092831.5937903151</v>
      </c>
      <c r="H36">
        <v>9041895.6378067322</v>
      </c>
      <c r="I36">
        <v>0.95559600770062725</v>
      </c>
      <c r="K36">
        <v>60.714285714285715</v>
      </c>
      <c r="L36">
        <v>14134727.231597047</v>
      </c>
    </row>
    <row r="37" spans="6:12" x14ac:dyDescent="0.25">
      <c r="F37">
        <v>10</v>
      </c>
      <c r="G37">
        <v>19410016.447275028</v>
      </c>
      <c r="H37">
        <v>26150263.759598017</v>
      </c>
      <c r="I37">
        <v>2.7637000746285758</v>
      </c>
      <c r="K37">
        <v>67.857142857142861</v>
      </c>
      <c r="L37">
        <v>45560280.206873044</v>
      </c>
    </row>
    <row r="38" spans="6:12" x14ac:dyDescent="0.25">
      <c r="F38">
        <v>11</v>
      </c>
      <c r="G38">
        <v>53247740.855551787</v>
      </c>
      <c r="H38">
        <v>-1579185.012286447</v>
      </c>
      <c r="I38">
        <v>-0.16689673864977764</v>
      </c>
      <c r="K38">
        <v>75</v>
      </c>
      <c r="L38">
        <v>51668555.84326534</v>
      </c>
    </row>
    <row r="39" spans="6:12" x14ac:dyDescent="0.25">
      <c r="F39">
        <v>12</v>
      </c>
      <c r="G39">
        <v>59824877.231056362</v>
      </c>
      <c r="H39">
        <v>5231643.5435442328</v>
      </c>
      <c r="I39">
        <v>0.55290813831338437</v>
      </c>
      <c r="K39">
        <v>82.142857142857139</v>
      </c>
      <c r="L39">
        <v>65056520.774600595</v>
      </c>
    </row>
    <row r="40" spans="6:12" x14ac:dyDescent="0.25">
      <c r="F40">
        <v>13</v>
      </c>
      <c r="G40">
        <v>74240479.339652762</v>
      </c>
      <c r="H40">
        <v>7833699.5637496412</v>
      </c>
      <c r="I40">
        <v>0.82790736904160123</v>
      </c>
      <c r="K40">
        <v>89.285714285714292</v>
      </c>
      <c r="L40">
        <v>79857578.281177551</v>
      </c>
    </row>
    <row r="41" spans="6:12" ht="15.75" thickBot="1" x14ac:dyDescent="0.3">
      <c r="F41" s="1">
        <v>14</v>
      </c>
      <c r="G41" s="1">
        <v>92564383.656935781</v>
      </c>
      <c r="H41" s="1">
        <v>-12706805.375758231</v>
      </c>
      <c r="I41" s="1">
        <v>-1.3429233176428061</v>
      </c>
      <c r="K41" s="1">
        <v>96.428571428571431</v>
      </c>
      <c r="L41" s="1">
        <v>82074178.903402403</v>
      </c>
    </row>
  </sheetData>
  <sortState xmlns:xlrd2="http://schemas.microsoft.com/office/spreadsheetml/2017/richdata2" ref="L28:L41">
    <sortCondition ref="L28"/>
  </sortState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23AA4-3BC1-4D9C-A218-990C5F7C9891}">
  <dimension ref="A3:N31"/>
  <sheetViews>
    <sheetView workbookViewId="0">
      <selection activeCell="F6" sqref="F6:G11"/>
    </sheetView>
  </sheetViews>
  <sheetFormatPr defaultRowHeight="15" x14ac:dyDescent="0.25"/>
  <cols>
    <col min="1" max="1" width="5" bestFit="1" customWidth="1"/>
    <col min="6" max="6" width="17.5703125" bestFit="1" customWidth="1"/>
    <col min="7" max="7" width="13.140625" bestFit="1" customWidth="1"/>
  </cols>
  <sheetData>
    <row r="3" spans="1:11" x14ac:dyDescent="0.25">
      <c r="B3" t="s">
        <v>11</v>
      </c>
    </row>
    <row r="4" spans="1:11" x14ac:dyDescent="0.25">
      <c r="A4">
        <v>2000</v>
      </c>
      <c r="B4">
        <v>0</v>
      </c>
      <c r="F4" t="s">
        <v>17</v>
      </c>
    </row>
    <row r="5" spans="1:11" ht="15.75" thickBot="1" x14ac:dyDescent="0.3">
      <c r="A5">
        <v>2001</v>
      </c>
      <c r="B5">
        <v>0</v>
      </c>
      <c r="C5">
        <v>0</v>
      </c>
    </row>
    <row r="6" spans="1:11" x14ac:dyDescent="0.25">
      <c r="A6">
        <v>2002</v>
      </c>
      <c r="B6">
        <v>0</v>
      </c>
      <c r="C6">
        <v>0</v>
      </c>
      <c r="F6" s="3" t="s">
        <v>18</v>
      </c>
      <c r="G6" s="3"/>
    </row>
    <row r="7" spans="1:11" x14ac:dyDescent="0.25">
      <c r="A7">
        <v>2003</v>
      </c>
      <c r="B7">
        <v>0</v>
      </c>
      <c r="C7">
        <v>0</v>
      </c>
      <c r="F7" t="s">
        <v>19</v>
      </c>
      <c r="G7">
        <v>0.30995762198036259</v>
      </c>
    </row>
    <row r="8" spans="1:11" x14ac:dyDescent="0.25">
      <c r="A8">
        <v>2004</v>
      </c>
      <c r="B8">
        <v>0</v>
      </c>
      <c r="C8">
        <v>0</v>
      </c>
      <c r="F8" t="s">
        <v>20</v>
      </c>
      <c r="G8">
        <v>9.6073727423721361E-2</v>
      </c>
    </row>
    <row r="9" spans="1:11" x14ac:dyDescent="0.25">
      <c r="A9">
        <v>2005</v>
      </c>
      <c r="B9">
        <v>0</v>
      </c>
      <c r="C9">
        <v>0</v>
      </c>
      <c r="F9" t="s">
        <v>21</v>
      </c>
      <c r="G9">
        <v>-0.35588940886441794</v>
      </c>
    </row>
    <row r="10" spans="1:11" x14ac:dyDescent="0.25">
      <c r="A10">
        <v>2006</v>
      </c>
      <c r="B10">
        <v>0</v>
      </c>
      <c r="C10">
        <v>0</v>
      </c>
      <c r="F10" t="s">
        <v>22</v>
      </c>
      <c r="G10">
        <v>8876963.5263010599</v>
      </c>
    </row>
    <row r="11" spans="1:11" ht="15.75" thickBot="1" x14ac:dyDescent="0.3">
      <c r="A11">
        <v>2007</v>
      </c>
      <c r="B11">
        <v>0</v>
      </c>
      <c r="C11">
        <v>0</v>
      </c>
      <c r="F11" s="1" t="s">
        <v>23</v>
      </c>
      <c r="G11" s="1">
        <v>4</v>
      </c>
    </row>
    <row r="12" spans="1:11" x14ac:dyDescent="0.25">
      <c r="A12">
        <v>2008</v>
      </c>
      <c r="B12">
        <v>0</v>
      </c>
      <c r="C12">
        <v>0</v>
      </c>
    </row>
    <row r="13" spans="1:11" ht="15.75" thickBot="1" x14ac:dyDescent="0.3">
      <c r="A13">
        <v>2009</v>
      </c>
      <c r="B13">
        <v>0</v>
      </c>
      <c r="C13">
        <v>0</v>
      </c>
      <c r="F13" t="s">
        <v>24</v>
      </c>
    </row>
    <row r="14" spans="1:11" x14ac:dyDescent="0.25">
      <c r="A14">
        <v>2010</v>
      </c>
      <c r="B14">
        <v>0</v>
      </c>
      <c r="C14">
        <v>0</v>
      </c>
      <c r="F14" s="2"/>
      <c r="G14" s="2" t="s">
        <v>29</v>
      </c>
      <c r="H14" s="2" t="s">
        <v>30</v>
      </c>
      <c r="I14" s="2" t="s">
        <v>31</v>
      </c>
      <c r="J14" s="2" t="s">
        <v>32</v>
      </c>
      <c r="K14" s="2" t="s">
        <v>33</v>
      </c>
    </row>
    <row r="15" spans="1:11" x14ac:dyDescent="0.25">
      <c r="A15">
        <v>2011</v>
      </c>
      <c r="B15">
        <v>0</v>
      </c>
      <c r="C15">
        <v>0</v>
      </c>
      <c r="F15" t="s">
        <v>25</v>
      </c>
      <c r="G15">
        <v>1</v>
      </c>
      <c r="H15">
        <v>16750605010841.906</v>
      </c>
      <c r="I15">
        <v>16750605010841.906</v>
      </c>
      <c r="J15">
        <v>0.21256983083344133</v>
      </c>
      <c r="K15">
        <v>0.69004237801963741</v>
      </c>
    </row>
    <row r="16" spans="1:11" x14ac:dyDescent="0.25">
      <c r="A16">
        <v>2012</v>
      </c>
      <c r="B16">
        <v>0</v>
      </c>
      <c r="C16">
        <v>0</v>
      </c>
      <c r="F16" t="s">
        <v>26</v>
      </c>
      <c r="G16">
        <v>2</v>
      </c>
      <c r="H16">
        <v>157600962894558.72</v>
      </c>
      <c r="I16">
        <v>78800481447279.359</v>
      </c>
    </row>
    <row r="17" spans="1:14" ht="15.75" thickBot="1" x14ac:dyDescent="0.3">
      <c r="A17">
        <v>2013</v>
      </c>
      <c r="B17">
        <v>0</v>
      </c>
      <c r="C17">
        <v>0</v>
      </c>
      <c r="F17" s="1" t="s">
        <v>27</v>
      </c>
      <c r="G17" s="1">
        <v>3</v>
      </c>
      <c r="H17" s="1">
        <v>174351567905400.63</v>
      </c>
      <c r="I17" s="1"/>
      <c r="J17" s="1"/>
      <c r="K17" s="1"/>
    </row>
    <row r="18" spans="1:14" ht="15.75" thickBot="1" x14ac:dyDescent="0.3">
      <c r="A18">
        <v>2014</v>
      </c>
      <c r="B18">
        <v>0</v>
      </c>
      <c r="C18">
        <v>0</v>
      </c>
    </row>
    <row r="19" spans="1:14" x14ac:dyDescent="0.25">
      <c r="A19">
        <v>2015</v>
      </c>
      <c r="B19">
        <v>0</v>
      </c>
      <c r="C19">
        <v>0</v>
      </c>
      <c r="F19" s="2"/>
      <c r="G19" s="2" t="s">
        <v>34</v>
      </c>
      <c r="H19" s="2" t="s">
        <v>22</v>
      </c>
      <c r="I19" s="2" t="s">
        <v>35</v>
      </c>
      <c r="J19" s="2" t="s">
        <v>36</v>
      </c>
      <c r="K19" s="2" t="s">
        <v>37</v>
      </c>
      <c r="L19" s="2" t="s">
        <v>38</v>
      </c>
      <c r="M19" s="2" t="s">
        <v>39</v>
      </c>
      <c r="N19" s="2" t="s">
        <v>40</v>
      </c>
    </row>
    <row r="20" spans="1:14" x14ac:dyDescent="0.25">
      <c r="A20">
        <v>2016</v>
      </c>
      <c r="B20">
        <v>320876850.3015002</v>
      </c>
      <c r="C20">
        <v>0</v>
      </c>
      <c r="F20" t="s">
        <v>28</v>
      </c>
      <c r="G20">
        <v>470538092.58593565</v>
      </c>
      <c r="H20">
        <v>31691648.288088035</v>
      </c>
      <c r="I20">
        <v>14.847384658209689</v>
      </c>
      <c r="J20">
        <v>4.5056471075124675E-3</v>
      </c>
      <c r="K20">
        <v>334179935.56893373</v>
      </c>
      <c r="L20">
        <v>606896249.60293758</v>
      </c>
      <c r="M20">
        <v>334179935.56893373</v>
      </c>
      <c r="N20">
        <v>606896249.60293758</v>
      </c>
    </row>
    <row r="21" spans="1:14" ht="15.75" thickBot="1" x14ac:dyDescent="0.3">
      <c r="A21">
        <v>2017</v>
      </c>
      <c r="B21">
        <v>459080985.56667638</v>
      </c>
      <c r="C21">
        <v>320876850.3015002</v>
      </c>
      <c r="F21" s="1" t="s">
        <v>41</v>
      </c>
      <c r="G21" s="1">
        <v>-3.4054529637314847E-2</v>
      </c>
      <c r="H21" s="1">
        <v>7.386251185705818E-2</v>
      </c>
      <c r="I21" s="1">
        <v>-0.46105295881649133</v>
      </c>
      <c r="J21" s="1">
        <v>0.69004237801963741</v>
      </c>
      <c r="K21" s="1">
        <v>-0.35185926790523836</v>
      </c>
      <c r="L21" s="1">
        <v>0.28375020863060862</v>
      </c>
      <c r="M21" s="1">
        <v>-0.35185926790523836</v>
      </c>
      <c r="N21" s="1">
        <v>0.28375020863060862</v>
      </c>
    </row>
    <row r="22" spans="1:14" x14ac:dyDescent="0.25">
      <c r="A22">
        <v>2018</v>
      </c>
      <c r="B22">
        <v>455559619.02462643</v>
      </c>
      <c r="C22">
        <v>459080985.56667638</v>
      </c>
    </row>
    <row r="23" spans="1:14" x14ac:dyDescent="0.25">
      <c r="A23">
        <v>2019</v>
      </c>
      <c r="B23">
        <v>463818185.3418051</v>
      </c>
      <c r="C23">
        <v>455559619.02462643</v>
      </c>
    </row>
    <row r="24" spans="1:14" x14ac:dyDescent="0.25">
      <c r="A24">
        <v>2020</v>
      </c>
      <c r="B24">
        <v>445823504.48651975</v>
      </c>
      <c r="C24">
        <v>463818185.3418051</v>
      </c>
    </row>
    <row r="25" spans="1:14" x14ac:dyDescent="0.25">
      <c r="C25">
        <v>445823504.48651975</v>
      </c>
      <c r="F25" t="s">
        <v>42</v>
      </c>
      <c r="K25" t="s">
        <v>47</v>
      </c>
    </row>
    <row r="26" spans="1:14" ht="15.75" thickBot="1" x14ac:dyDescent="0.3"/>
    <row r="27" spans="1:14" x14ac:dyDescent="0.25">
      <c r="F27" s="2" t="s">
        <v>43</v>
      </c>
      <c r="G27" s="2" t="s">
        <v>44</v>
      </c>
      <c r="H27" s="2" t="s">
        <v>45</v>
      </c>
      <c r="I27" s="2" t="s">
        <v>46</v>
      </c>
      <c r="K27" s="2" t="s">
        <v>48</v>
      </c>
      <c r="L27" s="2" t="s">
        <v>49</v>
      </c>
    </row>
    <row r="28" spans="1:14" x14ac:dyDescent="0.25">
      <c r="F28">
        <v>1</v>
      </c>
      <c r="G28">
        <v>459610782.377415</v>
      </c>
      <c r="H28">
        <v>-529796.81073862314</v>
      </c>
      <c r="I28">
        <v>-7.3095481907665918E-2</v>
      </c>
      <c r="K28">
        <v>12.5</v>
      </c>
      <c r="L28">
        <v>445823504.48651975</v>
      </c>
    </row>
    <row r="29" spans="1:14" x14ac:dyDescent="0.25">
      <c r="F29">
        <v>2</v>
      </c>
      <c r="G29">
        <v>454904305.55702758</v>
      </c>
      <c r="H29">
        <v>655313.4675988555</v>
      </c>
      <c r="I29">
        <v>9.0412876679912269E-2</v>
      </c>
      <c r="K29">
        <v>37.5</v>
      </c>
      <c r="L29">
        <v>455559619.02462643</v>
      </c>
    </row>
    <row r="30" spans="1:14" x14ac:dyDescent="0.25">
      <c r="F30">
        <v>3</v>
      </c>
      <c r="G30">
        <v>455024224.03829765</v>
      </c>
      <c r="H30">
        <v>8793961.3035074472</v>
      </c>
      <c r="I30">
        <v>1.2132931462178422</v>
      </c>
      <c r="K30">
        <v>62.5</v>
      </c>
      <c r="L30">
        <v>459080985.56667638</v>
      </c>
    </row>
    <row r="31" spans="1:14" ht="15.75" thickBot="1" x14ac:dyDescent="0.3">
      <c r="F31" s="1">
        <v>4</v>
      </c>
      <c r="G31" s="1">
        <v>454742982.44688755</v>
      </c>
      <c r="H31" s="1">
        <v>-8919477.9603677988</v>
      </c>
      <c r="I31" s="1">
        <v>-1.2306105409901051</v>
      </c>
      <c r="K31" s="1">
        <v>87.5</v>
      </c>
      <c r="L31" s="1">
        <v>463818185.3418051</v>
      </c>
    </row>
  </sheetData>
  <sortState xmlns:xlrd2="http://schemas.microsoft.com/office/spreadsheetml/2017/richdata2" ref="L28:L31">
    <sortCondition ref="L28"/>
  </sortState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4E767-9B7D-43CD-A291-955BDC342DF8}">
  <dimension ref="A3:N39"/>
  <sheetViews>
    <sheetView topLeftCell="E1" workbookViewId="0">
      <selection activeCell="F6" sqref="F6:G11"/>
    </sheetView>
  </sheetViews>
  <sheetFormatPr defaultRowHeight="15" x14ac:dyDescent="0.25"/>
  <cols>
    <col min="1" max="1" width="5" bestFit="1" customWidth="1"/>
    <col min="6" max="6" width="17.5703125" bestFit="1" customWidth="1"/>
    <col min="7" max="7" width="12.42578125" bestFit="1" customWidth="1"/>
  </cols>
  <sheetData>
    <row r="3" spans="1:11" x14ac:dyDescent="0.25">
      <c r="B3" t="s">
        <v>12</v>
      </c>
    </row>
    <row r="4" spans="1:11" x14ac:dyDescent="0.25">
      <c r="A4">
        <v>2000</v>
      </c>
      <c r="B4">
        <v>0</v>
      </c>
      <c r="F4" t="s">
        <v>17</v>
      </c>
    </row>
    <row r="5" spans="1:11" ht="15.75" thickBot="1" x14ac:dyDescent="0.3">
      <c r="A5">
        <v>2001</v>
      </c>
      <c r="B5">
        <v>0</v>
      </c>
      <c r="C5">
        <v>0</v>
      </c>
    </row>
    <row r="6" spans="1:11" x14ac:dyDescent="0.25">
      <c r="A6">
        <v>2002</v>
      </c>
      <c r="B6">
        <v>0</v>
      </c>
      <c r="C6">
        <v>0</v>
      </c>
      <c r="F6" s="3" t="s">
        <v>18</v>
      </c>
      <c r="G6" s="3"/>
    </row>
    <row r="7" spans="1:11" x14ac:dyDescent="0.25">
      <c r="A7">
        <v>2003</v>
      </c>
      <c r="B7">
        <v>0</v>
      </c>
      <c r="C7">
        <v>0</v>
      </c>
      <c r="F7" t="s">
        <v>19</v>
      </c>
      <c r="G7">
        <v>0.96154702756530608</v>
      </c>
    </row>
    <row r="8" spans="1:11" x14ac:dyDescent="0.25">
      <c r="A8">
        <v>2004</v>
      </c>
      <c r="B8">
        <v>0</v>
      </c>
      <c r="C8">
        <v>0</v>
      </c>
      <c r="F8" t="s">
        <v>20</v>
      </c>
      <c r="G8">
        <v>0.92457268621967548</v>
      </c>
    </row>
    <row r="9" spans="1:11" x14ac:dyDescent="0.25">
      <c r="A9">
        <v>2005</v>
      </c>
      <c r="B9">
        <v>0</v>
      </c>
      <c r="C9">
        <v>0</v>
      </c>
      <c r="F9" t="s">
        <v>21</v>
      </c>
      <c r="G9">
        <v>0.91702995484164307</v>
      </c>
    </row>
    <row r="10" spans="1:11" x14ac:dyDescent="0.25">
      <c r="A10">
        <v>2006</v>
      </c>
      <c r="B10">
        <v>0</v>
      </c>
      <c r="C10">
        <v>0</v>
      </c>
      <c r="F10" t="s">
        <v>22</v>
      </c>
      <c r="G10">
        <v>1254253.5752473618</v>
      </c>
    </row>
    <row r="11" spans="1:11" ht="15.75" thickBot="1" x14ac:dyDescent="0.3">
      <c r="A11">
        <v>2007</v>
      </c>
      <c r="B11">
        <v>0</v>
      </c>
      <c r="C11">
        <v>0</v>
      </c>
      <c r="F11" s="1" t="s">
        <v>23</v>
      </c>
      <c r="G11" s="1">
        <v>12</v>
      </c>
    </row>
    <row r="12" spans="1:11" x14ac:dyDescent="0.25">
      <c r="A12">
        <v>2008</v>
      </c>
      <c r="B12">
        <v>9436.6315789473701</v>
      </c>
      <c r="C12">
        <v>0</v>
      </c>
    </row>
    <row r="13" spans="1:11" ht="15.75" thickBot="1" x14ac:dyDescent="0.3">
      <c r="A13">
        <v>2009</v>
      </c>
      <c r="B13">
        <v>15032.895438596493</v>
      </c>
      <c r="C13">
        <v>9436.6315789473701</v>
      </c>
      <c r="F13" t="s">
        <v>24</v>
      </c>
    </row>
    <row r="14" spans="1:11" x14ac:dyDescent="0.25">
      <c r="A14">
        <v>2010</v>
      </c>
      <c r="B14">
        <v>7007.8355259009822</v>
      </c>
      <c r="C14">
        <v>15032.895438596493</v>
      </c>
      <c r="F14" s="2"/>
      <c r="G14" s="2" t="s">
        <v>29</v>
      </c>
      <c r="H14" s="2" t="s">
        <v>30</v>
      </c>
      <c r="I14" s="2" t="s">
        <v>31</v>
      </c>
      <c r="J14" s="2" t="s">
        <v>32</v>
      </c>
      <c r="K14" s="2" t="s">
        <v>33</v>
      </c>
    </row>
    <row r="15" spans="1:11" x14ac:dyDescent="0.25">
      <c r="A15">
        <v>2011</v>
      </c>
      <c r="B15">
        <v>15317.590603642133</v>
      </c>
      <c r="C15">
        <v>7007.8355259009822</v>
      </c>
      <c r="F15" t="s">
        <v>25</v>
      </c>
      <c r="G15">
        <v>1</v>
      </c>
      <c r="H15">
        <v>192833779469983.03</v>
      </c>
      <c r="I15">
        <v>192833779469983.03</v>
      </c>
      <c r="J15">
        <v>122.57796809686394</v>
      </c>
      <c r="K15">
        <v>6.2067085787781804E-7</v>
      </c>
    </row>
    <row r="16" spans="1:11" x14ac:dyDescent="0.25">
      <c r="A16">
        <v>2012</v>
      </c>
      <c r="B16">
        <v>60837.389938961685</v>
      </c>
      <c r="C16">
        <v>15317.590603642133</v>
      </c>
      <c r="F16" t="s">
        <v>26</v>
      </c>
      <c r="G16">
        <v>10</v>
      </c>
      <c r="H16">
        <v>15731520310207.893</v>
      </c>
      <c r="I16">
        <v>1573152031020.7893</v>
      </c>
    </row>
    <row r="17" spans="1:14" ht="15.75" thickBot="1" x14ac:dyDescent="0.3">
      <c r="A17">
        <v>2013</v>
      </c>
      <c r="B17">
        <v>181340.93608095459</v>
      </c>
      <c r="C17">
        <v>60837.389938961685</v>
      </c>
      <c r="F17" s="1" t="s">
        <v>27</v>
      </c>
      <c r="G17" s="1">
        <v>11</v>
      </c>
      <c r="H17" s="1">
        <v>208565299780190.94</v>
      </c>
      <c r="I17" s="1"/>
      <c r="J17" s="1"/>
      <c r="K17" s="1"/>
    </row>
    <row r="18" spans="1:14" ht="15.75" thickBot="1" x14ac:dyDescent="0.3">
      <c r="A18">
        <v>2014</v>
      </c>
      <c r="B18">
        <v>349924.57230215997</v>
      </c>
      <c r="C18">
        <v>181340.93608095459</v>
      </c>
    </row>
    <row r="19" spans="1:14" x14ac:dyDescent="0.25">
      <c r="A19">
        <v>2015</v>
      </c>
      <c r="B19">
        <v>514653.5207172652</v>
      </c>
      <c r="C19">
        <v>349924.57230215997</v>
      </c>
      <c r="F19" s="2"/>
      <c r="G19" s="2" t="s">
        <v>34</v>
      </c>
      <c r="H19" s="2" t="s">
        <v>22</v>
      </c>
      <c r="I19" s="2" t="s">
        <v>35</v>
      </c>
      <c r="J19" s="2" t="s">
        <v>36</v>
      </c>
      <c r="K19" s="2" t="s">
        <v>37</v>
      </c>
      <c r="L19" s="2" t="s">
        <v>38</v>
      </c>
      <c r="M19" s="2" t="s">
        <v>39</v>
      </c>
      <c r="N19" s="2" t="s">
        <v>40</v>
      </c>
    </row>
    <row r="20" spans="1:14" x14ac:dyDescent="0.25">
      <c r="A20">
        <v>2016</v>
      </c>
      <c r="B20">
        <v>1545657.2710516718</v>
      </c>
      <c r="C20">
        <v>514653.5207172652</v>
      </c>
      <c r="F20" t="s">
        <v>28</v>
      </c>
      <c r="G20">
        <v>511233.10126538062</v>
      </c>
      <c r="H20">
        <v>420045.69337911817</v>
      </c>
      <c r="I20">
        <v>1.2170892579630854</v>
      </c>
      <c r="J20">
        <v>0.25151295708834542</v>
      </c>
      <c r="K20">
        <v>-424687.02776214632</v>
      </c>
      <c r="L20">
        <v>1447153.2302929075</v>
      </c>
      <c r="M20">
        <v>-424687.02776214632</v>
      </c>
      <c r="N20">
        <v>1447153.2302929075</v>
      </c>
    </row>
    <row r="21" spans="1:14" ht="15.75" thickBot="1" x14ac:dyDescent="0.3">
      <c r="A21">
        <v>2017</v>
      </c>
      <c r="B21">
        <v>2487800.8389640441</v>
      </c>
      <c r="C21">
        <v>1545657.2710516718</v>
      </c>
      <c r="F21" s="1" t="s">
        <v>41</v>
      </c>
      <c r="G21" s="1">
        <v>1.2616879988024001</v>
      </c>
      <c r="H21" s="1">
        <v>0.11395824781485478</v>
      </c>
      <c r="I21" s="1">
        <v>11.07149348989846</v>
      </c>
      <c r="J21" s="1">
        <v>6.2067085787781698E-7</v>
      </c>
      <c r="K21" s="1">
        <v>1.0077731993418422</v>
      </c>
      <c r="L21" s="1">
        <v>1.5156027982629581</v>
      </c>
      <c r="M21" s="1">
        <v>1.0077731993418422</v>
      </c>
      <c r="N21" s="1">
        <v>1.5156027982629581</v>
      </c>
    </row>
    <row r="22" spans="1:14" x14ac:dyDescent="0.25">
      <c r="A22">
        <v>2018</v>
      </c>
      <c r="B22">
        <v>6959716.6980569791</v>
      </c>
      <c r="C22">
        <v>2487800.8389640441</v>
      </c>
    </row>
    <row r="23" spans="1:14" x14ac:dyDescent="0.25">
      <c r="A23">
        <v>2019</v>
      </c>
      <c r="B23">
        <v>10275960.501184968</v>
      </c>
      <c r="C23">
        <v>6959716.6980569791</v>
      </c>
    </row>
    <row r="24" spans="1:14" x14ac:dyDescent="0.25">
      <c r="A24">
        <v>2020</v>
      </c>
      <c r="B24">
        <v>12011981.852203855</v>
      </c>
      <c r="C24">
        <v>10275960.501184968</v>
      </c>
    </row>
    <row r="25" spans="1:14" x14ac:dyDescent="0.25">
      <c r="C25">
        <v>12011981.852203855</v>
      </c>
      <c r="F25" t="s">
        <v>42</v>
      </c>
      <c r="K25" t="s">
        <v>47</v>
      </c>
    </row>
    <row r="26" spans="1:14" ht="15.75" thickBot="1" x14ac:dyDescent="0.3"/>
    <row r="27" spans="1:14" x14ac:dyDescent="0.25">
      <c r="F27" s="2" t="s">
        <v>43</v>
      </c>
      <c r="G27" s="2" t="s">
        <v>44</v>
      </c>
      <c r="H27" s="2" t="s">
        <v>45</v>
      </c>
      <c r="I27" s="2" t="s">
        <v>46</v>
      </c>
      <c r="K27" s="2" t="s">
        <v>48</v>
      </c>
      <c r="L27" s="2" t="s">
        <v>49</v>
      </c>
    </row>
    <row r="28" spans="1:14" x14ac:dyDescent="0.25">
      <c r="F28">
        <v>1</v>
      </c>
      <c r="G28">
        <v>523139.18607765826</v>
      </c>
      <c r="H28">
        <v>-508106.29063906177</v>
      </c>
      <c r="I28">
        <v>-0.42487929390838186</v>
      </c>
      <c r="K28">
        <v>4.166666666666667</v>
      </c>
      <c r="L28">
        <v>7007.8355259009822</v>
      </c>
    </row>
    <row r="29" spans="1:14" x14ac:dyDescent="0.25">
      <c r="F29">
        <v>2</v>
      </c>
      <c r="G29">
        <v>530199.92502750922</v>
      </c>
      <c r="H29">
        <v>-523192.08950160822</v>
      </c>
      <c r="I29">
        <v>-0.43749406307548072</v>
      </c>
      <c r="K29">
        <v>12.5</v>
      </c>
      <c r="L29">
        <v>15032.895438596493</v>
      </c>
    </row>
    <row r="30" spans="1:14" x14ac:dyDescent="0.25">
      <c r="F30">
        <v>3</v>
      </c>
      <c r="G30">
        <v>520074.803245991</v>
      </c>
      <c r="H30">
        <v>-504757.2126423489</v>
      </c>
      <c r="I30">
        <v>-0.42207878952435274</v>
      </c>
      <c r="K30">
        <v>20.833333333333336</v>
      </c>
      <c r="L30">
        <v>15317.590603642133</v>
      </c>
    </row>
    <row r="31" spans="1:14" x14ac:dyDescent="0.25">
      <c r="F31">
        <v>4</v>
      </c>
      <c r="G31">
        <v>530559.12150056427</v>
      </c>
      <c r="H31">
        <v>-469721.73156160256</v>
      </c>
      <c r="I31">
        <v>-0.39278206413918665</v>
      </c>
      <c r="K31">
        <v>29.166666666666668</v>
      </c>
      <c r="L31">
        <v>60837.389938961685</v>
      </c>
    </row>
    <row r="32" spans="1:14" x14ac:dyDescent="0.25">
      <c r="F32">
        <v>5</v>
      </c>
      <c r="G32">
        <v>587990.90602983045</v>
      </c>
      <c r="H32">
        <v>-406649.96994887583</v>
      </c>
      <c r="I32">
        <v>-0.34004135607617775</v>
      </c>
      <c r="K32">
        <v>37.5</v>
      </c>
      <c r="L32">
        <v>181340.93608095459</v>
      </c>
    </row>
    <row r="33" spans="6:12" x14ac:dyDescent="0.25">
      <c r="F33">
        <v>6</v>
      </c>
      <c r="G33">
        <v>740028.78401031415</v>
      </c>
      <c r="H33">
        <v>-390104.21170815418</v>
      </c>
      <c r="I33">
        <v>-0.3262057665390854</v>
      </c>
      <c r="K33">
        <v>45.833333333333336</v>
      </c>
      <c r="L33">
        <v>349924.57230215997</v>
      </c>
    </row>
    <row r="34" spans="6:12" x14ac:dyDescent="0.25">
      <c r="F34">
        <v>7</v>
      </c>
      <c r="G34">
        <v>952728.73462507862</v>
      </c>
      <c r="H34">
        <v>-438075.21390781342</v>
      </c>
      <c r="I34">
        <v>-0.36631919539869212</v>
      </c>
      <c r="K34">
        <v>54.166666666666664</v>
      </c>
      <c r="L34">
        <v>514653.5207172652</v>
      </c>
    </row>
    <row r="35" spans="6:12" x14ac:dyDescent="0.25">
      <c r="F35">
        <v>8</v>
      </c>
      <c r="G35">
        <v>1160565.2718957565</v>
      </c>
      <c r="H35">
        <v>385091.99915591534</v>
      </c>
      <c r="I35">
        <v>0.32201454637639954</v>
      </c>
      <c r="K35">
        <v>62.5</v>
      </c>
      <c r="L35">
        <v>1545657.2710516718</v>
      </c>
    </row>
    <row r="36" spans="6:12" x14ac:dyDescent="0.25">
      <c r="F36">
        <v>9</v>
      </c>
      <c r="G36">
        <v>2461370.3304129434</v>
      </c>
      <c r="H36">
        <v>26430.508551100735</v>
      </c>
      <c r="I36">
        <v>2.2101233575965131E-2</v>
      </c>
      <c r="K36">
        <v>70.833333333333343</v>
      </c>
      <c r="L36">
        <v>2487800.8389640441</v>
      </c>
    </row>
    <row r="37" spans="6:12" x14ac:dyDescent="0.25">
      <c r="F37">
        <v>10</v>
      </c>
      <c r="G37">
        <v>3650061.5631968575</v>
      </c>
      <c r="H37">
        <v>3309655.1348601216</v>
      </c>
      <c r="I37">
        <v>2.7675389238164922</v>
      </c>
      <c r="K37">
        <v>79.166666666666671</v>
      </c>
      <c r="L37">
        <v>6959716.6980569791</v>
      </c>
    </row>
    <row r="38" spans="6:12" x14ac:dyDescent="0.25">
      <c r="F38">
        <v>11</v>
      </c>
      <c r="G38">
        <v>9292224.134268539</v>
      </c>
      <c r="H38">
        <v>983736.36691642925</v>
      </c>
      <c r="I38">
        <v>0.8226019253604514</v>
      </c>
      <c r="K38">
        <v>87.500000000000014</v>
      </c>
      <c r="L38">
        <v>10275960.501184968</v>
      </c>
    </row>
    <row r="39" spans="6:12" ht="15.75" thickBot="1" x14ac:dyDescent="0.3">
      <c r="F39" s="1">
        <v>12</v>
      </c>
      <c r="G39" s="1">
        <v>13476289.141777951</v>
      </c>
      <c r="H39" s="1">
        <v>-1464307.289574096</v>
      </c>
      <c r="I39" s="1">
        <v>-1.224456100467946</v>
      </c>
      <c r="K39" s="1">
        <v>95.833333333333343</v>
      </c>
      <c r="L39" s="1">
        <v>12011981.852203855</v>
      </c>
    </row>
  </sheetData>
  <sortState xmlns:xlrd2="http://schemas.microsoft.com/office/spreadsheetml/2017/richdata2" ref="L28:L39">
    <sortCondition ref="L28"/>
  </sortState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47BEC-9CB5-4E54-BB11-9ECDF03894E0}">
  <dimension ref="A3:N47"/>
  <sheetViews>
    <sheetView workbookViewId="0">
      <selection activeCell="F6" sqref="F6:G11"/>
    </sheetView>
  </sheetViews>
  <sheetFormatPr defaultRowHeight="15" x14ac:dyDescent="0.25"/>
  <cols>
    <col min="1" max="1" width="5" bestFit="1" customWidth="1"/>
    <col min="6" max="6" width="17.5703125" bestFit="1" customWidth="1"/>
    <col min="7" max="7" width="12.42578125" bestFit="1" customWidth="1"/>
  </cols>
  <sheetData>
    <row r="3" spans="1:11" x14ac:dyDescent="0.25">
      <c r="B3" t="s">
        <v>13</v>
      </c>
    </row>
    <row r="4" spans="1:11" x14ac:dyDescent="0.25">
      <c r="A4">
        <v>2000</v>
      </c>
      <c r="B4">
        <v>20888757.51754386</v>
      </c>
      <c r="F4" t="s">
        <v>17</v>
      </c>
    </row>
    <row r="5" spans="1:11" ht="15.75" thickBot="1" x14ac:dyDescent="0.3">
      <c r="A5">
        <v>2001</v>
      </c>
      <c r="B5">
        <v>23446088.279385965</v>
      </c>
      <c r="C5">
        <v>20888757.51754386</v>
      </c>
    </row>
    <row r="6" spans="1:11" x14ac:dyDescent="0.25">
      <c r="A6">
        <v>2002</v>
      </c>
      <c r="B6">
        <v>67753162.671099514</v>
      </c>
      <c r="C6">
        <v>23446088.279385965</v>
      </c>
      <c r="F6" s="3" t="s">
        <v>18</v>
      </c>
      <c r="G6" s="3"/>
    </row>
    <row r="7" spans="1:11" x14ac:dyDescent="0.25">
      <c r="A7">
        <v>2003</v>
      </c>
      <c r="B7">
        <v>74823326.876657188</v>
      </c>
      <c r="C7">
        <v>67753162.671099514</v>
      </c>
      <c r="F7" t="s">
        <v>19</v>
      </c>
      <c r="G7">
        <v>0.80544804762055611</v>
      </c>
    </row>
    <row r="8" spans="1:11" x14ac:dyDescent="0.25">
      <c r="A8">
        <v>2004</v>
      </c>
      <c r="B8">
        <v>82156425.247354388</v>
      </c>
      <c r="C8">
        <v>74823326.876657188</v>
      </c>
      <c r="F8" t="s">
        <v>20</v>
      </c>
      <c r="G8">
        <v>0.6487465574157657</v>
      </c>
    </row>
    <row r="9" spans="1:11" x14ac:dyDescent="0.25">
      <c r="A9">
        <v>2005</v>
      </c>
      <c r="B9">
        <v>85718419.53491953</v>
      </c>
      <c r="C9">
        <v>82156425.247354388</v>
      </c>
      <c r="F9" t="s">
        <v>21</v>
      </c>
      <c r="G9">
        <v>0.62923247727219711</v>
      </c>
    </row>
    <row r="10" spans="1:11" x14ac:dyDescent="0.25">
      <c r="A10">
        <v>2006</v>
      </c>
      <c r="B10">
        <v>83892402.907327384</v>
      </c>
      <c r="C10">
        <v>85718419.53491953</v>
      </c>
      <c r="F10" t="s">
        <v>22</v>
      </c>
      <c r="G10">
        <v>19747573.853468895</v>
      </c>
    </row>
    <row r="11" spans="1:11" ht="15.75" thickBot="1" x14ac:dyDescent="0.3">
      <c r="A11">
        <v>2007</v>
      </c>
      <c r="B11">
        <v>85888544.02203387</v>
      </c>
      <c r="C11">
        <v>83892402.907327384</v>
      </c>
      <c r="F11" s="1" t="s">
        <v>23</v>
      </c>
      <c r="G11" s="1">
        <v>20</v>
      </c>
    </row>
    <row r="12" spans="1:11" x14ac:dyDescent="0.25">
      <c r="A12">
        <v>2008</v>
      </c>
      <c r="B12">
        <v>102825622.13488758</v>
      </c>
      <c r="C12">
        <v>85888544.02203387</v>
      </c>
    </row>
    <row r="13" spans="1:11" ht="15.75" thickBot="1" x14ac:dyDescent="0.3">
      <c r="A13">
        <v>2009</v>
      </c>
      <c r="B13">
        <v>115113933.70078091</v>
      </c>
      <c r="C13">
        <v>102825622.13488758</v>
      </c>
      <c r="F13" t="s">
        <v>24</v>
      </c>
    </row>
    <row r="14" spans="1:11" x14ac:dyDescent="0.25">
      <c r="A14">
        <v>2010</v>
      </c>
      <c r="B14">
        <v>110872800.30737072</v>
      </c>
      <c r="C14">
        <v>115113933.70078091</v>
      </c>
      <c r="F14" s="2"/>
      <c r="G14" s="2" t="s">
        <v>29</v>
      </c>
      <c r="H14" s="2" t="s">
        <v>30</v>
      </c>
      <c r="I14" s="2" t="s">
        <v>31</v>
      </c>
      <c r="J14" s="2" t="s">
        <v>32</v>
      </c>
      <c r="K14" s="2" t="s">
        <v>33</v>
      </c>
    </row>
    <row r="15" spans="1:11" x14ac:dyDescent="0.25">
      <c r="A15">
        <v>2011</v>
      </c>
      <c r="B15">
        <v>157250570.88601673</v>
      </c>
      <c r="C15">
        <v>110872800.30737072</v>
      </c>
      <c r="F15" t="s">
        <v>25</v>
      </c>
      <c r="G15">
        <v>1</v>
      </c>
      <c r="H15">
        <v>1.2964461292464352E+16</v>
      </c>
      <c r="I15">
        <v>1.2964461292464352E+16</v>
      </c>
      <c r="J15">
        <v>33.245049351177272</v>
      </c>
      <c r="K15">
        <v>1.8268672609955791E-5</v>
      </c>
    </row>
    <row r="16" spans="1:11" x14ac:dyDescent="0.25">
      <c r="A16">
        <v>2012</v>
      </c>
      <c r="B16">
        <v>123609468.01898211</v>
      </c>
      <c r="C16">
        <v>157250570.88601673</v>
      </c>
      <c r="F16" t="s">
        <v>26</v>
      </c>
      <c r="G16">
        <v>18</v>
      </c>
      <c r="H16">
        <v>7019400115767751</v>
      </c>
      <c r="I16">
        <v>389966673098208.38</v>
      </c>
    </row>
    <row r="17" spans="1:14" ht="15.75" thickBot="1" x14ac:dyDescent="0.3">
      <c r="A17">
        <v>2013</v>
      </c>
      <c r="B17">
        <v>123120221.73499703</v>
      </c>
      <c r="C17">
        <v>123609468.01898211</v>
      </c>
      <c r="F17" s="1" t="s">
        <v>27</v>
      </c>
      <c r="G17" s="1">
        <v>19</v>
      </c>
      <c r="H17" s="1">
        <v>1.9983861408232104E+16</v>
      </c>
      <c r="I17" s="1"/>
      <c r="J17" s="1"/>
      <c r="K17" s="1"/>
    </row>
    <row r="18" spans="1:14" ht="15.75" thickBot="1" x14ac:dyDescent="0.3">
      <c r="A18">
        <v>2014</v>
      </c>
      <c r="B18">
        <v>119703177.4361579</v>
      </c>
      <c r="C18">
        <v>123120221.73499703</v>
      </c>
    </row>
    <row r="19" spans="1:14" x14ac:dyDescent="0.25">
      <c r="A19">
        <v>2015</v>
      </c>
      <c r="B19">
        <v>72453269.549125701</v>
      </c>
      <c r="C19">
        <v>119703177.4361579</v>
      </c>
      <c r="F19" s="2"/>
      <c r="G19" s="2" t="s">
        <v>34</v>
      </c>
      <c r="H19" s="2" t="s">
        <v>22</v>
      </c>
      <c r="I19" s="2" t="s">
        <v>35</v>
      </c>
      <c r="J19" s="2" t="s">
        <v>36</v>
      </c>
      <c r="K19" s="2" t="s">
        <v>37</v>
      </c>
      <c r="L19" s="2" t="s">
        <v>38</v>
      </c>
      <c r="M19" s="2" t="s">
        <v>39</v>
      </c>
      <c r="N19" s="2" t="s">
        <v>40</v>
      </c>
    </row>
    <row r="20" spans="1:14" x14ac:dyDescent="0.25">
      <c r="A20">
        <v>2016</v>
      </c>
      <c r="B20">
        <v>49638967.158254378</v>
      </c>
      <c r="C20">
        <v>72453269.549125701</v>
      </c>
      <c r="F20" t="s">
        <v>28</v>
      </c>
      <c r="G20">
        <v>23337254.48128742</v>
      </c>
      <c r="H20">
        <v>11629570.700586993</v>
      </c>
      <c r="I20">
        <v>2.0067167638535008</v>
      </c>
      <c r="J20">
        <v>6.0040510560747815E-2</v>
      </c>
      <c r="K20">
        <v>-1095566.9221171997</v>
      </c>
      <c r="L20">
        <v>47770075.884692043</v>
      </c>
      <c r="M20">
        <v>-1095566.9221171997</v>
      </c>
      <c r="N20">
        <v>47770075.884692043</v>
      </c>
    </row>
    <row r="21" spans="1:14" ht="15.75" thickBot="1" x14ac:dyDescent="0.3">
      <c r="A21">
        <v>2017</v>
      </c>
      <c r="B21">
        <v>52064037.488535091</v>
      </c>
      <c r="C21">
        <v>49638967.158254378</v>
      </c>
      <c r="F21" s="1" t="s">
        <v>41</v>
      </c>
      <c r="G21" s="1">
        <v>0.7437913438270316</v>
      </c>
      <c r="H21" s="1">
        <v>0.12899938172135744</v>
      </c>
      <c r="I21" s="1">
        <v>5.7658520056603324</v>
      </c>
      <c r="J21" s="1">
        <v>1.8268672609955757E-5</v>
      </c>
      <c r="K21" s="1">
        <v>0.47277369959116489</v>
      </c>
      <c r="L21" s="1">
        <v>1.0148089880628983</v>
      </c>
      <c r="M21" s="1">
        <v>0.47277369959116489</v>
      </c>
      <c r="N21" s="1">
        <v>1.0148089880628983</v>
      </c>
    </row>
    <row r="22" spans="1:14" x14ac:dyDescent="0.25">
      <c r="A22">
        <v>2018</v>
      </c>
      <c r="B22">
        <v>56898909.745938599</v>
      </c>
      <c r="C22">
        <v>52064037.488535091</v>
      </c>
    </row>
    <row r="23" spans="1:14" x14ac:dyDescent="0.25">
      <c r="A23">
        <v>2019</v>
      </c>
      <c r="B23">
        <v>59897866.107681289</v>
      </c>
      <c r="C23">
        <v>56898909.745938599</v>
      </c>
    </row>
    <row r="24" spans="1:14" x14ac:dyDescent="0.25">
      <c r="A24">
        <v>2020</v>
      </c>
      <c r="B24">
        <v>60273716.65505264</v>
      </c>
      <c r="C24">
        <v>59897866.107681289</v>
      </c>
    </row>
    <row r="25" spans="1:14" x14ac:dyDescent="0.25">
      <c r="C25">
        <v>60273716.65505264</v>
      </c>
      <c r="F25" t="s">
        <v>42</v>
      </c>
      <c r="K25" t="s">
        <v>47</v>
      </c>
    </row>
    <row r="26" spans="1:14" ht="15.75" thickBot="1" x14ac:dyDescent="0.3"/>
    <row r="27" spans="1:14" x14ac:dyDescent="0.25">
      <c r="F27" s="2" t="s">
        <v>43</v>
      </c>
      <c r="G27" s="2" t="s">
        <v>44</v>
      </c>
      <c r="H27" s="2" t="s">
        <v>45</v>
      </c>
      <c r="I27" s="2" t="s">
        <v>46</v>
      </c>
      <c r="K27" s="2" t="s">
        <v>48</v>
      </c>
      <c r="L27" s="2" t="s">
        <v>49</v>
      </c>
    </row>
    <row r="28" spans="1:14" x14ac:dyDescent="0.25">
      <c r="F28">
        <v>1</v>
      </c>
      <c r="G28">
        <v>38874131.506138377</v>
      </c>
      <c r="H28">
        <v>-15428043.226752412</v>
      </c>
      <c r="I28">
        <v>-0.80267114001869255</v>
      </c>
      <c r="K28">
        <v>2.5</v>
      </c>
      <c r="L28">
        <v>23446088.279385965</v>
      </c>
    </row>
    <row r="29" spans="1:14" x14ac:dyDescent="0.25">
      <c r="F29">
        <v>2</v>
      </c>
      <c r="G29">
        <v>40776251.990099117</v>
      </c>
      <c r="H29">
        <v>26976910.681000397</v>
      </c>
      <c r="I29">
        <v>1.403521323621485</v>
      </c>
      <c r="K29">
        <v>7.5</v>
      </c>
      <c r="L29">
        <v>49638967.158254378</v>
      </c>
    </row>
    <row r="30" spans="1:14" x14ac:dyDescent="0.25">
      <c r="F30">
        <v>3</v>
      </c>
      <c r="G30">
        <v>73731470.392956004</v>
      </c>
      <c r="H30">
        <v>1091856.4837011844</v>
      </c>
      <c r="I30">
        <v>5.6805757906455673E-2</v>
      </c>
      <c r="K30">
        <v>12.5</v>
      </c>
      <c r="L30">
        <v>52064037.488535091</v>
      </c>
    </row>
    <row r="31" spans="1:14" x14ac:dyDescent="0.25">
      <c r="F31">
        <v>4</v>
      </c>
      <c r="G31">
        <v>78990197.328485519</v>
      </c>
      <c r="H31">
        <v>3166227.9188688695</v>
      </c>
      <c r="I31">
        <v>0.16472858779593</v>
      </c>
      <c r="K31">
        <v>17.5</v>
      </c>
      <c r="L31">
        <v>56898909.745938599</v>
      </c>
    </row>
    <row r="32" spans="1:14" x14ac:dyDescent="0.25">
      <c r="F32">
        <v>5</v>
      </c>
      <c r="G32">
        <v>84444492.420042217</v>
      </c>
      <c r="H32">
        <v>1273927.1148773134</v>
      </c>
      <c r="I32">
        <v>6.6278303383684622E-2</v>
      </c>
      <c r="K32">
        <v>22.5</v>
      </c>
      <c r="L32">
        <v>59897866.107681289</v>
      </c>
    </row>
    <row r="33" spans="6:12" x14ac:dyDescent="0.25">
      <c r="F33">
        <v>6</v>
      </c>
      <c r="G33">
        <v>87093872.937894493</v>
      </c>
      <c r="H33">
        <v>-3201470.0305671096</v>
      </c>
      <c r="I33">
        <v>-0.16656212076947269</v>
      </c>
      <c r="K33">
        <v>27.5</v>
      </c>
      <c r="L33">
        <v>60273716.65505264</v>
      </c>
    </row>
    <row r="34" spans="6:12" x14ac:dyDescent="0.25">
      <c r="F34">
        <v>7</v>
      </c>
      <c r="G34">
        <v>85735697.576607227</v>
      </c>
      <c r="H34">
        <v>152846.44542664289</v>
      </c>
      <c r="I34">
        <v>7.9521057074607056E-3</v>
      </c>
      <c r="K34">
        <v>32.5</v>
      </c>
      <c r="L34">
        <v>67753162.671099514</v>
      </c>
    </row>
    <row r="35" spans="6:12" x14ac:dyDescent="0.25">
      <c r="F35">
        <v>8</v>
      </c>
      <c r="G35">
        <v>87220410.058783144</v>
      </c>
      <c r="H35">
        <v>15605212.076104432</v>
      </c>
      <c r="I35">
        <v>0.81188866165737938</v>
      </c>
      <c r="K35">
        <v>37.5</v>
      </c>
      <c r="L35">
        <v>72453269.549125701</v>
      </c>
    </row>
    <row r="36" spans="6:12" x14ac:dyDescent="0.25">
      <c r="F36">
        <v>9</v>
      </c>
      <c r="G36">
        <v>99818062.148846015</v>
      </c>
      <c r="H36">
        <v>15295871.551934898</v>
      </c>
      <c r="I36">
        <v>0.79579467569041062</v>
      </c>
      <c r="K36">
        <v>42.5</v>
      </c>
      <c r="L36">
        <v>74823326.876657188</v>
      </c>
    </row>
    <row r="37" spans="6:12" x14ac:dyDescent="0.25">
      <c r="F37">
        <v>10</v>
      </c>
      <c r="G37">
        <v>108958001.92180708</v>
      </c>
      <c r="H37">
        <v>1914798.3855636418</v>
      </c>
      <c r="I37">
        <v>9.9620760744384265E-2</v>
      </c>
      <c r="K37">
        <v>47.5</v>
      </c>
      <c r="L37">
        <v>82156425.247354388</v>
      </c>
    </row>
    <row r="38" spans="6:12" x14ac:dyDescent="0.25">
      <c r="F38">
        <v>11</v>
      </c>
      <c r="G38">
        <v>105803483.61577281</v>
      </c>
      <c r="H38">
        <v>51447087.270243913</v>
      </c>
      <c r="I38">
        <v>2.6766253881270998</v>
      </c>
      <c r="K38">
        <v>52.5</v>
      </c>
      <c r="L38">
        <v>83892402.907327384</v>
      </c>
    </row>
    <row r="39" spans="6:12" x14ac:dyDescent="0.25">
      <c r="F39">
        <v>12</v>
      </c>
      <c r="G39">
        <v>140298867.91816568</v>
      </c>
      <c r="H39">
        <v>-16689399.899183571</v>
      </c>
      <c r="I39">
        <v>-0.8682954439793461</v>
      </c>
      <c r="K39">
        <v>57.5</v>
      </c>
      <c r="L39">
        <v>85718419.53491953</v>
      </c>
    </row>
    <row r="40" spans="6:12" x14ac:dyDescent="0.25">
      <c r="F40">
        <v>13</v>
      </c>
      <c r="G40">
        <v>115276906.80887061</v>
      </c>
      <c r="H40">
        <v>7843314.9261264205</v>
      </c>
      <c r="I40">
        <v>0.40806228247810916</v>
      </c>
      <c r="K40">
        <v>62.5</v>
      </c>
      <c r="L40">
        <v>85888544.02203387</v>
      </c>
    </row>
    <row r="41" spans="6:12" x14ac:dyDescent="0.25">
      <c r="F41">
        <v>14</v>
      </c>
      <c r="G41">
        <v>114913009.65784296</v>
      </c>
      <c r="H41">
        <v>4790167.7783149332</v>
      </c>
      <c r="I41">
        <v>0.2492169210955866</v>
      </c>
      <c r="K41">
        <v>67.5</v>
      </c>
      <c r="L41">
        <v>102825622.13488758</v>
      </c>
    </row>
    <row r="42" spans="6:12" x14ac:dyDescent="0.25">
      <c r="F42">
        <v>15</v>
      </c>
      <c r="G42">
        <v>112371441.68689291</v>
      </c>
      <c r="H42">
        <v>-39918172.137767211</v>
      </c>
      <c r="I42">
        <v>-2.0768132592294175</v>
      </c>
      <c r="K42">
        <v>72.5</v>
      </c>
      <c r="L42">
        <v>110872800.30737072</v>
      </c>
    </row>
    <row r="43" spans="6:12" x14ac:dyDescent="0.25">
      <c r="F43">
        <v>16</v>
      </c>
      <c r="G43">
        <v>77227369.203893781</v>
      </c>
      <c r="H43">
        <v>-27588402.045639403</v>
      </c>
      <c r="I43">
        <v>-1.4353352395894723</v>
      </c>
      <c r="K43">
        <v>77.5</v>
      </c>
      <c r="L43">
        <v>115113933.70078091</v>
      </c>
    </row>
    <row r="44" spans="6:12" x14ac:dyDescent="0.25">
      <c r="F44">
        <v>17</v>
      </c>
      <c r="G44">
        <v>60258288.570111334</v>
      </c>
      <c r="H44">
        <v>-8194251.081576243</v>
      </c>
      <c r="I44">
        <v>-0.42632035447263394</v>
      </c>
      <c r="K44">
        <v>82.5</v>
      </c>
      <c r="L44">
        <v>119703177.4361579</v>
      </c>
    </row>
    <row r="45" spans="6:12" x14ac:dyDescent="0.25">
      <c r="F45">
        <v>18</v>
      </c>
      <c r="G45">
        <v>62062034.889945887</v>
      </c>
      <c r="H45">
        <v>-5163125.1440072879</v>
      </c>
      <c r="I45">
        <v>-0.26862068536424988</v>
      </c>
      <c r="K45">
        <v>87.5</v>
      </c>
      <c r="L45">
        <v>123120221.73499703</v>
      </c>
    </row>
    <row r="46" spans="6:12" x14ac:dyDescent="0.25">
      <c r="F46">
        <v>19</v>
      </c>
      <c r="G46">
        <v>65658171.023512073</v>
      </c>
      <c r="H46">
        <v>-5760304.9158307835</v>
      </c>
      <c r="I46">
        <v>-0.29969001549255081</v>
      </c>
      <c r="K46">
        <v>92.5</v>
      </c>
      <c r="L46">
        <v>123609468.01898211</v>
      </c>
    </row>
    <row r="47" spans="6:12" ht="15.75" thickBot="1" x14ac:dyDescent="0.3">
      <c r="F47" s="1">
        <v>20</v>
      </c>
      <c r="G47" s="1">
        <v>67888768.805891305</v>
      </c>
      <c r="H47" s="1">
        <v>-7615052.1508386657</v>
      </c>
      <c r="I47" s="1">
        <v>-0.3961865092921521</v>
      </c>
      <c r="K47" s="1">
        <v>97.5</v>
      </c>
      <c r="L47" s="1">
        <v>157250570.88601673</v>
      </c>
    </row>
  </sheetData>
  <sortState xmlns:xlrd2="http://schemas.microsoft.com/office/spreadsheetml/2017/richdata2" ref="L28:L47">
    <sortCondition ref="L28"/>
  </sortState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3715E-F22F-49EB-958F-02EB13EF470C}">
  <dimension ref="A3:N47"/>
  <sheetViews>
    <sheetView workbookViewId="0">
      <selection activeCell="F6" sqref="F6:G11"/>
    </sheetView>
  </sheetViews>
  <sheetFormatPr defaultRowHeight="15" x14ac:dyDescent="0.25"/>
  <cols>
    <col min="1" max="1" width="5" bestFit="1" customWidth="1"/>
    <col min="6" max="6" width="17.5703125" bestFit="1" customWidth="1"/>
    <col min="7" max="7" width="12.42578125" bestFit="1" customWidth="1"/>
  </cols>
  <sheetData>
    <row r="3" spans="1:11" x14ac:dyDescent="0.25">
      <c r="B3" t="s">
        <v>14</v>
      </c>
    </row>
    <row r="4" spans="1:11" x14ac:dyDescent="0.25">
      <c r="A4">
        <v>2000</v>
      </c>
      <c r="B4">
        <v>804259.78947368416</v>
      </c>
      <c r="F4" t="s">
        <v>17</v>
      </c>
    </row>
    <row r="5" spans="1:11" ht="15.75" thickBot="1" x14ac:dyDescent="0.3">
      <c r="A5">
        <v>2001</v>
      </c>
      <c r="B5">
        <v>814409.56736842101</v>
      </c>
      <c r="C5">
        <v>804259.78947368416</v>
      </c>
    </row>
    <row r="6" spans="1:11" x14ac:dyDescent="0.25">
      <c r="A6">
        <v>2002</v>
      </c>
      <c r="B6">
        <v>791281.72789473692</v>
      </c>
      <c r="C6">
        <v>814409.56736842101</v>
      </c>
      <c r="F6" s="3" t="s">
        <v>18</v>
      </c>
      <c r="G6" s="3"/>
    </row>
    <row r="7" spans="1:11" x14ac:dyDescent="0.25">
      <c r="A7">
        <v>2003</v>
      </c>
      <c r="B7">
        <v>745679.86605263175</v>
      </c>
      <c r="C7">
        <v>791281.72789473692</v>
      </c>
      <c r="F7" t="s">
        <v>19</v>
      </c>
      <c r="G7">
        <v>0.76526879463529696</v>
      </c>
    </row>
    <row r="8" spans="1:11" x14ac:dyDescent="0.25">
      <c r="A8">
        <v>2004</v>
      </c>
      <c r="B8">
        <v>797608.27776315797</v>
      </c>
      <c r="C8">
        <v>745679.86605263175</v>
      </c>
      <c r="F8" t="s">
        <v>20</v>
      </c>
      <c r="G8">
        <v>0.58563632804256027</v>
      </c>
    </row>
    <row r="9" spans="1:11" x14ac:dyDescent="0.25">
      <c r="A9">
        <v>2005</v>
      </c>
      <c r="B9">
        <v>793505.3601315791</v>
      </c>
      <c r="C9">
        <v>797608.27776315797</v>
      </c>
      <c r="F9" t="s">
        <v>21</v>
      </c>
      <c r="G9">
        <v>0.56261612404492467</v>
      </c>
    </row>
    <row r="10" spans="1:11" x14ac:dyDescent="0.25">
      <c r="A10">
        <v>2006</v>
      </c>
      <c r="B10">
        <v>807322.46184210526</v>
      </c>
      <c r="C10">
        <v>793505.3601315791</v>
      </c>
      <c r="F10" t="s">
        <v>22</v>
      </c>
      <c r="G10">
        <v>7291950.0462012794</v>
      </c>
    </row>
    <row r="11" spans="1:11" ht="15.75" thickBot="1" x14ac:dyDescent="0.3">
      <c r="A11">
        <v>2007</v>
      </c>
      <c r="B11">
        <v>15497985.037631581</v>
      </c>
      <c r="C11">
        <v>807322.46184210526</v>
      </c>
      <c r="F11" s="1" t="s">
        <v>23</v>
      </c>
      <c r="G11" s="1">
        <v>20</v>
      </c>
    </row>
    <row r="12" spans="1:11" x14ac:dyDescent="0.25">
      <c r="A12">
        <v>2008</v>
      </c>
      <c r="B12">
        <v>23015253.727710523</v>
      </c>
      <c r="C12">
        <v>15497985.037631581</v>
      </c>
    </row>
    <row r="13" spans="1:11" ht="15.75" thickBot="1" x14ac:dyDescent="0.3">
      <c r="A13">
        <v>2009</v>
      </c>
      <c r="B13">
        <v>29554012.882236842</v>
      </c>
      <c r="C13">
        <v>23015253.727710523</v>
      </c>
      <c r="F13" t="s">
        <v>24</v>
      </c>
    </row>
    <row r="14" spans="1:11" x14ac:dyDescent="0.25">
      <c r="A14">
        <v>2010</v>
      </c>
      <c r="B14">
        <v>28143333.279144734</v>
      </c>
      <c r="C14">
        <v>29554012.882236842</v>
      </c>
      <c r="F14" s="2"/>
      <c r="G14" s="2" t="s">
        <v>29</v>
      </c>
      <c r="H14" s="2" t="s">
        <v>30</v>
      </c>
      <c r="I14" s="2" t="s">
        <v>31</v>
      </c>
      <c r="J14" s="2" t="s">
        <v>32</v>
      </c>
      <c r="K14" s="2" t="s">
        <v>33</v>
      </c>
    </row>
    <row r="15" spans="1:11" x14ac:dyDescent="0.25">
      <c r="A15">
        <v>2011</v>
      </c>
      <c r="B15">
        <v>27963363.659868423</v>
      </c>
      <c r="C15">
        <v>28143333.279144734</v>
      </c>
      <c r="F15" t="s">
        <v>25</v>
      </c>
      <c r="G15">
        <v>1</v>
      </c>
      <c r="H15">
        <v>1352714703668504</v>
      </c>
      <c r="I15">
        <v>1352714703668504</v>
      </c>
      <c r="J15">
        <v>25.440101577844931</v>
      </c>
      <c r="K15">
        <v>8.4449497012464581E-5</v>
      </c>
    </row>
    <row r="16" spans="1:11" x14ac:dyDescent="0.25">
      <c r="A16">
        <v>2012</v>
      </c>
      <c r="B16">
        <v>287270.77894736844</v>
      </c>
      <c r="C16">
        <v>27963363.659868423</v>
      </c>
      <c r="F16" t="s">
        <v>26</v>
      </c>
      <c r="G16">
        <v>18</v>
      </c>
      <c r="H16">
        <v>957105638573307.13</v>
      </c>
      <c r="I16">
        <v>53172535476294.844</v>
      </c>
    </row>
    <row r="17" spans="1:14" ht="15.75" thickBot="1" x14ac:dyDescent="0.3">
      <c r="A17">
        <v>2013</v>
      </c>
      <c r="B17">
        <v>295912.22842105263</v>
      </c>
      <c r="C17">
        <v>287270.77894736844</v>
      </c>
      <c r="F17" s="1" t="s">
        <v>27</v>
      </c>
      <c r="G17" s="1">
        <v>19</v>
      </c>
      <c r="H17" s="1">
        <v>2309820342241811</v>
      </c>
      <c r="I17" s="1"/>
      <c r="J17" s="1"/>
      <c r="K17" s="1"/>
    </row>
    <row r="18" spans="1:14" ht="15.75" thickBot="1" x14ac:dyDescent="0.3">
      <c r="A18">
        <v>2014</v>
      </c>
      <c r="B18">
        <v>313516.50986842107</v>
      </c>
      <c r="C18">
        <v>295912.22842105263</v>
      </c>
    </row>
    <row r="19" spans="1:14" x14ac:dyDescent="0.25">
      <c r="A19">
        <v>2015</v>
      </c>
      <c r="B19">
        <v>300997.51578947366</v>
      </c>
      <c r="C19">
        <v>313516.50986842107</v>
      </c>
      <c r="F19" s="2"/>
      <c r="G19" s="2" t="s">
        <v>34</v>
      </c>
      <c r="H19" s="2" t="s">
        <v>22</v>
      </c>
      <c r="I19" s="2" t="s">
        <v>35</v>
      </c>
      <c r="J19" s="2" t="s">
        <v>36</v>
      </c>
      <c r="K19" s="2" t="s">
        <v>37</v>
      </c>
      <c r="L19" s="2" t="s">
        <v>38</v>
      </c>
      <c r="M19" s="2" t="s">
        <v>39</v>
      </c>
      <c r="N19" s="2" t="s">
        <v>40</v>
      </c>
    </row>
    <row r="20" spans="1:14" x14ac:dyDescent="0.25">
      <c r="A20">
        <v>2016</v>
      </c>
      <c r="B20">
        <v>430151.70526315796</v>
      </c>
      <c r="C20">
        <v>300997.51578947366</v>
      </c>
      <c r="F20" t="s">
        <v>28</v>
      </c>
      <c r="G20">
        <v>1595809.9799989788</v>
      </c>
      <c r="H20">
        <v>1927105.2642192121</v>
      </c>
      <c r="I20">
        <v>0.82808656570482608</v>
      </c>
      <c r="J20">
        <v>0.41846616853895735</v>
      </c>
      <c r="K20">
        <v>-2452887.9434636924</v>
      </c>
      <c r="L20">
        <v>5644507.90346165</v>
      </c>
      <c r="M20">
        <v>-2452887.9434636924</v>
      </c>
      <c r="N20">
        <v>5644507.90346165</v>
      </c>
    </row>
    <row r="21" spans="1:14" ht="15.75" thickBot="1" x14ac:dyDescent="0.3">
      <c r="A21">
        <v>2017</v>
      </c>
      <c r="B21">
        <v>1240330.3978947368</v>
      </c>
      <c r="C21">
        <v>430151.70526315796</v>
      </c>
      <c r="F21" s="1" t="s">
        <v>41</v>
      </c>
      <c r="G21" s="1">
        <v>0.76507487956688758</v>
      </c>
      <c r="H21" s="1">
        <v>0.15168565878044291</v>
      </c>
      <c r="I21" s="1">
        <v>5.0438181547162193</v>
      </c>
      <c r="J21" s="1">
        <v>8.4449497012464676E-5</v>
      </c>
      <c r="K21" s="1">
        <v>0.44639513584657359</v>
      </c>
      <c r="L21" s="1">
        <v>1.0837546232872015</v>
      </c>
      <c r="M21" s="1">
        <v>0.44639513584657359</v>
      </c>
      <c r="N21" s="1">
        <v>1.0837546232872015</v>
      </c>
    </row>
    <row r="22" spans="1:14" x14ac:dyDescent="0.25">
      <c r="A22">
        <v>2018</v>
      </c>
      <c r="B22">
        <v>1797781.6965789474</v>
      </c>
      <c r="C22">
        <v>1240330.3978947368</v>
      </c>
    </row>
    <row r="23" spans="1:14" x14ac:dyDescent="0.25">
      <c r="A23">
        <v>2019</v>
      </c>
      <c r="B23">
        <v>1041960.3836842106</v>
      </c>
      <c r="C23">
        <v>1797781.6965789474</v>
      </c>
    </row>
    <row r="24" spans="1:14" x14ac:dyDescent="0.25">
      <c r="A24">
        <v>2020</v>
      </c>
      <c r="B24">
        <v>903155.61315789458</v>
      </c>
      <c r="C24">
        <v>1041960.3836842106</v>
      </c>
    </row>
    <row r="25" spans="1:14" x14ac:dyDescent="0.25">
      <c r="C25">
        <v>903155.61315789458</v>
      </c>
      <c r="F25" t="s">
        <v>42</v>
      </c>
      <c r="K25" t="s">
        <v>47</v>
      </c>
    </row>
    <row r="26" spans="1:14" ht="15.75" thickBot="1" x14ac:dyDescent="0.3"/>
    <row r="27" spans="1:14" x14ac:dyDescent="0.25">
      <c r="F27" s="2" t="s">
        <v>43</v>
      </c>
      <c r="G27" s="2" t="s">
        <v>44</v>
      </c>
      <c r="H27" s="2" t="s">
        <v>45</v>
      </c>
      <c r="I27" s="2" t="s">
        <v>46</v>
      </c>
      <c r="K27" s="2" t="s">
        <v>48</v>
      </c>
      <c r="L27" s="2" t="s">
        <v>49</v>
      </c>
    </row>
    <row r="28" spans="1:14" x14ac:dyDescent="0.25">
      <c r="F28">
        <v>1</v>
      </c>
      <c r="G28">
        <v>2211128.941571048</v>
      </c>
      <c r="H28">
        <v>-1396719.374202627</v>
      </c>
      <c r="I28">
        <v>-0.19679135699871464</v>
      </c>
      <c r="K28">
        <v>2.5</v>
      </c>
      <c r="L28">
        <v>287270.77894736844</v>
      </c>
    </row>
    <row r="29" spans="1:14" x14ac:dyDescent="0.25">
      <c r="F29">
        <v>2</v>
      </c>
      <c r="G29">
        <v>2218894.2816714942</v>
      </c>
      <c r="H29">
        <v>-1427612.5537767573</v>
      </c>
      <c r="I29">
        <v>-0.20114406438051693</v>
      </c>
      <c r="K29">
        <v>7.5</v>
      </c>
      <c r="L29">
        <v>295912.22842105263</v>
      </c>
    </row>
    <row r="30" spans="1:14" x14ac:dyDescent="0.25">
      <c r="F30">
        <v>3</v>
      </c>
      <c r="G30">
        <v>2201199.7526715235</v>
      </c>
      <c r="H30">
        <v>-1455519.8866188917</v>
      </c>
      <c r="I30">
        <v>-0.20507607964546856</v>
      </c>
      <c r="K30">
        <v>12.5</v>
      </c>
      <c r="L30">
        <v>300997.51578947366</v>
      </c>
    </row>
    <row r="31" spans="1:14" x14ac:dyDescent="0.25">
      <c r="F31">
        <v>4</v>
      </c>
      <c r="G31">
        <v>2166310.9137146492</v>
      </c>
      <c r="H31">
        <v>-1368702.6359514911</v>
      </c>
      <c r="I31">
        <v>-0.19284392701316982</v>
      </c>
      <c r="K31">
        <v>17.5</v>
      </c>
      <c r="L31">
        <v>313516.50986842107</v>
      </c>
    </row>
    <row r="32" spans="1:14" x14ac:dyDescent="0.25">
      <c r="F32">
        <v>5</v>
      </c>
      <c r="G32">
        <v>2206040.0370501792</v>
      </c>
      <c r="H32">
        <v>-1412534.6769186002</v>
      </c>
      <c r="I32">
        <v>-0.19901966065104895</v>
      </c>
      <c r="K32">
        <v>22.5</v>
      </c>
      <c r="L32">
        <v>430151.70526315796</v>
      </c>
    </row>
    <row r="33" spans="6:12" x14ac:dyDescent="0.25">
      <c r="F33">
        <v>6</v>
      </c>
      <c r="G33">
        <v>2202900.9978373265</v>
      </c>
      <c r="H33">
        <v>-1395578.5359952212</v>
      </c>
      <c r="I33">
        <v>-0.19663061812510982</v>
      </c>
      <c r="K33">
        <v>27.5</v>
      </c>
      <c r="L33">
        <v>745679.86605263175</v>
      </c>
    </row>
    <row r="34" spans="6:12" x14ac:dyDescent="0.25">
      <c r="F34">
        <v>7</v>
      </c>
      <c r="G34">
        <v>2213472.1152644707</v>
      </c>
      <c r="H34">
        <v>13284512.922367111</v>
      </c>
      <c r="I34">
        <v>1.8717269720354874</v>
      </c>
      <c r="K34">
        <v>32.5</v>
      </c>
      <c r="L34">
        <v>791281.72789473692</v>
      </c>
    </row>
    <row r="35" spans="6:12" x14ac:dyDescent="0.25">
      <c r="F35">
        <v>8</v>
      </c>
      <c r="G35">
        <v>13452929.016194385</v>
      </c>
      <c r="H35">
        <v>9562324.7115161382</v>
      </c>
      <c r="I35">
        <v>1.3472877163430872</v>
      </c>
      <c r="K35">
        <v>37.5</v>
      </c>
      <c r="L35">
        <v>793505.3601315791</v>
      </c>
    </row>
    <row r="36" spans="6:12" x14ac:dyDescent="0.25">
      <c r="F36">
        <v>9</v>
      </c>
      <c r="G36">
        <v>19204202.453928467</v>
      </c>
      <c r="H36">
        <v>10349810.428308375</v>
      </c>
      <c r="I36">
        <v>1.4582408438552767</v>
      </c>
      <c r="K36">
        <v>42.5</v>
      </c>
      <c r="L36">
        <v>797608.27776315797</v>
      </c>
    </row>
    <row r="37" spans="6:12" x14ac:dyDescent="0.25">
      <c r="F37">
        <v>10</v>
      </c>
      <c r="G37">
        <v>24206842.826594576</v>
      </c>
      <c r="H37">
        <v>3936490.4525501579</v>
      </c>
      <c r="I37">
        <v>0.55463345914570672</v>
      </c>
      <c r="K37">
        <v>47.5</v>
      </c>
      <c r="L37">
        <v>807322.46184210526</v>
      </c>
    </row>
    <row r="38" spans="6:12" x14ac:dyDescent="0.25">
      <c r="F38">
        <v>11</v>
      </c>
      <c r="G38">
        <v>23127567.299151417</v>
      </c>
      <c r="H38">
        <v>4835796.360717006</v>
      </c>
      <c r="I38">
        <v>0.68134153901762029</v>
      </c>
      <c r="K38">
        <v>52.5</v>
      </c>
      <c r="L38">
        <v>814409.56736842101</v>
      </c>
    </row>
    <row r="39" spans="6:12" x14ac:dyDescent="0.25">
      <c r="F39">
        <v>12</v>
      </c>
      <c r="G39">
        <v>22989877.064357895</v>
      </c>
      <c r="H39">
        <v>-22702606.285410527</v>
      </c>
      <c r="I39">
        <v>-3.1986931525626163</v>
      </c>
      <c r="K39">
        <v>57.5</v>
      </c>
      <c r="L39">
        <v>903155.61315789458</v>
      </c>
    </row>
    <row r="40" spans="6:12" x14ac:dyDescent="0.25">
      <c r="F40">
        <v>13</v>
      </c>
      <c r="G40">
        <v>1815593.6366052227</v>
      </c>
      <c r="H40">
        <v>-1519681.40818417</v>
      </c>
      <c r="I40">
        <v>-0.21411614390543612</v>
      </c>
      <c r="K40">
        <v>62.5</v>
      </c>
      <c r="L40">
        <v>1041960.3836842106</v>
      </c>
    </row>
    <row r="41" spans="6:12" x14ac:dyDescent="0.25">
      <c r="F41">
        <v>14</v>
      </c>
      <c r="G41">
        <v>1822204.992520585</v>
      </c>
      <c r="H41">
        <v>-1508688.4826521638</v>
      </c>
      <c r="I41">
        <v>-0.21256729109163139</v>
      </c>
      <c r="K41">
        <v>67.5</v>
      </c>
      <c r="L41">
        <v>1240330.3978947368</v>
      </c>
    </row>
    <row r="42" spans="6:12" x14ac:dyDescent="0.25">
      <c r="F42">
        <v>15</v>
      </c>
      <c r="G42">
        <v>1835673.586028792</v>
      </c>
      <c r="H42">
        <v>-1534676.0702393183</v>
      </c>
      <c r="I42">
        <v>-0.2162288230506326</v>
      </c>
      <c r="K42">
        <v>72.5</v>
      </c>
      <c r="L42">
        <v>1797781.6965789474</v>
      </c>
    </row>
    <row r="43" spans="6:12" x14ac:dyDescent="0.25">
      <c r="F43">
        <v>16</v>
      </c>
      <c r="G43">
        <v>1826095.6181415427</v>
      </c>
      <c r="H43">
        <v>-1395943.9128783848</v>
      </c>
      <c r="I43">
        <v>-0.19668209805299064</v>
      </c>
      <c r="K43">
        <v>77.5</v>
      </c>
      <c r="L43">
        <v>15497985.037631581</v>
      </c>
    </row>
    <row r="44" spans="6:12" x14ac:dyDescent="0.25">
      <c r="F44">
        <v>17</v>
      </c>
      <c r="G44">
        <v>1924908.2440986806</v>
      </c>
      <c r="H44">
        <v>-684577.84620394371</v>
      </c>
      <c r="I44">
        <v>-9.645388029548968E-2</v>
      </c>
      <c r="K44">
        <v>82.5</v>
      </c>
      <c r="L44">
        <v>23015253.727710523</v>
      </c>
    </row>
    <row r="45" spans="6:12" x14ac:dyDescent="0.25">
      <c r="F45">
        <v>18</v>
      </c>
      <c r="G45">
        <v>2544755.6097914446</v>
      </c>
      <c r="H45">
        <v>-746973.91321249725</v>
      </c>
      <c r="I45">
        <v>-0.10524520010159313</v>
      </c>
      <c r="K45">
        <v>87.5</v>
      </c>
      <c r="L45">
        <v>27963363.659868423</v>
      </c>
    </row>
    <row r="46" spans="6:12" x14ac:dyDescent="0.25">
      <c r="F46">
        <v>19</v>
      </c>
      <c r="G46">
        <v>2971247.5949966717</v>
      </c>
      <c r="H46">
        <v>-1929287.2113124612</v>
      </c>
      <c r="I46">
        <v>-0.27182772385554771</v>
      </c>
      <c r="K46">
        <v>92.5</v>
      </c>
      <c r="L46">
        <v>28143333.279144734</v>
      </c>
    </row>
    <row r="47" spans="6:12" ht="15.75" thickBot="1" x14ac:dyDescent="0.3">
      <c r="F47" s="1">
        <v>20</v>
      </c>
      <c r="G47" s="1">
        <v>2392987.6950596441</v>
      </c>
      <c r="H47" s="1">
        <v>-1489832.0819017496</v>
      </c>
      <c r="I47" s="1">
        <v>-0.20991051066721433</v>
      </c>
      <c r="K47" s="1">
        <v>97.5</v>
      </c>
      <c r="L47" s="1">
        <v>29554012.882236842</v>
      </c>
    </row>
  </sheetData>
  <sortState xmlns:xlrd2="http://schemas.microsoft.com/office/spreadsheetml/2017/richdata2" ref="L28:L47">
    <sortCondition ref="L28"/>
  </sortState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F922B-AC40-41AB-A269-9662A886EFB9}">
  <dimension ref="A3:N41"/>
  <sheetViews>
    <sheetView workbookViewId="0">
      <selection activeCell="F6" sqref="F6:G11"/>
    </sheetView>
  </sheetViews>
  <sheetFormatPr defaultRowHeight="15" x14ac:dyDescent="0.25"/>
  <cols>
    <col min="1" max="1" width="5" bestFit="1" customWidth="1"/>
    <col min="6" max="6" width="17.5703125" bestFit="1" customWidth="1"/>
    <col min="7" max="7" width="12.42578125" bestFit="1" customWidth="1"/>
  </cols>
  <sheetData>
    <row r="3" spans="1:11" x14ac:dyDescent="0.25">
      <c r="B3" t="s">
        <v>15</v>
      </c>
    </row>
    <row r="4" spans="1:11" x14ac:dyDescent="0.25">
      <c r="A4">
        <v>2000</v>
      </c>
      <c r="B4">
        <v>0</v>
      </c>
      <c r="F4" t="s">
        <v>17</v>
      </c>
    </row>
    <row r="5" spans="1:11" ht="15.75" thickBot="1" x14ac:dyDescent="0.3">
      <c r="A5">
        <v>2001</v>
      </c>
      <c r="B5">
        <v>0</v>
      </c>
      <c r="C5">
        <v>0</v>
      </c>
    </row>
    <row r="6" spans="1:11" x14ac:dyDescent="0.25">
      <c r="A6">
        <v>2002</v>
      </c>
      <c r="B6">
        <v>0</v>
      </c>
      <c r="C6">
        <v>0</v>
      </c>
      <c r="F6" s="3" t="s">
        <v>18</v>
      </c>
      <c r="G6" s="3"/>
    </row>
    <row r="7" spans="1:11" x14ac:dyDescent="0.25">
      <c r="A7">
        <v>2003</v>
      </c>
      <c r="B7">
        <v>0</v>
      </c>
      <c r="C7">
        <v>0</v>
      </c>
      <c r="F7" t="s">
        <v>19</v>
      </c>
      <c r="G7">
        <v>0.98933905390074806</v>
      </c>
    </row>
    <row r="8" spans="1:11" x14ac:dyDescent="0.25">
      <c r="A8">
        <v>2004</v>
      </c>
      <c r="B8">
        <v>0</v>
      </c>
      <c r="C8">
        <v>0</v>
      </c>
      <c r="F8" t="s">
        <v>20</v>
      </c>
      <c r="G8">
        <v>0.97879176357322717</v>
      </c>
    </row>
    <row r="9" spans="1:11" x14ac:dyDescent="0.25">
      <c r="A9">
        <v>2005</v>
      </c>
      <c r="B9">
        <v>0</v>
      </c>
      <c r="C9">
        <v>0</v>
      </c>
      <c r="F9" t="s">
        <v>21</v>
      </c>
      <c r="G9">
        <v>0.97702441053766276</v>
      </c>
    </row>
    <row r="10" spans="1:11" x14ac:dyDescent="0.25">
      <c r="A10">
        <v>2006</v>
      </c>
      <c r="B10">
        <v>3029895.8736842112</v>
      </c>
      <c r="C10">
        <v>0</v>
      </c>
      <c r="F10" t="s">
        <v>22</v>
      </c>
      <c r="G10">
        <v>7150503.976712076</v>
      </c>
    </row>
    <row r="11" spans="1:11" ht="15.75" thickBot="1" x14ac:dyDescent="0.3">
      <c r="A11">
        <v>2007</v>
      </c>
      <c r="B11">
        <v>7758595.6578421062</v>
      </c>
      <c r="C11">
        <v>3029895.8736842112</v>
      </c>
      <c r="F11" s="1" t="s">
        <v>23</v>
      </c>
      <c r="G11" s="1">
        <v>14</v>
      </c>
    </row>
    <row r="12" spans="1:11" x14ac:dyDescent="0.25">
      <c r="A12">
        <v>2008</v>
      </c>
      <c r="B12">
        <v>1545856.413622807</v>
      </c>
      <c r="C12">
        <v>7758595.6578421062</v>
      </c>
    </row>
    <row r="13" spans="1:11" ht="15.75" thickBot="1" x14ac:dyDescent="0.3">
      <c r="A13">
        <v>2009</v>
      </c>
      <c r="B13">
        <v>4340799.6761578955</v>
      </c>
      <c r="C13">
        <v>1545856.413622807</v>
      </c>
      <c r="F13" t="s">
        <v>24</v>
      </c>
    </row>
    <row r="14" spans="1:11" x14ac:dyDescent="0.25">
      <c r="A14">
        <v>2010</v>
      </c>
      <c r="B14">
        <v>3509131.2852894738</v>
      </c>
      <c r="C14">
        <v>4340799.6761578955</v>
      </c>
      <c r="F14" s="2"/>
      <c r="G14" s="2" t="s">
        <v>29</v>
      </c>
      <c r="H14" s="2" t="s">
        <v>30</v>
      </c>
      <c r="I14" s="2" t="s">
        <v>31</v>
      </c>
      <c r="J14" s="2" t="s">
        <v>32</v>
      </c>
      <c r="K14" s="2" t="s">
        <v>33</v>
      </c>
    </row>
    <row r="15" spans="1:11" x14ac:dyDescent="0.25">
      <c r="A15">
        <v>2011</v>
      </c>
      <c r="B15">
        <v>5934020.7698421059</v>
      </c>
      <c r="C15">
        <v>3509131.2852894738</v>
      </c>
      <c r="F15" t="s">
        <v>25</v>
      </c>
      <c r="G15">
        <v>1</v>
      </c>
      <c r="H15">
        <v>2.831654751306668E+16</v>
      </c>
      <c r="I15">
        <v>2.831654751306668E+16</v>
      </c>
      <c r="J15">
        <v>553.81790953874315</v>
      </c>
      <c r="K15">
        <v>2.0716875147895993E-11</v>
      </c>
    </row>
    <row r="16" spans="1:11" x14ac:dyDescent="0.25">
      <c r="A16">
        <v>2012</v>
      </c>
      <c r="B16">
        <v>11771289.003596492</v>
      </c>
      <c r="C16">
        <v>5934020.7698421059</v>
      </c>
      <c r="F16" t="s">
        <v>26</v>
      </c>
      <c r="G16">
        <v>12</v>
      </c>
      <c r="H16">
        <v>613556485451702.5</v>
      </c>
      <c r="I16">
        <v>51129707120975.211</v>
      </c>
    </row>
    <row r="17" spans="1:14" ht="15.75" thickBot="1" x14ac:dyDescent="0.3">
      <c r="A17">
        <v>2013</v>
      </c>
      <c r="B17">
        <v>21235065.818330705</v>
      </c>
      <c r="C17">
        <v>11771289.003596492</v>
      </c>
      <c r="F17" s="1" t="s">
        <v>27</v>
      </c>
      <c r="G17" s="1">
        <v>13</v>
      </c>
      <c r="H17" s="1">
        <v>2.8930103998518384E+16</v>
      </c>
      <c r="I17" s="1"/>
      <c r="J17" s="1"/>
      <c r="K17" s="1"/>
    </row>
    <row r="18" spans="1:14" ht="15.75" thickBot="1" x14ac:dyDescent="0.3">
      <c r="A18">
        <v>2014</v>
      </c>
      <c r="B18">
        <v>35141118.636778519</v>
      </c>
      <c r="C18">
        <v>21235065.818330705</v>
      </c>
    </row>
    <row r="19" spans="1:14" x14ac:dyDescent="0.25">
      <c r="A19">
        <v>2015</v>
      </c>
      <c r="B19">
        <v>44497769.475822374</v>
      </c>
      <c r="C19">
        <v>35141118.636778519</v>
      </c>
      <c r="F19" s="2"/>
      <c r="G19" s="2" t="s">
        <v>34</v>
      </c>
      <c r="H19" s="2" t="s">
        <v>22</v>
      </c>
      <c r="I19" s="2" t="s">
        <v>35</v>
      </c>
      <c r="J19" s="2" t="s">
        <v>36</v>
      </c>
      <c r="K19" s="2" t="s">
        <v>37</v>
      </c>
      <c r="L19" s="2" t="s">
        <v>38</v>
      </c>
      <c r="M19" s="2" t="s">
        <v>39</v>
      </c>
      <c r="N19" s="2" t="s">
        <v>40</v>
      </c>
    </row>
    <row r="20" spans="1:14" x14ac:dyDescent="0.25">
      <c r="A20">
        <v>2016</v>
      </c>
      <c r="B20">
        <v>55341923.767780691</v>
      </c>
      <c r="C20">
        <v>44497769.475822374</v>
      </c>
      <c r="F20" t="s">
        <v>28</v>
      </c>
      <c r="G20">
        <v>3057708.4395053983</v>
      </c>
      <c r="H20">
        <v>2591761.7205590387</v>
      </c>
      <c r="I20">
        <v>1.1797799216070897</v>
      </c>
      <c r="J20">
        <v>0.26094808774779066</v>
      </c>
      <c r="K20">
        <v>-2589255.2486890452</v>
      </c>
      <c r="L20">
        <v>8704672.1276998408</v>
      </c>
      <c r="M20">
        <v>-2589255.2486890452</v>
      </c>
      <c r="N20">
        <v>8704672.1276998408</v>
      </c>
    </row>
    <row r="21" spans="1:14" ht="15.75" thickBot="1" x14ac:dyDescent="0.3">
      <c r="A21">
        <v>2017</v>
      </c>
      <c r="B21">
        <v>66664536.867978521</v>
      </c>
      <c r="C21">
        <v>55341923.767780691</v>
      </c>
      <c r="F21" s="1" t="s">
        <v>41</v>
      </c>
      <c r="G21" s="1">
        <v>1.2007197978931756</v>
      </c>
      <c r="H21" s="1">
        <v>5.1022081659740086E-2</v>
      </c>
      <c r="I21" s="1">
        <v>23.533336132787106</v>
      </c>
      <c r="J21" s="1">
        <v>2.0716875147895993E-11</v>
      </c>
      <c r="K21" s="1">
        <v>1.0895522317766049</v>
      </c>
      <c r="L21" s="1">
        <v>1.3118873640097464</v>
      </c>
      <c r="M21" s="1">
        <v>1.0895522317766049</v>
      </c>
      <c r="N21" s="1">
        <v>1.3118873640097464</v>
      </c>
    </row>
    <row r="22" spans="1:14" x14ac:dyDescent="0.25">
      <c r="A22">
        <v>2018</v>
      </c>
      <c r="B22">
        <v>93092909.247318864</v>
      </c>
      <c r="C22">
        <v>66664536.867978521</v>
      </c>
    </row>
    <row r="23" spans="1:14" x14ac:dyDescent="0.25">
      <c r="A23">
        <v>2019</v>
      </c>
      <c r="B23">
        <v>126525666.33989815</v>
      </c>
      <c r="C23">
        <v>93092909.247318864</v>
      </c>
    </row>
    <row r="24" spans="1:14" x14ac:dyDescent="0.25">
      <c r="A24">
        <v>2020</v>
      </c>
      <c r="B24">
        <v>142261312.48049879</v>
      </c>
      <c r="C24">
        <v>126525666.33989815</v>
      </c>
    </row>
    <row r="25" spans="1:14" x14ac:dyDescent="0.25">
      <c r="C25">
        <v>142261312.48049879</v>
      </c>
      <c r="F25" t="s">
        <v>42</v>
      </c>
      <c r="K25" t="s">
        <v>47</v>
      </c>
    </row>
    <row r="26" spans="1:14" ht="15.75" thickBot="1" x14ac:dyDescent="0.3"/>
    <row r="27" spans="1:14" x14ac:dyDescent="0.25">
      <c r="F27" s="2" t="s">
        <v>43</v>
      </c>
      <c r="G27" s="2" t="s">
        <v>44</v>
      </c>
      <c r="H27" s="2" t="s">
        <v>45</v>
      </c>
      <c r="I27" s="2" t="s">
        <v>46</v>
      </c>
      <c r="K27" s="2" t="s">
        <v>48</v>
      </c>
      <c r="L27" s="2" t="s">
        <v>49</v>
      </c>
    </row>
    <row r="28" spans="1:14" x14ac:dyDescent="0.25">
      <c r="F28">
        <v>1</v>
      </c>
      <c r="G28">
        <v>6695764.400592871</v>
      </c>
      <c r="H28">
        <v>1062831.2572492352</v>
      </c>
      <c r="I28">
        <v>0.15470655625052199</v>
      </c>
      <c r="K28">
        <v>3.5714285714285716</v>
      </c>
      <c r="L28">
        <v>1545856.413622807</v>
      </c>
    </row>
    <row r="29" spans="1:14" x14ac:dyDescent="0.25">
      <c r="F29">
        <v>2</v>
      </c>
      <c r="G29">
        <v>12373607.849724442</v>
      </c>
      <c r="H29">
        <v>-10827751.436101634</v>
      </c>
      <c r="I29">
        <v>-1.5760960408253304</v>
      </c>
      <c r="K29">
        <v>10.714285714285715</v>
      </c>
      <c r="L29">
        <v>3509131.2852894738</v>
      </c>
    </row>
    <row r="30" spans="1:14" x14ac:dyDescent="0.25">
      <c r="F30">
        <v>3</v>
      </c>
      <c r="G30">
        <v>4913848.8400424439</v>
      </c>
      <c r="H30">
        <v>-573049.16388454847</v>
      </c>
      <c r="I30">
        <v>-8.3413488361520696E-2</v>
      </c>
      <c r="K30">
        <v>17.857142857142858</v>
      </c>
      <c r="L30">
        <v>4340799.6761578955</v>
      </c>
    </row>
    <row r="31" spans="1:14" x14ac:dyDescent="0.25">
      <c r="F31">
        <v>4</v>
      </c>
      <c r="G31">
        <v>8269792.549356469</v>
      </c>
      <c r="H31">
        <v>-4760661.2640669951</v>
      </c>
      <c r="I31">
        <v>-0.69296560918357553</v>
      </c>
      <c r="K31">
        <v>25.000000000000004</v>
      </c>
      <c r="L31">
        <v>5934020.7698421059</v>
      </c>
    </row>
    <row r="32" spans="1:14" x14ac:dyDescent="0.25">
      <c r="F32">
        <v>5</v>
      </c>
      <c r="G32">
        <v>7271191.8471587952</v>
      </c>
      <c r="H32">
        <v>-1337171.0773166893</v>
      </c>
      <c r="I32">
        <v>-0.19463967688048003</v>
      </c>
      <c r="K32">
        <v>32.142857142857146</v>
      </c>
      <c r="L32">
        <v>7758595.6578421062</v>
      </c>
    </row>
    <row r="33" spans="6:12" x14ac:dyDescent="0.25">
      <c r="F33">
        <v>6</v>
      </c>
      <c r="G33">
        <v>10182804.658964118</v>
      </c>
      <c r="H33">
        <v>1588484.3446323741</v>
      </c>
      <c r="I33">
        <v>0.23122103432672522</v>
      </c>
      <c r="K33">
        <v>39.285714285714285</v>
      </c>
      <c r="L33">
        <v>11771289.003596492</v>
      </c>
    </row>
    <row r="34" spans="6:12" x14ac:dyDescent="0.25">
      <c r="F34">
        <v>7</v>
      </c>
      <c r="G34">
        <v>17191728.192845941</v>
      </c>
      <c r="H34">
        <v>4043337.6254847646</v>
      </c>
      <c r="I34">
        <v>0.58855141446994819</v>
      </c>
      <c r="K34">
        <v>46.428571428571431</v>
      </c>
      <c r="L34">
        <v>21235065.818330705</v>
      </c>
    </row>
    <row r="35" spans="6:12" x14ac:dyDescent="0.25">
      <c r="F35">
        <v>8</v>
      </c>
      <c r="G35">
        <v>28555072.377139725</v>
      </c>
      <c r="H35">
        <v>6586046.2596387938</v>
      </c>
      <c r="I35">
        <v>0.95867008914700624</v>
      </c>
      <c r="K35">
        <v>53.571428571428569</v>
      </c>
      <c r="L35">
        <v>35141118.636778519</v>
      </c>
    </row>
    <row r="36" spans="6:12" x14ac:dyDescent="0.25">
      <c r="F36">
        <v>9</v>
      </c>
      <c r="G36">
        <v>45252345.306798205</v>
      </c>
      <c r="H36">
        <v>-754575.83097583055</v>
      </c>
      <c r="I36">
        <v>-0.10983665322591425</v>
      </c>
      <c r="K36">
        <v>60.714285714285715</v>
      </c>
      <c r="L36">
        <v>44497769.475822374</v>
      </c>
    </row>
    <row r="37" spans="6:12" x14ac:dyDescent="0.25">
      <c r="F37">
        <v>10</v>
      </c>
      <c r="G37">
        <v>56487061.211211957</v>
      </c>
      <c r="H37">
        <v>-1145137.4434312657</v>
      </c>
      <c r="I37">
        <v>-0.16668710964080516</v>
      </c>
      <c r="K37">
        <v>67.857142857142861</v>
      </c>
      <c r="L37">
        <v>55341923.767780691</v>
      </c>
    </row>
    <row r="38" spans="6:12" x14ac:dyDescent="0.25">
      <c r="F38">
        <v>11</v>
      </c>
      <c r="G38">
        <v>69507851.960974559</v>
      </c>
      <c r="H38">
        <v>-2843315.0929960385</v>
      </c>
      <c r="I38">
        <v>-0.41387518796824163</v>
      </c>
      <c r="K38">
        <v>75</v>
      </c>
      <c r="L38">
        <v>66664536.867978521</v>
      </c>
    </row>
    <row r="39" spans="6:12" x14ac:dyDescent="0.25">
      <c r="F39">
        <v>12</v>
      </c>
      <c r="G39">
        <v>83103137.674266726</v>
      </c>
      <c r="H39">
        <v>9989771.5730521381</v>
      </c>
      <c r="I39">
        <v>1.4541190308950789</v>
      </c>
      <c r="K39">
        <v>82.142857142857139</v>
      </c>
      <c r="L39">
        <v>93092909.247318864</v>
      </c>
    </row>
    <row r="40" spans="6:12" x14ac:dyDescent="0.25">
      <c r="F40">
        <v>13</v>
      </c>
      <c r="G40">
        <v>114836207.61623384</v>
      </c>
      <c r="H40">
        <v>11689458.723664314</v>
      </c>
      <c r="I40">
        <v>1.7015268333857891</v>
      </c>
      <c r="K40">
        <v>89.285714285714292</v>
      </c>
      <c r="L40">
        <v>126525666.33989815</v>
      </c>
    </row>
    <row r="41" spans="6:12" ht="15.75" thickBot="1" x14ac:dyDescent="0.3">
      <c r="F41" s="1">
        <v>14</v>
      </c>
      <c r="G41" s="1">
        <v>154979580.95544729</v>
      </c>
      <c r="H41" s="1">
        <v>-12718268.474948496</v>
      </c>
      <c r="I41" s="1">
        <v>-1.8512811923891843</v>
      </c>
      <c r="K41" s="1">
        <v>96.428571428571431</v>
      </c>
      <c r="L41" s="1">
        <v>142261312.48049879</v>
      </c>
    </row>
  </sheetData>
  <sortState xmlns:xlrd2="http://schemas.microsoft.com/office/spreadsheetml/2017/richdata2" ref="L28:L41">
    <sortCondition ref="L28"/>
  </sortState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F514-27EA-484A-A010-9DD6AB51DEA8}">
  <dimension ref="A3:N39"/>
  <sheetViews>
    <sheetView workbookViewId="0">
      <selection activeCell="F6" sqref="F6:G11"/>
    </sheetView>
  </sheetViews>
  <sheetFormatPr defaultRowHeight="15" x14ac:dyDescent="0.25"/>
  <cols>
    <col min="1" max="1" width="5" bestFit="1" customWidth="1"/>
    <col min="4" max="4" width="12" bestFit="1" customWidth="1"/>
    <col min="6" max="6" width="17.5703125" bestFit="1" customWidth="1"/>
    <col min="7" max="7" width="12.42578125" bestFit="1" customWidth="1"/>
  </cols>
  <sheetData>
    <row r="3" spans="1:11" x14ac:dyDescent="0.25">
      <c r="B3" t="s">
        <v>16</v>
      </c>
    </row>
    <row r="4" spans="1:11" x14ac:dyDescent="0.25">
      <c r="A4">
        <v>2000</v>
      </c>
      <c r="B4">
        <v>0</v>
      </c>
      <c r="F4" t="s">
        <v>17</v>
      </c>
    </row>
    <row r="5" spans="1:11" ht="15.75" thickBot="1" x14ac:dyDescent="0.3">
      <c r="A5">
        <v>2001</v>
      </c>
      <c r="B5">
        <v>0</v>
      </c>
      <c r="C5">
        <v>0</v>
      </c>
    </row>
    <row r="6" spans="1:11" x14ac:dyDescent="0.25">
      <c r="A6">
        <v>2002</v>
      </c>
      <c r="B6">
        <v>0</v>
      </c>
      <c r="C6">
        <v>0</v>
      </c>
      <c r="F6" s="3" t="s">
        <v>18</v>
      </c>
      <c r="G6" s="3"/>
    </row>
    <row r="7" spans="1:11" x14ac:dyDescent="0.25">
      <c r="A7">
        <v>2003</v>
      </c>
      <c r="B7">
        <v>0</v>
      </c>
      <c r="C7">
        <v>0</v>
      </c>
      <c r="F7" t="s">
        <v>19</v>
      </c>
      <c r="G7">
        <v>0.98649414326771734</v>
      </c>
    </row>
    <row r="8" spans="1:11" x14ac:dyDescent="0.25">
      <c r="A8">
        <v>2004</v>
      </c>
      <c r="B8">
        <v>0</v>
      </c>
      <c r="C8">
        <v>0</v>
      </c>
      <c r="F8" t="s">
        <v>20</v>
      </c>
      <c r="G8">
        <v>0.97317069470150752</v>
      </c>
    </row>
    <row r="9" spans="1:11" x14ac:dyDescent="0.25">
      <c r="A9">
        <v>2005</v>
      </c>
      <c r="B9">
        <v>0</v>
      </c>
      <c r="C9">
        <v>0</v>
      </c>
      <c r="F9" t="s">
        <v>21</v>
      </c>
      <c r="G9">
        <v>0.97048776417165816</v>
      </c>
    </row>
    <row r="10" spans="1:11" x14ac:dyDescent="0.25">
      <c r="A10">
        <v>2006</v>
      </c>
      <c r="B10">
        <v>0</v>
      </c>
      <c r="C10">
        <v>0</v>
      </c>
      <c r="F10" t="s">
        <v>22</v>
      </c>
      <c r="G10">
        <v>9858588.8054130711</v>
      </c>
    </row>
    <row r="11" spans="1:11" ht="15.75" thickBot="1" x14ac:dyDescent="0.3">
      <c r="A11">
        <v>2007</v>
      </c>
      <c r="B11">
        <v>0</v>
      </c>
      <c r="C11">
        <v>0</v>
      </c>
      <c r="F11" s="1" t="s">
        <v>23</v>
      </c>
      <c r="G11" s="1">
        <v>12</v>
      </c>
    </row>
    <row r="12" spans="1:11" x14ac:dyDescent="0.25">
      <c r="A12">
        <v>2008</v>
      </c>
      <c r="B12">
        <v>6300.6315789473692</v>
      </c>
      <c r="C12">
        <v>0</v>
      </c>
    </row>
    <row r="13" spans="1:11" ht="15.75" thickBot="1" x14ac:dyDescent="0.3">
      <c r="A13">
        <v>2009</v>
      </c>
      <c r="B13">
        <v>1716887.879922929</v>
      </c>
      <c r="C13">
        <v>6300.6315789473692</v>
      </c>
      <c r="F13" t="s">
        <v>24</v>
      </c>
    </row>
    <row r="14" spans="1:11" x14ac:dyDescent="0.25">
      <c r="A14">
        <v>2010</v>
      </c>
      <c r="B14">
        <v>1579536.4100666936</v>
      </c>
      <c r="C14">
        <v>1716887.879922929</v>
      </c>
      <c r="F14" s="2"/>
      <c r="G14" s="2" t="s">
        <v>29</v>
      </c>
      <c r="H14" s="2" t="s">
        <v>30</v>
      </c>
      <c r="I14" s="2" t="s">
        <v>31</v>
      </c>
      <c r="J14" s="2" t="s">
        <v>32</v>
      </c>
      <c r="K14" s="2" t="s">
        <v>33</v>
      </c>
    </row>
    <row r="15" spans="1:11" x14ac:dyDescent="0.25">
      <c r="A15">
        <v>2011</v>
      </c>
      <c r="B15">
        <v>9327523.8119436298</v>
      </c>
      <c r="C15">
        <v>1579536.4100666936</v>
      </c>
      <c r="F15" t="s">
        <v>25</v>
      </c>
      <c r="G15">
        <v>1</v>
      </c>
      <c r="H15">
        <v>3.5254056870018232E+16</v>
      </c>
      <c r="I15">
        <v>3.5254056870018232E+16</v>
      </c>
      <c r="J15">
        <v>362.72675862247985</v>
      </c>
      <c r="K15">
        <v>3.4598730658990414E-9</v>
      </c>
    </row>
    <row r="16" spans="1:11" x14ac:dyDescent="0.25">
      <c r="A16">
        <v>2012</v>
      </c>
      <c r="B16">
        <v>23147609.055447347</v>
      </c>
      <c r="C16">
        <v>9327523.8119436298</v>
      </c>
      <c r="F16" t="s">
        <v>26</v>
      </c>
      <c r="G16">
        <v>10</v>
      </c>
      <c r="H16">
        <v>971917732342159</v>
      </c>
      <c r="I16">
        <v>97191773234215.906</v>
      </c>
    </row>
    <row r="17" spans="1:14" ht="15.75" thickBot="1" x14ac:dyDescent="0.3">
      <c r="A17">
        <v>2013</v>
      </c>
      <c r="B17">
        <v>41170015.45411174</v>
      </c>
      <c r="C17">
        <v>23147609.055447347</v>
      </c>
      <c r="F17" s="1" t="s">
        <v>27</v>
      </c>
      <c r="G17" s="1">
        <v>11</v>
      </c>
      <c r="H17" s="1">
        <v>3.6225974602360392E+16</v>
      </c>
      <c r="I17" s="1"/>
      <c r="J17" s="1"/>
      <c r="K17" s="1"/>
    </row>
    <row r="18" spans="1:14" ht="15.75" thickBot="1" x14ac:dyDescent="0.3">
      <c r="A18">
        <v>2014</v>
      </c>
      <c r="B18">
        <v>66222136.368070766</v>
      </c>
      <c r="C18">
        <v>41170015.45411174</v>
      </c>
    </row>
    <row r="19" spans="1:14" x14ac:dyDescent="0.25">
      <c r="A19">
        <v>2015</v>
      </c>
      <c r="B19">
        <v>89756383.940039173</v>
      </c>
      <c r="C19">
        <v>66222136.368070766</v>
      </c>
      <c r="F19" s="2"/>
      <c r="G19" s="2" t="s">
        <v>34</v>
      </c>
      <c r="H19" s="2" t="s">
        <v>22</v>
      </c>
      <c r="I19" s="2" t="s">
        <v>35</v>
      </c>
      <c r="J19" s="2" t="s">
        <v>36</v>
      </c>
      <c r="K19" s="2" t="s">
        <v>37</v>
      </c>
      <c r="L19" s="2" t="s">
        <v>38</v>
      </c>
      <c r="M19" s="2" t="s">
        <v>39</v>
      </c>
      <c r="N19" s="2" t="s">
        <v>40</v>
      </c>
    </row>
    <row r="20" spans="1:14" x14ac:dyDescent="0.25">
      <c r="A20">
        <v>2016</v>
      </c>
      <c r="B20">
        <v>107603981.35436857</v>
      </c>
      <c r="C20">
        <v>89756383.940039173</v>
      </c>
      <c r="F20" t="s">
        <v>28</v>
      </c>
      <c r="G20">
        <v>12047666.159467012</v>
      </c>
      <c r="H20">
        <v>4334475.7549008299</v>
      </c>
      <c r="I20">
        <v>2.7794978771873775</v>
      </c>
      <c r="J20">
        <v>1.9467423131870176E-2</v>
      </c>
      <c r="K20">
        <v>2389852.326979937</v>
      </c>
      <c r="L20">
        <v>21705479.991954088</v>
      </c>
      <c r="M20">
        <v>2389852.326979937</v>
      </c>
      <c r="N20">
        <v>21705479.991954088</v>
      </c>
    </row>
    <row r="21" spans="1:14" ht="15.75" thickBot="1" x14ac:dyDescent="0.3">
      <c r="A21">
        <v>2017</v>
      </c>
      <c r="B21">
        <v>127327220.75884214</v>
      </c>
      <c r="C21">
        <v>107603981.35436857</v>
      </c>
      <c r="F21" s="1" t="s">
        <v>41</v>
      </c>
      <c r="G21" s="1">
        <v>0.99631113318990205</v>
      </c>
      <c r="H21" s="1">
        <v>5.2312465128386838E-2</v>
      </c>
      <c r="I21" s="1">
        <v>19.045386806848523</v>
      </c>
      <c r="J21" s="1">
        <v>3.4598730658990414E-9</v>
      </c>
      <c r="K21" s="1">
        <v>0.87975169719416624</v>
      </c>
      <c r="L21" s="1">
        <v>1.112870569185638</v>
      </c>
      <c r="M21" s="1">
        <v>0.87975169719416624</v>
      </c>
      <c r="N21" s="1">
        <v>1.112870569185638</v>
      </c>
    </row>
    <row r="22" spans="1:14" x14ac:dyDescent="0.25">
      <c r="A22">
        <v>2018</v>
      </c>
      <c r="B22">
        <v>136528866.40202385</v>
      </c>
      <c r="C22">
        <v>127327220.75884214</v>
      </c>
    </row>
    <row r="23" spans="1:14" x14ac:dyDescent="0.25">
      <c r="A23">
        <v>2019</v>
      </c>
      <c r="B23">
        <v>145562504.84282181</v>
      </c>
      <c r="C23">
        <v>136528866.40202385</v>
      </c>
    </row>
    <row r="24" spans="1:14" x14ac:dyDescent="0.25">
      <c r="A24">
        <v>2020</v>
      </c>
      <c r="B24">
        <v>141811832.69188434</v>
      </c>
      <c r="C24">
        <v>145562504.84282181</v>
      </c>
    </row>
    <row r="25" spans="1:14" x14ac:dyDescent="0.25">
      <c r="C25">
        <v>141811832.69188434</v>
      </c>
      <c r="F25" t="s">
        <v>42</v>
      </c>
      <c r="K25" t="s">
        <v>47</v>
      </c>
    </row>
    <row r="26" spans="1:14" ht="15.75" thickBot="1" x14ac:dyDescent="0.3"/>
    <row r="27" spans="1:14" x14ac:dyDescent="0.25">
      <c r="F27" s="2" t="s">
        <v>43</v>
      </c>
      <c r="G27" s="2" t="s">
        <v>44</v>
      </c>
      <c r="H27" s="2" t="s">
        <v>45</v>
      </c>
      <c r="I27" s="2" t="s">
        <v>46</v>
      </c>
      <c r="K27" s="2" t="s">
        <v>48</v>
      </c>
      <c r="L27" s="2" t="s">
        <v>49</v>
      </c>
    </row>
    <row r="28" spans="1:14" x14ac:dyDescent="0.25">
      <c r="F28">
        <v>1</v>
      </c>
      <c r="G28">
        <v>12053943.548855245</v>
      </c>
      <c r="H28">
        <v>-10337055.668932317</v>
      </c>
      <c r="I28">
        <v>-1.0997106851287712</v>
      </c>
      <c r="K28">
        <v>4.166666666666667</v>
      </c>
      <c r="L28">
        <v>1579536.4100666936</v>
      </c>
    </row>
    <row r="29" spans="1:14" x14ac:dyDescent="0.25">
      <c r="F29">
        <v>2</v>
      </c>
      <c r="G29">
        <v>13758220.668673033</v>
      </c>
      <c r="H29">
        <v>-12178684.258606339</v>
      </c>
      <c r="I29">
        <v>-1.2956328802843995</v>
      </c>
      <c r="K29">
        <v>12.5</v>
      </c>
      <c r="L29">
        <v>1716887.879922929</v>
      </c>
    </row>
    <row r="30" spans="1:14" x14ac:dyDescent="0.25">
      <c r="F30">
        <v>3</v>
      </c>
      <c r="G30">
        <v>13621375.87009527</v>
      </c>
      <c r="H30">
        <v>-4293852.05815164</v>
      </c>
      <c r="I30">
        <v>-0.45680270474921847</v>
      </c>
      <c r="K30">
        <v>20.833333333333336</v>
      </c>
      <c r="L30">
        <v>9327523.8119436298</v>
      </c>
    </row>
    <row r="31" spans="1:14" x14ac:dyDescent="0.25">
      <c r="F31">
        <v>4</v>
      </c>
      <c r="G31">
        <v>21340781.978400365</v>
      </c>
      <c r="H31">
        <v>1806827.0770469829</v>
      </c>
      <c r="I31">
        <v>0.19221982607488294</v>
      </c>
      <c r="K31">
        <v>29.166666666666668</v>
      </c>
      <c r="L31">
        <v>23147609.055447347</v>
      </c>
    </row>
    <row r="32" spans="1:14" x14ac:dyDescent="0.25">
      <c r="F32">
        <v>5</v>
      </c>
      <c r="G32">
        <v>35109886.768136598</v>
      </c>
      <c r="H32">
        <v>6060128.6859751418</v>
      </c>
      <c r="I32">
        <v>0.64470855944520489</v>
      </c>
      <c r="K32">
        <v>37.5</v>
      </c>
      <c r="L32">
        <v>41170015.45411174</v>
      </c>
    </row>
    <row r="33" spans="6:12" x14ac:dyDescent="0.25">
      <c r="F33">
        <v>6</v>
      </c>
      <c r="G33">
        <v>53065810.909998856</v>
      </c>
      <c r="H33">
        <v>13156325.45807191</v>
      </c>
      <c r="I33">
        <v>1.3996395247011111</v>
      </c>
      <c r="K33">
        <v>45.833333333333336</v>
      </c>
      <c r="L33">
        <v>66222136.368070766</v>
      </c>
    </row>
    <row r="34" spans="6:12" x14ac:dyDescent="0.25">
      <c r="F34">
        <v>7</v>
      </c>
      <c r="G34">
        <v>78025517.886595815</v>
      </c>
      <c r="H34">
        <v>11730866.053443357</v>
      </c>
      <c r="I34">
        <v>1.2479916097925492</v>
      </c>
      <c r="K34">
        <v>54.166666666666664</v>
      </c>
      <c r="L34">
        <v>89756383.940039173</v>
      </c>
    </row>
    <row r="35" spans="6:12" x14ac:dyDescent="0.25">
      <c r="F35">
        <v>8</v>
      </c>
      <c r="G35">
        <v>101472950.75379537</v>
      </c>
      <c r="H35">
        <v>6131030.600573197</v>
      </c>
      <c r="I35">
        <v>0.65225148032875113</v>
      </c>
      <c r="K35">
        <v>62.5</v>
      </c>
      <c r="L35">
        <v>107603981.35436857</v>
      </c>
    </row>
    <row r="36" spans="6:12" x14ac:dyDescent="0.25">
      <c r="F36">
        <v>9</v>
      </c>
      <c r="G36">
        <v>119254710.75838305</v>
      </c>
      <c r="H36">
        <v>8072510.0004590899</v>
      </c>
      <c r="I36">
        <v>0.85879633307911218</v>
      </c>
      <c r="K36">
        <v>70.833333333333343</v>
      </c>
      <c r="L36">
        <v>127327220.75884214</v>
      </c>
    </row>
    <row r="37" spans="6:12" x14ac:dyDescent="0.25">
      <c r="F37">
        <v>10</v>
      </c>
      <c r="G37">
        <v>138905193.75962985</v>
      </c>
      <c r="H37">
        <v>-2376327.3576059937</v>
      </c>
      <c r="I37">
        <v>-0.25280627968147984</v>
      </c>
      <c r="K37">
        <v>79.166666666666671</v>
      </c>
      <c r="L37">
        <v>136528866.40202385</v>
      </c>
    </row>
    <row r="38" spans="6:12" x14ac:dyDescent="0.25">
      <c r="F38">
        <v>11</v>
      </c>
      <c r="G38">
        <v>148072895.75760013</v>
      </c>
      <c r="H38">
        <v>-2510390.914778322</v>
      </c>
      <c r="I38">
        <v>-0.26706867034963505</v>
      </c>
      <c r="K38">
        <v>87.500000000000014</v>
      </c>
      <c r="L38">
        <v>141811832.69188434</v>
      </c>
    </row>
    <row r="39" spans="6:12" ht="15.75" thickBot="1" x14ac:dyDescent="0.3">
      <c r="F39" s="1">
        <v>12</v>
      </c>
      <c r="G39" s="1">
        <v>157073210.3093794</v>
      </c>
      <c r="H39" s="1">
        <v>-15261377.61749506</v>
      </c>
      <c r="I39" s="1">
        <v>-1.6235861132281066</v>
      </c>
      <c r="K39" s="1">
        <v>95.833333333333343</v>
      </c>
      <c r="L39" s="1">
        <v>145562504.84282181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Base</vt:lpstr>
      <vt:lpstr>Residuals</vt:lpstr>
      <vt:lpstr>measles</vt:lpstr>
      <vt:lpstr>MR</vt:lpstr>
      <vt:lpstr>MMR</vt:lpstr>
      <vt:lpstr>TT</vt:lpstr>
      <vt:lpstr>Td</vt:lpstr>
      <vt:lpstr>DT</vt:lpstr>
      <vt:lpstr>DTP</vt:lpstr>
      <vt:lpstr>DTP-hib</vt:lpstr>
      <vt:lpstr>Penta</vt:lpstr>
      <vt:lpstr>Hexa</vt:lpstr>
      <vt:lpstr>IPV</vt:lpstr>
      <vt:lpstr>OPV</vt:lpstr>
      <vt:lpstr>HPV</vt:lpstr>
      <vt:lpstr>HepB</vt:lpstr>
      <vt:lpstr>Hib</vt:lpstr>
      <vt:lpstr>Rota</vt:lpstr>
      <vt:lpstr>PCV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uhorchak</dc:creator>
  <cp:lastModifiedBy>nicholas uhorchak</cp:lastModifiedBy>
  <dcterms:created xsi:type="dcterms:W3CDTF">2024-03-27T15:14:34Z</dcterms:created>
  <dcterms:modified xsi:type="dcterms:W3CDTF">2024-04-03T13:58:13Z</dcterms:modified>
</cp:coreProperties>
</file>