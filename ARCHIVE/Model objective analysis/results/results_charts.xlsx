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Model objective analysis/results/"/>
    </mc:Choice>
  </mc:AlternateContent>
  <xr:revisionPtr revIDLastSave="0" documentId="8_{E6D4FE71-91A3-42A3-BB9B-FBB9BCAA8445}" xr6:coauthVersionLast="47" xr6:coauthVersionMax="47" xr10:uidLastSave="{00000000-0000-0000-0000-000000000000}"/>
  <bookViews>
    <workbookView xWindow="13550" yWindow="-110" windowWidth="19420" windowHeight="10300" activeTab="4" xr2:uid="{737088B4-26C2-432B-BB39-08990BA97FE3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5" l="1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2" i="5"/>
  <c r="J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</calcChain>
</file>

<file path=xl/sharedStrings.xml><?xml version="1.0" encoding="utf-8"?>
<sst xmlns="http://schemas.openxmlformats.org/spreadsheetml/2006/main" count="183" uniqueCount="34">
  <si>
    <t>Model</t>
  </si>
  <si>
    <t>Obj Value</t>
  </si>
  <si>
    <t>Avg Tender Length</t>
  </si>
  <si>
    <t xml:space="preserve"> Overlapping Tenders</t>
  </si>
  <si>
    <t>Original</t>
  </si>
  <si>
    <t>Min Unvax Children</t>
  </si>
  <si>
    <t>Max Profit</t>
  </si>
  <si>
    <t>Min Unvax/Max Profit*</t>
  </si>
  <si>
    <t>Average Unvaccinated Children</t>
  </si>
  <si>
    <t>Model Type</t>
  </si>
  <si>
    <t>Producer</t>
  </si>
  <si>
    <t>Producer Size</t>
  </si>
  <si>
    <t>Expected Capacity Usage (%)</t>
  </si>
  <si>
    <t>Total Capacity Increase (%)</t>
  </si>
  <si>
    <t>Serum_Institute</t>
  </si>
  <si>
    <t>Large</t>
  </si>
  <si>
    <t>GSK</t>
  </si>
  <si>
    <t>Biological_E</t>
  </si>
  <si>
    <t>Sanofi</t>
  </si>
  <si>
    <t>Medium</t>
  </si>
  <si>
    <t>Pfizer</t>
  </si>
  <si>
    <t>Haffkine_Bio</t>
  </si>
  <si>
    <t>Bharat_Biotech</t>
  </si>
  <si>
    <t>Merck_Sharp</t>
  </si>
  <si>
    <t>PT_Bio</t>
  </si>
  <si>
    <t>LG_Chem</t>
  </si>
  <si>
    <t>BB_NCIPD</t>
  </si>
  <si>
    <t>China_National</t>
  </si>
  <si>
    <t>Small</t>
  </si>
  <si>
    <t>Bilthoven</t>
  </si>
  <si>
    <t>Panacea_Biotec</t>
  </si>
  <si>
    <t>AJ_Vaccines</t>
  </si>
  <si>
    <t>Min Unvax</t>
  </si>
  <si>
    <t>Min Unvax / Max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</si>
</sst>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rgb="FF000000"/>
      <name val="Arial Unicode MS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medium">
        <color rgb="FF5B9BD5"/>
      </left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rgb="FF5B9BD5"/>
      </left>
      <right style="medium">
        <color rgb="FF5B9BD5"/>
      </right>
      <top style="medium">
        <color rgb="FF5B9BD5"/>
      </top>
      <bottom/>
      <diagonal/>
    </border>
    <border>
      <left style="medium">
        <color rgb="FF5B9BD5"/>
      </left>
      <right style="medium">
        <color rgb="FF5B9BD5"/>
      </right>
      <top/>
      <bottom/>
      <diagonal/>
    </border>
    <border>
      <left style="medium">
        <color rgb="FF5B9BD5"/>
      </left>
      <right style="medium">
        <color rgb="FF5B9BD5"/>
      </right>
      <top/>
      <bottom style="medium">
        <color rgb="FF5B9BD5"/>
      </bottom>
      <diagonal/>
    </border>
  </borders>
  <cellStyleXfs count="1">
    <xf numFmtId="0" fontId="0" fillId="0" borderId="0"/>
  </cellStyleXfs>
  <cellXfs count="15">
    <xf numFmtId="0" fontId="0" fillId="0" borderId="0" xfId="0"/>
    <xf numFmtId="11" fontId="0" fillId="0" borderId="0" xfId="0" applyNumberFormat="1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left" wrapText="1" readingOrder="1"/>
    </xf>
    <xf numFmtId="0" fontId="3" fillId="0" borderId="1" xfId="0" applyFont="1" applyBorder="1" applyAlignment="1">
      <alignment horizontal="center" wrapText="1" readingOrder="1"/>
    </xf>
    <xf numFmtId="9" fontId="3" fillId="0" borderId="1" xfId="0" applyNumberFormat="1" applyFont="1" applyBorder="1" applyAlignment="1">
      <alignment horizont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center" vertical="center" wrapText="1" readingOrder="1"/>
    </xf>
    <xf numFmtId="9" fontId="3" fillId="0" borderId="1" xfId="0" applyNumberFormat="1" applyFont="1" applyFill="1" applyBorder="1" applyAlignment="1">
      <alignment horizontal="center" wrapText="1" readingOrder="1"/>
    </xf>
    <xf numFmtId="0" fontId="0" fillId="0" borderId="0" xfId="0" applyFill="1"/>
    <xf numFmtId="10" fontId="0" fillId="0" borderId="0" xfId="0" applyNumberFormat="1"/>
    <xf numFmtId="0" fontId="3" fillId="2" borderId="1" xfId="0" applyFont="1" applyFill="1" applyBorder="1" applyAlignment="1">
      <alignment horizontal="left" wrapText="1" readingOrder="1"/>
    </xf>
    <xf numFmtId="9" fontId="3" fillId="2" borderId="1" xfId="0" applyNumberFormat="1" applyFont="1" applyFill="1" applyBorder="1" applyAlignment="1">
      <alignment horizont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0E420-8259-43A1-ABA3-E081BD391F9B}">
  <dimension ref="A1:E5"/>
  <sheetViews>
    <sheetView workbookViewId="0">
      <selection activeCell="D12" sqref="D12"/>
    </sheetView>
  </sheetViews>
  <sheetFormatPr defaultRowHeight="15"/>
  <cols>
    <col min="1" max="1" width="20.7109375" bestFit="1" customWidth="1"/>
    <col min="2" max="2" width="9.5703125" bestFit="1" customWidth="1"/>
    <col min="3" max="3" width="16.7109375" bestFit="1" customWidth="1"/>
    <col min="4" max="4" width="19.85546875" bestFit="1" customWidth="1"/>
    <col min="5" max="5" width="28.71093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8</v>
      </c>
    </row>
    <row r="2" spans="1:5">
      <c r="A2" t="s">
        <v>4</v>
      </c>
      <c r="B2" s="1">
        <v>52035716.599849999</v>
      </c>
      <c r="C2" s="3">
        <v>3.74</v>
      </c>
      <c r="D2">
        <v>11</v>
      </c>
      <c r="E2" s="1">
        <v>291086.59999999998</v>
      </c>
    </row>
    <row r="3" spans="1:5">
      <c r="A3" t="s">
        <v>5</v>
      </c>
      <c r="B3" s="1">
        <v>2697798.8457180001</v>
      </c>
      <c r="C3">
        <v>3.38</v>
      </c>
      <c r="D3">
        <v>5</v>
      </c>
      <c r="E3" s="1">
        <v>269779.88</v>
      </c>
    </row>
    <row r="4" spans="1:5">
      <c r="A4" t="s">
        <v>6</v>
      </c>
      <c r="B4" s="1">
        <v>45921489.983110003</v>
      </c>
      <c r="C4">
        <v>2.42</v>
      </c>
      <c r="D4">
        <v>23</v>
      </c>
      <c r="E4" s="1">
        <v>8020905.1900000004</v>
      </c>
    </row>
    <row r="5" spans="1:5">
      <c r="A5" s="2" t="s">
        <v>7</v>
      </c>
      <c r="B5" s="1">
        <v>9759010.4406090006</v>
      </c>
      <c r="C5">
        <v>2.87</v>
      </c>
      <c r="D5">
        <v>35</v>
      </c>
      <c r="E5" s="1">
        <v>273183.27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BC484-28D6-43C8-A950-8F8AA696BED0}">
  <dimension ref="A1:F16"/>
  <sheetViews>
    <sheetView workbookViewId="0">
      <selection activeCell="E16" sqref="A1:E16"/>
    </sheetView>
  </sheetViews>
  <sheetFormatPr defaultRowHeight="15"/>
  <cols>
    <col min="1" max="1" width="8" bestFit="1" customWidth="1"/>
    <col min="2" max="2" width="18.5703125" customWidth="1"/>
    <col min="4" max="4" width="17.28515625" customWidth="1"/>
    <col min="5" max="5" width="18.42578125" customWidth="1"/>
  </cols>
  <sheetData>
    <row r="1" spans="1:6" ht="45.75" thickBot="1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</row>
    <row r="2" spans="1:6" ht="15.75" thickBot="1">
      <c r="A2" s="7" t="s">
        <v>4</v>
      </c>
      <c r="B2" s="13" t="s">
        <v>14</v>
      </c>
      <c r="C2" s="13" t="s">
        <v>15</v>
      </c>
      <c r="D2" s="14">
        <v>0.74199999999999999</v>
      </c>
      <c r="E2" s="14">
        <v>2</v>
      </c>
    </row>
    <row r="3" spans="1:6" ht="15.75" thickBot="1">
      <c r="A3" s="8"/>
      <c r="B3" s="13" t="s">
        <v>16</v>
      </c>
      <c r="C3" s="13" t="s">
        <v>15</v>
      </c>
      <c r="D3" s="14">
        <v>0.6169</v>
      </c>
      <c r="E3" s="14">
        <v>1.8</v>
      </c>
    </row>
    <row r="4" spans="1:6" ht="15.75" thickBot="1">
      <c r="A4" s="8"/>
      <c r="B4" s="13" t="s">
        <v>17</v>
      </c>
      <c r="C4" s="13" t="s">
        <v>15</v>
      </c>
      <c r="D4" s="14">
        <v>0.63080000000000003</v>
      </c>
      <c r="E4" s="14">
        <v>1.6</v>
      </c>
    </row>
    <row r="5" spans="1:6" ht="15.75" thickBot="1">
      <c r="A5" s="8"/>
      <c r="B5" s="4" t="s">
        <v>18</v>
      </c>
      <c r="C5" s="4" t="s">
        <v>19</v>
      </c>
      <c r="D5" s="6">
        <v>0.55210000000000004</v>
      </c>
      <c r="E5" s="6">
        <v>1.4</v>
      </c>
    </row>
    <row r="6" spans="1:6" ht="15.75" thickBot="1">
      <c r="A6" s="8"/>
      <c r="B6" s="4" t="s">
        <v>20</v>
      </c>
      <c r="C6" s="4" t="s">
        <v>19</v>
      </c>
      <c r="D6" s="6">
        <v>0.64129999999999998</v>
      </c>
      <c r="E6" s="6">
        <v>0</v>
      </c>
    </row>
    <row r="7" spans="1:6" ht="15.75" thickBot="1">
      <c r="A7" s="8"/>
      <c r="B7" s="4" t="s">
        <v>21</v>
      </c>
      <c r="C7" s="4" t="s">
        <v>19</v>
      </c>
      <c r="D7" s="6">
        <v>0.85560000000000003</v>
      </c>
      <c r="E7" s="6">
        <v>0</v>
      </c>
    </row>
    <row r="8" spans="1:6" ht="15.75" thickBot="1">
      <c r="A8" s="8"/>
      <c r="B8" s="4" t="s">
        <v>22</v>
      </c>
      <c r="C8" s="4" t="s">
        <v>19</v>
      </c>
      <c r="D8" s="6">
        <v>0.67290000000000005</v>
      </c>
      <c r="E8" s="6">
        <v>1</v>
      </c>
    </row>
    <row r="9" spans="1:6" ht="15.75" thickBot="1">
      <c r="A9" s="8"/>
      <c r="B9" s="4" t="s">
        <v>23</v>
      </c>
      <c r="C9" s="4" t="s">
        <v>19</v>
      </c>
      <c r="D9" s="6">
        <v>0.78349999999999997</v>
      </c>
      <c r="E9" s="6">
        <v>0</v>
      </c>
    </row>
    <row r="10" spans="1:6" ht="15.75" thickBot="1">
      <c r="A10" s="8"/>
      <c r="B10" s="4" t="s">
        <v>24</v>
      </c>
      <c r="C10" s="4" t="s">
        <v>19</v>
      </c>
      <c r="D10" s="10">
        <v>0.81159999999999999</v>
      </c>
      <c r="E10" s="10">
        <v>1.2</v>
      </c>
      <c r="F10" s="11"/>
    </row>
    <row r="11" spans="1:6" ht="15.75" thickBot="1">
      <c r="A11" s="8"/>
      <c r="B11" s="4" t="s">
        <v>25</v>
      </c>
      <c r="C11" s="4" t="s">
        <v>19</v>
      </c>
      <c r="D11" s="10">
        <v>0.64510000000000001</v>
      </c>
      <c r="E11" s="10">
        <v>1</v>
      </c>
      <c r="F11" s="11"/>
    </row>
    <row r="12" spans="1:6" ht="15.75" thickBot="1">
      <c r="A12" s="8"/>
      <c r="B12" s="4" t="s">
        <v>26</v>
      </c>
      <c r="C12" s="4" t="s">
        <v>19</v>
      </c>
      <c r="D12" s="10">
        <v>0.43709999999999999</v>
      </c>
      <c r="E12" s="10">
        <v>1</v>
      </c>
      <c r="F12" s="11"/>
    </row>
    <row r="13" spans="1:6" ht="15.75" thickBot="1">
      <c r="A13" s="8"/>
      <c r="B13" s="13" t="s">
        <v>27</v>
      </c>
      <c r="C13" s="13" t="s">
        <v>28</v>
      </c>
      <c r="D13" s="14">
        <v>0.92290000000000005</v>
      </c>
      <c r="E13" s="14">
        <v>0.2</v>
      </c>
      <c r="F13" s="11"/>
    </row>
    <row r="14" spans="1:6" ht="15.75" thickBot="1">
      <c r="A14" s="8"/>
      <c r="B14" s="13" t="s">
        <v>29</v>
      </c>
      <c r="C14" s="13" t="s">
        <v>28</v>
      </c>
      <c r="D14" s="14">
        <v>0.60960000000000003</v>
      </c>
      <c r="E14" s="14">
        <v>0.1</v>
      </c>
      <c r="F14" s="11"/>
    </row>
    <row r="15" spans="1:6" ht="15.75" thickBot="1">
      <c r="A15" s="8"/>
      <c r="B15" s="13" t="s">
        <v>30</v>
      </c>
      <c r="C15" s="13" t="s">
        <v>28</v>
      </c>
      <c r="D15" s="14">
        <v>1</v>
      </c>
      <c r="E15" s="14">
        <v>0</v>
      </c>
      <c r="F15" s="11"/>
    </row>
    <row r="16" spans="1:6" ht="15.75" thickBot="1">
      <c r="A16" s="9"/>
      <c r="B16" s="13" t="s">
        <v>31</v>
      </c>
      <c r="C16" s="13" t="s">
        <v>28</v>
      </c>
      <c r="D16" s="14">
        <v>0.57920000000000005</v>
      </c>
      <c r="E16" s="14">
        <v>0</v>
      </c>
    </row>
  </sheetData>
  <mergeCells count="1">
    <mergeCell ref="A2:A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7C36F-2CF4-48CA-A690-E65BD45F7540}">
  <dimension ref="A1:E16"/>
  <sheetViews>
    <sheetView workbookViewId="0">
      <selection activeCell="E16" sqref="A1:E16"/>
    </sheetView>
  </sheetViews>
  <sheetFormatPr defaultRowHeight="15"/>
  <sheetData>
    <row r="1" spans="1:5" ht="75.75" thickBot="1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</row>
    <row r="2" spans="1:5" ht="30.75" thickBot="1">
      <c r="A2" s="7" t="s">
        <v>32</v>
      </c>
      <c r="B2" s="4" t="s">
        <v>14</v>
      </c>
      <c r="C2" s="4" t="s">
        <v>15</v>
      </c>
      <c r="D2" s="6">
        <v>0.7379</v>
      </c>
      <c r="E2" s="6">
        <v>2</v>
      </c>
    </row>
    <row r="3" spans="1:5" ht="15.75" thickBot="1">
      <c r="A3" s="8"/>
      <c r="B3" s="4" t="s">
        <v>16</v>
      </c>
      <c r="C3" s="4" t="s">
        <v>15</v>
      </c>
      <c r="D3" s="6">
        <v>0.62509999999999999</v>
      </c>
      <c r="E3" s="6">
        <v>2</v>
      </c>
    </row>
    <row r="4" spans="1:5" ht="30.75" thickBot="1">
      <c r="A4" s="8"/>
      <c r="B4" s="4" t="s">
        <v>17</v>
      </c>
      <c r="C4" s="4" t="s">
        <v>15</v>
      </c>
      <c r="D4" s="6">
        <v>0.7893</v>
      </c>
      <c r="E4" s="6">
        <v>2</v>
      </c>
    </row>
    <row r="5" spans="1:5" ht="15.75" thickBot="1">
      <c r="A5" s="8"/>
      <c r="B5" s="4" t="s">
        <v>18</v>
      </c>
      <c r="C5" s="4" t="s">
        <v>19</v>
      </c>
      <c r="D5" s="6">
        <v>0.76859999999999995</v>
      </c>
      <c r="E5" s="6">
        <v>2</v>
      </c>
    </row>
    <row r="6" spans="1:5" ht="15.75" thickBot="1">
      <c r="A6" s="8"/>
      <c r="B6" s="4" t="s">
        <v>20</v>
      </c>
      <c r="C6" s="4" t="s">
        <v>19</v>
      </c>
      <c r="D6" s="6">
        <v>0.65539999999999998</v>
      </c>
      <c r="E6" s="6">
        <v>0.5</v>
      </c>
    </row>
    <row r="7" spans="1:5" ht="30.75" thickBot="1">
      <c r="A7" s="8"/>
      <c r="B7" s="4" t="s">
        <v>21</v>
      </c>
      <c r="C7" s="4" t="s">
        <v>19</v>
      </c>
      <c r="D7" s="6">
        <v>0.66120000000000001</v>
      </c>
      <c r="E7" s="6">
        <v>0.5</v>
      </c>
    </row>
    <row r="8" spans="1:5" ht="30.75" thickBot="1">
      <c r="A8" s="8"/>
      <c r="B8" s="4" t="s">
        <v>22</v>
      </c>
      <c r="C8" s="4" t="s">
        <v>19</v>
      </c>
      <c r="D8" s="6">
        <v>0.9012</v>
      </c>
      <c r="E8" s="6">
        <v>1.2</v>
      </c>
    </row>
    <row r="9" spans="1:5" ht="30.75" thickBot="1">
      <c r="A9" s="8"/>
      <c r="B9" s="4" t="s">
        <v>23</v>
      </c>
      <c r="C9" s="4" t="s">
        <v>19</v>
      </c>
      <c r="D9" s="6">
        <v>0.51670000000000005</v>
      </c>
      <c r="E9" s="6">
        <v>1</v>
      </c>
    </row>
    <row r="10" spans="1:5" ht="15.75" thickBot="1">
      <c r="A10" s="8"/>
      <c r="B10" s="4" t="s">
        <v>24</v>
      </c>
      <c r="C10" s="4" t="s">
        <v>19</v>
      </c>
      <c r="D10" s="10">
        <v>0.76359999999999995</v>
      </c>
      <c r="E10" s="10">
        <v>2</v>
      </c>
    </row>
    <row r="11" spans="1:5" ht="30.75" thickBot="1">
      <c r="A11" s="8"/>
      <c r="B11" s="4" t="s">
        <v>25</v>
      </c>
      <c r="C11" s="4" t="s">
        <v>19</v>
      </c>
      <c r="D11" s="10">
        <v>0.77139999999999997</v>
      </c>
      <c r="E11" s="10">
        <v>1.4</v>
      </c>
    </row>
    <row r="12" spans="1:5" ht="30.75" thickBot="1">
      <c r="A12" s="8"/>
      <c r="B12" s="4" t="s">
        <v>26</v>
      </c>
      <c r="C12" s="4" t="s">
        <v>19</v>
      </c>
      <c r="D12" s="10">
        <v>0.76580000000000004</v>
      </c>
      <c r="E12" s="10">
        <v>1.2</v>
      </c>
    </row>
    <row r="13" spans="1:5" ht="30.75" thickBot="1">
      <c r="A13" s="8"/>
      <c r="B13" s="4" t="s">
        <v>27</v>
      </c>
      <c r="C13" s="4" t="s">
        <v>28</v>
      </c>
      <c r="D13" s="10">
        <v>0.62629999999999997</v>
      </c>
      <c r="E13" s="10">
        <v>1.4</v>
      </c>
    </row>
    <row r="14" spans="1:5" ht="30.75" thickBot="1">
      <c r="A14" s="8"/>
      <c r="B14" s="4" t="s">
        <v>29</v>
      </c>
      <c r="C14" s="4" t="s">
        <v>28</v>
      </c>
      <c r="D14" s="10">
        <v>0.62570000000000003</v>
      </c>
      <c r="E14" s="10">
        <v>0.8</v>
      </c>
    </row>
    <row r="15" spans="1:5" ht="30.75" thickBot="1">
      <c r="A15" s="8"/>
      <c r="B15" s="4" t="s">
        <v>30</v>
      </c>
      <c r="C15" s="4" t="s">
        <v>28</v>
      </c>
      <c r="D15" s="10">
        <v>0.79700000000000004</v>
      </c>
      <c r="E15" s="10">
        <v>1.2</v>
      </c>
    </row>
    <row r="16" spans="1:5" ht="30.75" thickBot="1">
      <c r="A16" s="9"/>
      <c r="B16" s="4" t="s">
        <v>31</v>
      </c>
      <c r="C16" s="4" t="s">
        <v>28</v>
      </c>
      <c r="D16" s="6">
        <v>0.64</v>
      </c>
      <c r="E16" s="6">
        <v>0.5</v>
      </c>
    </row>
  </sheetData>
  <mergeCells count="1">
    <mergeCell ref="A2:A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BCC02-8035-4533-BB9A-3A45C0C39C7C}">
  <dimension ref="A1:E16"/>
  <sheetViews>
    <sheetView workbookViewId="0">
      <selection activeCell="G1" sqref="G1:I1048576"/>
    </sheetView>
  </sheetViews>
  <sheetFormatPr defaultRowHeight="15"/>
  <cols>
    <col min="2" max="2" width="14.140625" customWidth="1"/>
    <col min="3" max="3" width="17" customWidth="1"/>
    <col min="4" max="5" width="17.5703125" customWidth="1"/>
  </cols>
  <sheetData>
    <row r="1" spans="1:5" ht="30.75" thickBot="1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</row>
    <row r="2" spans="1:5" ht="30.75" thickBot="1">
      <c r="A2" s="7" t="s">
        <v>6</v>
      </c>
      <c r="B2" s="4" t="s">
        <v>14</v>
      </c>
      <c r="C2" s="4" t="s">
        <v>15</v>
      </c>
      <c r="D2" s="6">
        <v>1</v>
      </c>
      <c r="E2" s="6">
        <v>2</v>
      </c>
    </row>
    <row r="3" spans="1:5" ht="15.75" thickBot="1">
      <c r="A3" s="8"/>
      <c r="B3" s="4" t="s">
        <v>16</v>
      </c>
      <c r="C3" s="4" t="s">
        <v>15</v>
      </c>
      <c r="D3" s="6">
        <v>1</v>
      </c>
      <c r="E3" s="6">
        <v>2</v>
      </c>
    </row>
    <row r="4" spans="1:5" ht="30.75" customHeight="1" thickBot="1">
      <c r="A4" s="8"/>
      <c r="B4" s="4" t="s">
        <v>17</v>
      </c>
      <c r="C4" s="4" t="s">
        <v>15</v>
      </c>
      <c r="D4" s="6">
        <v>1</v>
      </c>
      <c r="E4" s="6">
        <v>2</v>
      </c>
    </row>
    <row r="5" spans="1:5" ht="15.75" thickBot="1">
      <c r="A5" s="8"/>
      <c r="B5" s="4" t="s">
        <v>18</v>
      </c>
      <c r="C5" s="4" t="s">
        <v>19</v>
      </c>
      <c r="D5" s="6">
        <v>1</v>
      </c>
      <c r="E5" s="6">
        <v>2</v>
      </c>
    </row>
    <row r="6" spans="1:5" ht="15.75" thickBot="1">
      <c r="A6" s="8"/>
      <c r="B6" s="4" t="s">
        <v>20</v>
      </c>
      <c r="C6" s="4" t="s">
        <v>19</v>
      </c>
      <c r="D6" s="6">
        <v>0.56910000000000005</v>
      </c>
      <c r="E6" s="6">
        <v>1.2</v>
      </c>
    </row>
    <row r="7" spans="1:5" ht="30.75" customHeight="1" thickBot="1">
      <c r="A7" s="8"/>
      <c r="B7" s="4" t="s">
        <v>21</v>
      </c>
      <c r="C7" s="4" t="s">
        <v>19</v>
      </c>
      <c r="D7" s="6">
        <v>0.74780000000000002</v>
      </c>
      <c r="E7" s="6">
        <v>0.4</v>
      </c>
    </row>
    <row r="8" spans="1:5" ht="30.75" thickBot="1">
      <c r="A8" s="8"/>
      <c r="B8" s="4" t="s">
        <v>22</v>
      </c>
      <c r="C8" s="4" t="s">
        <v>19</v>
      </c>
      <c r="D8" s="6">
        <v>0.89100000000000001</v>
      </c>
      <c r="E8" s="6">
        <v>1.8</v>
      </c>
    </row>
    <row r="9" spans="1:5" ht="30.75" customHeight="1" thickBot="1">
      <c r="A9" s="8"/>
      <c r="B9" s="4" t="s">
        <v>23</v>
      </c>
      <c r="C9" s="4" t="s">
        <v>19</v>
      </c>
      <c r="D9" s="6">
        <v>0.50070000000000003</v>
      </c>
      <c r="E9" s="6">
        <v>1.6</v>
      </c>
    </row>
    <row r="10" spans="1:5" ht="15.75" thickBot="1">
      <c r="A10" s="8"/>
      <c r="B10" s="4" t="s">
        <v>24</v>
      </c>
      <c r="C10" s="4" t="s">
        <v>19</v>
      </c>
      <c r="D10" s="10">
        <v>1</v>
      </c>
      <c r="E10" s="10">
        <v>2</v>
      </c>
    </row>
    <row r="11" spans="1:5" ht="30.75" customHeight="1" thickBot="1">
      <c r="A11" s="8"/>
      <c r="B11" s="4" t="s">
        <v>25</v>
      </c>
      <c r="C11" s="4" t="s">
        <v>19</v>
      </c>
      <c r="D11" s="10">
        <v>1</v>
      </c>
      <c r="E11" s="10">
        <v>2</v>
      </c>
    </row>
    <row r="12" spans="1:5" ht="30.75" customHeight="1" thickBot="1">
      <c r="A12" s="8"/>
      <c r="B12" s="4" t="s">
        <v>26</v>
      </c>
      <c r="C12" s="4" t="s">
        <v>19</v>
      </c>
      <c r="D12" s="10">
        <v>1</v>
      </c>
      <c r="E12" s="10">
        <v>2</v>
      </c>
    </row>
    <row r="13" spans="1:5" ht="30.75" thickBot="1">
      <c r="A13" s="8"/>
      <c r="B13" s="4" t="s">
        <v>27</v>
      </c>
      <c r="C13" s="4" t="s">
        <v>28</v>
      </c>
      <c r="D13" s="10">
        <v>0.90910000000000002</v>
      </c>
      <c r="E13" s="10">
        <v>1.4</v>
      </c>
    </row>
    <row r="14" spans="1:5" ht="30.75" customHeight="1" thickBot="1">
      <c r="A14" s="8"/>
      <c r="B14" s="4" t="s">
        <v>29</v>
      </c>
      <c r="C14" s="4" t="s">
        <v>28</v>
      </c>
      <c r="D14" s="10">
        <v>0.50590000000000002</v>
      </c>
      <c r="E14" s="10">
        <v>1.6</v>
      </c>
    </row>
    <row r="15" spans="1:5" ht="30.75" thickBot="1">
      <c r="A15" s="8"/>
      <c r="B15" s="4" t="s">
        <v>30</v>
      </c>
      <c r="C15" s="4" t="s">
        <v>28</v>
      </c>
      <c r="D15" s="10">
        <v>0.76170000000000004</v>
      </c>
      <c r="E15" s="10">
        <v>2</v>
      </c>
    </row>
    <row r="16" spans="1:5" ht="30.75" customHeight="1" thickBot="1">
      <c r="A16" s="9"/>
      <c r="B16" s="4" t="s">
        <v>31</v>
      </c>
      <c r="C16" s="4" t="s">
        <v>28</v>
      </c>
      <c r="D16" s="6">
        <v>0.60360000000000003</v>
      </c>
      <c r="E16" s="6">
        <v>1.2</v>
      </c>
    </row>
  </sheetData>
  <mergeCells count="1">
    <mergeCell ref="A2:A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4E673-FF58-4F2D-A9F8-F8D2C695DD63}">
  <dimension ref="A1:N16"/>
  <sheetViews>
    <sheetView tabSelected="1" workbookViewId="0">
      <selection activeCell="E4" sqref="E4"/>
    </sheetView>
  </sheetViews>
  <sheetFormatPr defaultRowHeight="15"/>
  <cols>
    <col min="2" max="2" width="18.140625" customWidth="1"/>
    <col min="3" max="3" width="9" bestFit="1" customWidth="1"/>
    <col min="4" max="4" width="21.28515625" customWidth="1"/>
    <col min="5" max="5" width="21.5703125" customWidth="1"/>
  </cols>
  <sheetData>
    <row r="1" spans="1:14" ht="30.75" customHeight="1" thickBot="1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</row>
    <row r="2" spans="1:14" ht="15.75" thickBot="1">
      <c r="A2" s="7" t="s">
        <v>33</v>
      </c>
      <c r="B2" s="4" t="s">
        <v>14</v>
      </c>
      <c r="C2" s="4" t="s">
        <v>15</v>
      </c>
      <c r="D2" s="6">
        <v>1</v>
      </c>
      <c r="E2" s="6">
        <v>2</v>
      </c>
      <c r="H2" t="s">
        <v>14</v>
      </c>
      <c r="I2" s="12">
        <v>1</v>
      </c>
      <c r="J2">
        <f>I2/100</f>
        <v>0.01</v>
      </c>
      <c r="L2" t="s">
        <v>14</v>
      </c>
      <c r="M2">
        <v>200</v>
      </c>
      <c r="N2">
        <f>M2/100</f>
        <v>2</v>
      </c>
    </row>
    <row r="3" spans="1:14" ht="15.75" thickBot="1">
      <c r="A3" s="8"/>
      <c r="B3" s="4" t="s">
        <v>16</v>
      </c>
      <c r="C3" s="4" t="s">
        <v>15</v>
      </c>
      <c r="D3" s="6">
        <v>1</v>
      </c>
      <c r="E3" s="6">
        <v>2</v>
      </c>
      <c r="H3" t="s">
        <v>16</v>
      </c>
      <c r="I3" s="12">
        <v>1</v>
      </c>
      <c r="J3">
        <f t="shared" ref="J3:J16" si="0">I3/100</f>
        <v>0.01</v>
      </c>
      <c r="L3" t="s">
        <v>16</v>
      </c>
      <c r="M3">
        <v>200</v>
      </c>
      <c r="N3">
        <f t="shared" ref="N3:N16" si="1">M3/100</f>
        <v>2</v>
      </c>
    </row>
    <row r="4" spans="1:14" ht="15.75" thickBot="1">
      <c r="A4" s="8"/>
      <c r="B4" s="4" t="s">
        <v>17</v>
      </c>
      <c r="C4" s="4" t="s">
        <v>15</v>
      </c>
      <c r="D4" s="6">
        <v>1</v>
      </c>
      <c r="E4" s="6">
        <v>2</v>
      </c>
      <c r="H4" t="s">
        <v>17</v>
      </c>
      <c r="I4" s="12">
        <v>1</v>
      </c>
      <c r="J4">
        <f t="shared" si="0"/>
        <v>0.01</v>
      </c>
      <c r="L4" t="s">
        <v>17</v>
      </c>
      <c r="M4">
        <v>200</v>
      </c>
      <c r="N4">
        <f t="shared" si="1"/>
        <v>2</v>
      </c>
    </row>
    <row r="5" spans="1:14" ht="15.75" thickBot="1">
      <c r="A5" s="8"/>
      <c r="B5" s="4" t="s">
        <v>18</v>
      </c>
      <c r="C5" s="4" t="s">
        <v>19</v>
      </c>
      <c r="D5" s="6">
        <v>1</v>
      </c>
      <c r="E5" s="6">
        <v>2</v>
      </c>
      <c r="H5" t="s">
        <v>18</v>
      </c>
      <c r="I5" s="12">
        <v>1</v>
      </c>
      <c r="J5">
        <f t="shared" si="0"/>
        <v>0.01</v>
      </c>
      <c r="L5" t="s">
        <v>18</v>
      </c>
      <c r="M5">
        <v>200</v>
      </c>
      <c r="N5">
        <f t="shared" si="1"/>
        <v>2</v>
      </c>
    </row>
    <row r="6" spans="1:14" ht="15.75" thickBot="1">
      <c r="A6" s="8"/>
      <c r="B6" s="4" t="s">
        <v>20</v>
      </c>
      <c r="C6" s="4" t="s">
        <v>19</v>
      </c>
      <c r="D6" s="6">
        <v>0.59619999999999995</v>
      </c>
      <c r="E6" s="6">
        <v>0.8</v>
      </c>
      <c r="H6" t="s">
        <v>20</v>
      </c>
      <c r="I6" s="12">
        <v>0.59619999999999995</v>
      </c>
      <c r="J6">
        <f t="shared" si="0"/>
        <v>5.9619999999999994E-3</v>
      </c>
      <c r="L6" t="s">
        <v>20</v>
      </c>
      <c r="M6">
        <v>80</v>
      </c>
      <c r="N6">
        <f t="shared" si="1"/>
        <v>0.8</v>
      </c>
    </row>
    <row r="7" spans="1:14" ht="15.75" thickBot="1">
      <c r="A7" s="8"/>
      <c r="B7" s="4" t="s">
        <v>21</v>
      </c>
      <c r="C7" s="4" t="s">
        <v>19</v>
      </c>
      <c r="D7" s="6">
        <v>0.69579999999999997</v>
      </c>
      <c r="E7" s="6">
        <v>0.7</v>
      </c>
      <c r="H7" t="s">
        <v>21</v>
      </c>
      <c r="I7" s="12">
        <v>0.69579999999999997</v>
      </c>
      <c r="J7">
        <f t="shared" si="0"/>
        <v>6.9579999999999998E-3</v>
      </c>
      <c r="L7" t="s">
        <v>21</v>
      </c>
      <c r="M7">
        <v>70</v>
      </c>
      <c r="N7">
        <f t="shared" si="1"/>
        <v>0.7</v>
      </c>
    </row>
    <row r="8" spans="1:14" ht="15.75" thickBot="1">
      <c r="A8" s="8"/>
      <c r="B8" s="4" t="s">
        <v>22</v>
      </c>
      <c r="C8" s="4" t="s">
        <v>19</v>
      </c>
      <c r="D8" s="6">
        <v>0.88229999999999997</v>
      </c>
      <c r="E8" s="6">
        <v>1.6</v>
      </c>
      <c r="H8" t="s">
        <v>22</v>
      </c>
      <c r="I8" s="12">
        <v>0.88229999999999997</v>
      </c>
      <c r="J8">
        <f t="shared" si="0"/>
        <v>8.8229999999999992E-3</v>
      </c>
      <c r="L8" t="s">
        <v>22</v>
      </c>
      <c r="M8">
        <v>160</v>
      </c>
      <c r="N8">
        <f t="shared" si="1"/>
        <v>1.6</v>
      </c>
    </row>
    <row r="9" spans="1:14" ht="15.75" thickBot="1">
      <c r="A9" s="8"/>
      <c r="B9" s="4" t="s">
        <v>23</v>
      </c>
      <c r="C9" s="4" t="s">
        <v>19</v>
      </c>
      <c r="D9" s="6">
        <v>0.56269999999999998</v>
      </c>
      <c r="E9" s="6">
        <v>1</v>
      </c>
      <c r="H9" t="s">
        <v>23</v>
      </c>
      <c r="I9" s="12">
        <v>0.56269999999999998</v>
      </c>
      <c r="J9">
        <f t="shared" si="0"/>
        <v>5.6270000000000001E-3</v>
      </c>
      <c r="L9" t="s">
        <v>23</v>
      </c>
      <c r="M9">
        <v>100</v>
      </c>
      <c r="N9">
        <f t="shared" si="1"/>
        <v>1</v>
      </c>
    </row>
    <row r="10" spans="1:14" ht="15.75" thickBot="1">
      <c r="A10" s="8"/>
      <c r="B10" s="4" t="s">
        <v>24</v>
      </c>
      <c r="C10" s="4" t="s">
        <v>19</v>
      </c>
      <c r="D10" s="10">
        <v>1</v>
      </c>
      <c r="E10" s="10">
        <v>2</v>
      </c>
      <c r="H10" t="s">
        <v>24</v>
      </c>
      <c r="I10" s="12">
        <v>1</v>
      </c>
      <c r="J10">
        <f t="shared" si="0"/>
        <v>0.01</v>
      </c>
      <c r="L10" t="s">
        <v>24</v>
      </c>
      <c r="M10">
        <v>200</v>
      </c>
      <c r="N10">
        <f t="shared" si="1"/>
        <v>2</v>
      </c>
    </row>
    <row r="11" spans="1:14" ht="15.75" thickBot="1">
      <c r="A11" s="8"/>
      <c r="B11" s="4" t="s">
        <v>25</v>
      </c>
      <c r="C11" s="4" t="s">
        <v>19</v>
      </c>
      <c r="D11" s="10">
        <v>1</v>
      </c>
      <c r="E11" s="10">
        <v>2</v>
      </c>
      <c r="H11" t="s">
        <v>25</v>
      </c>
      <c r="I11" s="12">
        <v>1</v>
      </c>
      <c r="J11">
        <f t="shared" si="0"/>
        <v>0.01</v>
      </c>
      <c r="L11" t="s">
        <v>25</v>
      </c>
      <c r="M11">
        <v>200</v>
      </c>
      <c r="N11">
        <f t="shared" si="1"/>
        <v>2</v>
      </c>
    </row>
    <row r="12" spans="1:14" ht="15.75" thickBot="1">
      <c r="A12" s="8"/>
      <c r="B12" s="4" t="s">
        <v>26</v>
      </c>
      <c r="C12" s="4" t="s">
        <v>19</v>
      </c>
      <c r="D12" s="10">
        <v>1</v>
      </c>
      <c r="E12" s="10">
        <v>2</v>
      </c>
      <c r="H12" t="s">
        <v>26</v>
      </c>
      <c r="I12" s="12">
        <v>1</v>
      </c>
      <c r="J12">
        <f t="shared" si="0"/>
        <v>0.01</v>
      </c>
      <c r="L12" t="s">
        <v>26</v>
      </c>
      <c r="M12">
        <v>200</v>
      </c>
      <c r="N12">
        <f t="shared" si="1"/>
        <v>2</v>
      </c>
    </row>
    <row r="13" spans="1:14" ht="15.75" thickBot="1">
      <c r="A13" s="8"/>
      <c r="B13" s="4" t="s">
        <v>27</v>
      </c>
      <c r="C13" s="4" t="s">
        <v>28</v>
      </c>
      <c r="D13" s="10">
        <v>0.86529999999999996</v>
      </c>
      <c r="E13" s="10">
        <v>1.8</v>
      </c>
      <c r="H13" t="s">
        <v>27</v>
      </c>
      <c r="I13" s="12">
        <v>0.86529999999999996</v>
      </c>
      <c r="J13">
        <f t="shared" si="0"/>
        <v>8.6529999999999992E-3</v>
      </c>
      <c r="L13" t="s">
        <v>27</v>
      </c>
      <c r="M13">
        <v>180</v>
      </c>
      <c r="N13">
        <f t="shared" si="1"/>
        <v>1.8</v>
      </c>
    </row>
    <row r="14" spans="1:14" ht="15.75" thickBot="1">
      <c r="A14" s="8"/>
      <c r="B14" s="4" t="s">
        <v>29</v>
      </c>
      <c r="C14" s="4" t="s">
        <v>28</v>
      </c>
      <c r="D14" s="10">
        <v>0.72119999999999995</v>
      </c>
      <c r="E14" s="10">
        <v>0.5</v>
      </c>
      <c r="H14" t="s">
        <v>29</v>
      </c>
      <c r="I14" s="12">
        <v>0.72119999999999995</v>
      </c>
      <c r="J14">
        <f t="shared" si="0"/>
        <v>7.2119999999999997E-3</v>
      </c>
      <c r="L14" t="s">
        <v>29</v>
      </c>
      <c r="M14">
        <v>50</v>
      </c>
      <c r="N14">
        <f t="shared" si="1"/>
        <v>0.5</v>
      </c>
    </row>
    <row r="15" spans="1:14" ht="15.75" thickBot="1">
      <c r="A15" s="8"/>
      <c r="B15" s="4" t="s">
        <v>30</v>
      </c>
      <c r="C15" s="4" t="s">
        <v>28</v>
      </c>
      <c r="D15" s="10">
        <v>0.9375</v>
      </c>
      <c r="E15" s="10">
        <v>1.4</v>
      </c>
      <c r="H15" t="s">
        <v>30</v>
      </c>
      <c r="I15" s="12">
        <v>0.9375</v>
      </c>
      <c r="J15">
        <f t="shared" si="0"/>
        <v>9.3749999999999997E-3</v>
      </c>
      <c r="L15" t="s">
        <v>30</v>
      </c>
      <c r="M15">
        <v>140</v>
      </c>
      <c r="N15">
        <f t="shared" si="1"/>
        <v>1.4</v>
      </c>
    </row>
    <row r="16" spans="1:14" ht="15.75" thickBot="1">
      <c r="A16" s="9"/>
      <c r="B16" s="4" t="s">
        <v>31</v>
      </c>
      <c r="C16" s="4" t="s">
        <v>28</v>
      </c>
      <c r="D16" s="6">
        <v>0.61860000000000004</v>
      </c>
      <c r="E16" s="6">
        <v>1.1000000000000001</v>
      </c>
      <c r="H16" t="s">
        <v>31</v>
      </c>
      <c r="I16" s="12">
        <v>0.61860000000000004</v>
      </c>
      <c r="J16">
        <f t="shared" si="0"/>
        <v>6.1860000000000005E-3</v>
      </c>
      <c r="L16" t="s">
        <v>31</v>
      </c>
      <c r="M16">
        <v>110</v>
      </c>
      <c r="N16">
        <f t="shared" si="1"/>
        <v>1.1000000000000001</v>
      </c>
    </row>
  </sheetData>
  <mergeCells count="1">
    <mergeCell ref="A2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uhorchak</dc:creator>
  <cp:lastModifiedBy>nicholas uhorchak</cp:lastModifiedBy>
  <dcterms:created xsi:type="dcterms:W3CDTF">2024-08-27T13:32:50Z</dcterms:created>
  <dcterms:modified xsi:type="dcterms:W3CDTF">2024-08-27T18:15:39Z</dcterms:modified>
</cp:coreProperties>
</file>