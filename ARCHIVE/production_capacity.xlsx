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622" documentId="8_{86CA66CD-8DAE-4142-A999-96A85A7B8E92}" xr6:coauthVersionLast="47" xr6:coauthVersionMax="47" xr10:uidLastSave="{A233CDB0-68FD-4EE0-B8A5-1BEDF70711BF}"/>
  <bookViews>
    <workbookView xWindow="-120" yWindow="-120" windowWidth="20730" windowHeight="11040" activeTab="1" xr2:uid="{752E71BE-3FD4-4CCA-ABF0-6C5710D300B4}"/>
  </bookViews>
  <sheets>
    <sheet name="total_capacity_calcs" sheetId="1" r:id="rId1"/>
    <sheet name="vaccine-producer list" sheetId="4" r:id="rId2"/>
  </sheets>
  <definedNames>
    <definedName name="_xlnm._FilterDatabase" localSheetId="0" hidden="1">total_capacity_calcs!$A$230:$AG$297</definedName>
    <definedName name="_xlnm._FilterDatabase" localSheetId="1" hidden="1">'vaccine-producer list'!$A$1:$R$54</definedName>
    <definedName name="GAVI_countries" localSheetId="1">#REF!</definedName>
    <definedName name="GAVI_countries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7" i="1" l="1"/>
  <c r="W230" i="1"/>
  <c r="Z207" i="1"/>
  <c r="Z230" i="1"/>
  <c r="Z208" i="1"/>
  <c r="Z233" i="1"/>
  <c r="Z209" i="1"/>
  <c r="Z236" i="1"/>
  <c r="Z229" i="1"/>
  <c r="AD219" i="1"/>
  <c r="AD278" i="1"/>
  <c r="AD282" i="1"/>
  <c r="AE219" i="1"/>
  <c r="AE278" i="1"/>
  <c r="AE282" i="1"/>
  <c r="AF219" i="1"/>
  <c r="AF278" i="1"/>
  <c r="AF282" i="1"/>
  <c r="AG219" i="1"/>
  <c r="AG278" i="1"/>
  <c r="AG282" i="1"/>
  <c r="AC219" i="1"/>
  <c r="AC278" i="1"/>
  <c r="AC282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C219" i="1"/>
  <c r="C278" i="1"/>
  <c r="AG211" i="1"/>
  <c r="AG243" i="1"/>
  <c r="AF211" i="1"/>
  <c r="AF243" i="1"/>
  <c r="AE211" i="1"/>
  <c r="AE243" i="1"/>
  <c r="AD211" i="1"/>
  <c r="AD243" i="1"/>
  <c r="AC211" i="1"/>
  <c r="AC243" i="1"/>
  <c r="AB211" i="1"/>
  <c r="AB243" i="1"/>
  <c r="AA211" i="1"/>
  <c r="AA243" i="1"/>
  <c r="Z211" i="1"/>
  <c r="Z243" i="1"/>
  <c r="Y211" i="1"/>
  <c r="Y243" i="1"/>
  <c r="X211" i="1"/>
  <c r="X243" i="1"/>
  <c r="W211" i="1"/>
  <c r="W243" i="1"/>
  <c r="V211" i="1"/>
  <c r="V243" i="1"/>
  <c r="U211" i="1"/>
  <c r="U243" i="1"/>
  <c r="T211" i="1"/>
  <c r="T243" i="1"/>
  <c r="S211" i="1"/>
  <c r="S243" i="1"/>
  <c r="R211" i="1"/>
  <c r="R243" i="1"/>
  <c r="Q211" i="1"/>
  <c r="Q243" i="1"/>
  <c r="P211" i="1"/>
  <c r="P243" i="1"/>
  <c r="O211" i="1"/>
  <c r="O243" i="1"/>
  <c r="N211" i="1"/>
  <c r="N243" i="1"/>
  <c r="M211" i="1"/>
  <c r="M243" i="1"/>
  <c r="L211" i="1"/>
  <c r="L243" i="1"/>
  <c r="K211" i="1"/>
  <c r="K243" i="1"/>
  <c r="J211" i="1"/>
  <c r="J243" i="1"/>
  <c r="I211" i="1"/>
  <c r="I243" i="1"/>
  <c r="H211" i="1"/>
  <c r="H243" i="1"/>
  <c r="G211" i="1"/>
  <c r="G243" i="1"/>
  <c r="F211" i="1"/>
  <c r="F243" i="1"/>
  <c r="E211" i="1"/>
  <c r="E243" i="1"/>
  <c r="D211" i="1"/>
  <c r="D243" i="1"/>
  <c r="C211" i="1"/>
  <c r="C243" i="1"/>
  <c r="AC218" i="1"/>
  <c r="AC269" i="1"/>
  <c r="AB218" i="1"/>
  <c r="AB269" i="1"/>
  <c r="AD269" i="1"/>
  <c r="AE269" i="1"/>
  <c r="AF269" i="1"/>
  <c r="AG269" i="1"/>
  <c r="AC221" i="1"/>
  <c r="AC286" i="1"/>
  <c r="AB221" i="1"/>
  <c r="AB286" i="1"/>
  <c r="AD286" i="1"/>
  <c r="AE286" i="1"/>
  <c r="AF286" i="1"/>
  <c r="AG286" i="1"/>
  <c r="D223" i="1"/>
  <c r="D294" i="1"/>
  <c r="D295" i="1"/>
  <c r="E223" i="1"/>
  <c r="E294" i="1"/>
  <c r="E295" i="1"/>
  <c r="F223" i="1"/>
  <c r="F294" i="1"/>
  <c r="F295" i="1"/>
  <c r="G223" i="1"/>
  <c r="G294" i="1"/>
  <c r="G295" i="1"/>
  <c r="H223" i="1"/>
  <c r="H294" i="1"/>
  <c r="H295" i="1"/>
  <c r="I223" i="1"/>
  <c r="I294" i="1"/>
  <c r="I295" i="1"/>
  <c r="J223" i="1"/>
  <c r="J294" i="1"/>
  <c r="J295" i="1"/>
  <c r="K223" i="1"/>
  <c r="K294" i="1"/>
  <c r="K295" i="1"/>
  <c r="L223" i="1"/>
  <c r="L294" i="1"/>
  <c r="L295" i="1"/>
  <c r="M223" i="1"/>
  <c r="M294" i="1"/>
  <c r="M295" i="1"/>
  <c r="N223" i="1"/>
  <c r="N294" i="1"/>
  <c r="N295" i="1"/>
  <c r="O223" i="1"/>
  <c r="O294" i="1"/>
  <c r="O295" i="1"/>
  <c r="P223" i="1"/>
  <c r="P294" i="1"/>
  <c r="P295" i="1"/>
  <c r="Q223" i="1"/>
  <c r="Q294" i="1"/>
  <c r="Q295" i="1"/>
  <c r="R223" i="1"/>
  <c r="R294" i="1"/>
  <c r="R295" i="1"/>
  <c r="S223" i="1"/>
  <c r="S294" i="1"/>
  <c r="S295" i="1"/>
  <c r="T223" i="1"/>
  <c r="T294" i="1"/>
  <c r="T295" i="1"/>
  <c r="U223" i="1"/>
  <c r="U294" i="1"/>
  <c r="U295" i="1"/>
  <c r="V223" i="1"/>
  <c r="V294" i="1"/>
  <c r="V295" i="1"/>
  <c r="W223" i="1"/>
  <c r="W294" i="1"/>
  <c r="W295" i="1"/>
  <c r="X223" i="1"/>
  <c r="X294" i="1"/>
  <c r="X295" i="1"/>
  <c r="Y223" i="1"/>
  <c r="Y294" i="1"/>
  <c r="Y295" i="1"/>
  <c r="Z223" i="1"/>
  <c r="Z294" i="1"/>
  <c r="Z295" i="1"/>
  <c r="AA223" i="1"/>
  <c r="AA294" i="1"/>
  <c r="AA295" i="1"/>
  <c r="AB223" i="1"/>
  <c r="AB294" i="1"/>
  <c r="AB295" i="1"/>
  <c r="AC223" i="1"/>
  <c r="AC294" i="1"/>
  <c r="AC295" i="1"/>
  <c r="AD223" i="1"/>
  <c r="AD294" i="1"/>
  <c r="AD295" i="1"/>
  <c r="AE223" i="1"/>
  <c r="AE294" i="1"/>
  <c r="AE295" i="1"/>
  <c r="AF223" i="1"/>
  <c r="AF294" i="1"/>
  <c r="AF295" i="1"/>
  <c r="AG223" i="1"/>
  <c r="AG294" i="1"/>
  <c r="AG295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D222" i="1"/>
  <c r="D290" i="1"/>
  <c r="D291" i="1"/>
  <c r="E222" i="1"/>
  <c r="E290" i="1"/>
  <c r="E291" i="1"/>
  <c r="F222" i="1"/>
  <c r="F290" i="1"/>
  <c r="F291" i="1"/>
  <c r="G222" i="1"/>
  <c r="G290" i="1"/>
  <c r="G291" i="1"/>
  <c r="H222" i="1"/>
  <c r="H290" i="1"/>
  <c r="H291" i="1"/>
  <c r="I222" i="1"/>
  <c r="I290" i="1"/>
  <c r="I291" i="1"/>
  <c r="J222" i="1"/>
  <c r="J290" i="1"/>
  <c r="J291" i="1"/>
  <c r="K222" i="1"/>
  <c r="K290" i="1"/>
  <c r="K291" i="1"/>
  <c r="L222" i="1"/>
  <c r="L290" i="1"/>
  <c r="L291" i="1"/>
  <c r="M222" i="1"/>
  <c r="M290" i="1"/>
  <c r="M291" i="1"/>
  <c r="N222" i="1"/>
  <c r="N290" i="1"/>
  <c r="N291" i="1"/>
  <c r="O222" i="1"/>
  <c r="O290" i="1"/>
  <c r="O291" i="1"/>
  <c r="P222" i="1"/>
  <c r="P290" i="1"/>
  <c r="P291" i="1"/>
  <c r="Q222" i="1"/>
  <c r="Q290" i="1"/>
  <c r="Q291" i="1"/>
  <c r="R222" i="1"/>
  <c r="R290" i="1"/>
  <c r="R291" i="1"/>
  <c r="S222" i="1"/>
  <c r="S290" i="1"/>
  <c r="S291" i="1"/>
  <c r="T222" i="1"/>
  <c r="T290" i="1"/>
  <c r="T291" i="1"/>
  <c r="U222" i="1"/>
  <c r="U290" i="1"/>
  <c r="U291" i="1"/>
  <c r="V222" i="1"/>
  <c r="V290" i="1"/>
  <c r="V291" i="1"/>
  <c r="W222" i="1"/>
  <c r="W290" i="1"/>
  <c r="W291" i="1"/>
  <c r="X222" i="1"/>
  <c r="X290" i="1"/>
  <c r="X291" i="1"/>
  <c r="Y222" i="1"/>
  <c r="Y290" i="1"/>
  <c r="Y291" i="1"/>
  <c r="Z222" i="1"/>
  <c r="Z290" i="1"/>
  <c r="Z291" i="1"/>
  <c r="AA222" i="1"/>
  <c r="AA290" i="1"/>
  <c r="AA291" i="1"/>
  <c r="AB222" i="1"/>
  <c r="AB290" i="1"/>
  <c r="AB291" i="1"/>
  <c r="AC222" i="1"/>
  <c r="AC290" i="1"/>
  <c r="AC291" i="1"/>
  <c r="AD222" i="1"/>
  <c r="AD290" i="1"/>
  <c r="AD291" i="1"/>
  <c r="AE222" i="1"/>
  <c r="AE290" i="1"/>
  <c r="AE291" i="1"/>
  <c r="AF222" i="1"/>
  <c r="AF290" i="1"/>
  <c r="AF291" i="1"/>
  <c r="AG222" i="1"/>
  <c r="AG290" i="1"/>
  <c r="AG291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C223" i="1"/>
  <c r="C294" i="1"/>
  <c r="C297" i="1"/>
  <c r="C296" i="1"/>
  <c r="C295" i="1"/>
  <c r="C222" i="1"/>
  <c r="C290" i="1"/>
  <c r="C293" i="1"/>
  <c r="C292" i="1"/>
  <c r="C291" i="1"/>
  <c r="D210" i="1"/>
  <c r="D239" i="1"/>
  <c r="E210" i="1"/>
  <c r="E239" i="1"/>
  <c r="F210" i="1"/>
  <c r="F239" i="1"/>
  <c r="G210" i="1"/>
  <c r="G239" i="1"/>
  <c r="H210" i="1"/>
  <c r="H239" i="1"/>
  <c r="I210" i="1"/>
  <c r="I239" i="1"/>
  <c r="J210" i="1"/>
  <c r="J239" i="1"/>
  <c r="K210" i="1"/>
  <c r="K239" i="1"/>
  <c r="L210" i="1"/>
  <c r="L239" i="1"/>
  <c r="M210" i="1"/>
  <c r="M239" i="1"/>
  <c r="N210" i="1"/>
  <c r="N239" i="1"/>
  <c r="O210" i="1"/>
  <c r="O239" i="1"/>
  <c r="P210" i="1"/>
  <c r="P239" i="1"/>
  <c r="Q210" i="1"/>
  <c r="Q239" i="1"/>
  <c r="R210" i="1"/>
  <c r="R239" i="1"/>
  <c r="S210" i="1"/>
  <c r="S239" i="1"/>
  <c r="T210" i="1"/>
  <c r="T239" i="1"/>
  <c r="U210" i="1"/>
  <c r="U239" i="1"/>
  <c r="V210" i="1"/>
  <c r="V239" i="1"/>
  <c r="W210" i="1"/>
  <c r="W239" i="1"/>
  <c r="X210" i="1"/>
  <c r="X239" i="1"/>
  <c r="Y210" i="1"/>
  <c r="Y239" i="1"/>
  <c r="Z210" i="1"/>
  <c r="Z239" i="1"/>
  <c r="AA210" i="1"/>
  <c r="AA239" i="1"/>
  <c r="AB210" i="1"/>
  <c r="AB239" i="1"/>
  <c r="AC210" i="1"/>
  <c r="AC239" i="1"/>
  <c r="AD210" i="1"/>
  <c r="AD239" i="1"/>
  <c r="AE210" i="1"/>
  <c r="AE239" i="1"/>
  <c r="AF210" i="1"/>
  <c r="AF239" i="1"/>
  <c r="AG210" i="1"/>
  <c r="AG239" i="1"/>
  <c r="C210" i="1"/>
  <c r="C239" i="1"/>
  <c r="D221" i="1"/>
  <c r="D286" i="1"/>
  <c r="D287" i="1"/>
  <c r="E221" i="1"/>
  <c r="E286" i="1"/>
  <c r="E287" i="1"/>
  <c r="F221" i="1"/>
  <c r="F286" i="1"/>
  <c r="F287" i="1"/>
  <c r="G221" i="1"/>
  <c r="G286" i="1"/>
  <c r="G287" i="1"/>
  <c r="H221" i="1"/>
  <c r="H286" i="1"/>
  <c r="H287" i="1"/>
  <c r="I221" i="1"/>
  <c r="I286" i="1"/>
  <c r="I287" i="1"/>
  <c r="J221" i="1"/>
  <c r="J286" i="1"/>
  <c r="J287" i="1"/>
  <c r="K221" i="1"/>
  <c r="K286" i="1"/>
  <c r="K287" i="1"/>
  <c r="L221" i="1"/>
  <c r="L286" i="1"/>
  <c r="L287" i="1"/>
  <c r="M221" i="1"/>
  <c r="M286" i="1"/>
  <c r="M287" i="1"/>
  <c r="N221" i="1"/>
  <c r="N286" i="1"/>
  <c r="N287" i="1"/>
  <c r="O221" i="1"/>
  <c r="O286" i="1"/>
  <c r="O287" i="1"/>
  <c r="P221" i="1"/>
  <c r="P286" i="1"/>
  <c r="P287" i="1"/>
  <c r="Q221" i="1"/>
  <c r="Q286" i="1"/>
  <c r="Q287" i="1"/>
  <c r="R221" i="1"/>
  <c r="R286" i="1"/>
  <c r="R287" i="1"/>
  <c r="S221" i="1"/>
  <c r="S286" i="1"/>
  <c r="S287" i="1"/>
  <c r="T221" i="1"/>
  <c r="T286" i="1"/>
  <c r="T287" i="1"/>
  <c r="U221" i="1"/>
  <c r="U286" i="1"/>
  <c r="U287" i="1"/>
  <c r="V221" i="1"/>
  <c r="V286" i="1"/>
  <c r="V287" i="1"/>
  <c r="W221" i="1"/>
  <c r="W286" i="1"/>
  <c r="W287" i="1"/>
  <c r="X221" i="1"/>
  <c r="X286" i="1"/>
  <c r="X287" i="1"/>
  <c r="Y221" i="1"/>
  <c r="Y286" i="1"/>
  <c r="Y287" i="1"/>
  <c r="Z221" i="1"/>
  <c r="Z286" i="1"/>
  <c r="Z287" i="1"/>
  <c r="AA221" i="1"/>
  <c r="AA286" i="1"/>
  <c r="AA287" i="1"/>
  <c r="AB287" i="1"/>
  <c r="AC287" i="1"/>
  <c r="AD221" i="1"/>
  <c r="AD287" i="1"/>
  <c r="AE221" i="1"/>
  <c r="AE287" i="1"/>
  <c r="AF221" i="1"/>
  <c r="AF287" i="1"/>
  <c r="AG221" i="1"/>
  <c r="AG287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C221" i="1"/>
  <c r="C286" i="1"/>
  <c r="C289" i="1"/>
  <c r="C288" i="1"/>
  <c r="C287" i="1"/>
  <c r="D220" i="1"/>
  <c r="D283" i="1"/>
  <c r="D284" i="1"/>
  <c r="E220" i="1"/>
  <c r="E283" i="1"/>
  <c r="E284" i="1"/>
  <c r="F220" i="1"/>
  <c r="F283" i="1"/>
  <c r="F284" i="1"/>
  <c r="G220" i="1"/>
  <c r="G283" i="1"/>
  <c r="G284" i="1"/>
  <c r="H220" i="1"/>
  <c r="H283" i="1"/>
  <c r="H284" i="1"/>
  <c r="I220" i="1"/>
  <c r="I283" i="1"/>
  <c r="I284" i="1"/>
  <c r="J220" i="1"/>
  <c r="J283" i="1"/>
  <c r="J284" i="1"/>
  <c r="K220" i="1"/>
  <c r="K283" i="1"/>
  <c r="K284" i="1"/>
  <c r="L220" i="1"/>
  <c r="L283" i="1"/>
  <c r="L284" i="1"/>
  <c r="M220" i="1"/>
  <c r="M283" i="1"/>
  <c r="M284" i="1"/>
  <c r="N220" i="1"/>
  <c r="N283" i="1"/>
  <c r="N284" i="1"/>
  <c r="O220" i="1"/>
  <c r="O283" i="1"/>
  <c r="O284" i="1"/>
  <c r="P220" i="1"/>
  <c r="P283" i="1"/>
  <c r="P284" i="1"/>
  <c r="Q220" i="1"/>
  <c r="Q283" i="1"/>
  <c r="Q284" i="1"/>
  <c r="R220" i="1"/>
  <c r="R283" i="1"/>
  <c r="R284" i="1"/>
  <c r="S220" i="1"/>
  <c r="S283" i="1"/>
  <c r="S284" i="1"/>
  <c r="T220" i="1"/>
  <c r="T283" i="1"/>
  <c r="T284" i="1"/>
  <c r="U220" i="1"/>
  <c r="U283" i="1"/>
  <c r="U284" i="1"/>
  <c r="V220" i="1"/>
  <c r="V283" i="1"/>
  <c r="V284" i="1"/>
  <c r="W220" i="1"/>
  <c r="W283" i="1"/>
  <c r="W284" i="1"/>
  <c r="X220" i="1"/>
  <c r="X283" i="1"/>
  <c r="X284" i="1"/>
  <c r="Y220" i="1"/>
  <c r="Y283" i="1"/>
  <c r="Y284" i="1"/>
  <c r="Z220" i="1"/>
  <c r="Z283" i="1"/>
  <c r="Z284" i="1"/>
  <c r="AA220" i="1"/>
  <c r="AA283" i="1"/>
  <c r="AA284" i="1"/>
  <c r="AB220" i="1"/>
  <c r="AB283" i="1"/>
  <c r="AB284" i="1"/>
  <c r="AC220" i="1"/>
  <c r="AC283" i="1"/>
  <c r="AC284" i="1"/>
  <c r="AD220" i="1"/>
  <c r="AD283" i="1"/>
  <c r="AD284" i="1"/>
  <c r="AE220" i="1"/>
  <c r="AE283" i="1"/>
  <c r="AE284" i="1"/>
  <c r="AF220" i="1"/>
  <c r="AF283" i="1"/>
  <c r="AF284" i="1"/>
  <c r="AG220" i="1"/>
  <c r="AG283" i="1"/>
  <c r="AG284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C220" i="1"/>
  <c r="C283" i="1"/>
  <c r="C285" i="1"/>
  <c r="C284" i="1"/>
  <c r="D278" i="1"/>
  <c r="D279" i="1"/>
  <c r="E278" i="1"/>
  <c r="E279" i="1"/>
  <c r="F278" i="1"/>
  <c r="F279" i="1"/>
  <c r="G278" i="1"/>
  <c r="G279" i="1"/>
  <c r="H278" i="1"/>
  <c r="H279" i="1"/>
  <c r="I278" i="1"/>
  <c r="I279" i="1"/>
  <c r="J278" i="1"/>
  <c r="J279" i="1"/>
  <c r="K278" i="1"/>
  <c r="K279" i="1"/>
  <c r="L278" i="1"/>
  <c r="L279" i="1"/>
  <c r="M278" i="1"/>
  <c r="M279" i="1"/>
  <c r="N278" i="1"/>
  <c r="N279" i="1"/>
  <c r="O278" i="1"/>
  <c r="O279" i="1"/>
  <c r="P278" i="1"/>
  <c r="P279" i="1"/>
  <c r="Q278" i="1"/>
  <c r="Q279" i="1"/>
  <c r="R278" i="1"/>
  <c r="R279" i="1"/>
  <c r="S278" i="1"/>
  <c r="S279" i="1"/>
  <c r="T278" i="1"/>
  <c r="T279" i="1"/>
  <c r="U278" i="1"/>
  <c r="U279" i="1"/>
  <c r="V278" i="1"/>
  <c r="V279" i="1"/>
  <c r="W278" i="1"/>
  <c r="W279" i="1"/>
  <c r="X278" i="1"/>
  <c r="X279" i="1"/>
  <c r="Y278" i="1"/>
  <c r="Y279" i="1"/>
  <c r="Z278" i="1"/>
  <c r="Z279" i="1"/>
  <c r="AA278" i="1"/>
  <c r="AA279" i="1"/>
  <c r="AB278" i="1"/>
  <c r="AB279" i="1"/>
  <c r="AC279" i="1"/>
  <c r="AD279" i="1"/>
  <c r="AE279" i="1"/>
  <c r="AF279" i="1"/>
  <c r="AG279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C281" i="1"/>
  <c r="C280" i="1"/>
  <c r="C279" i="1"/>
  <c r="D218" i="1"/>
  <c r="D269" i="1"/>
  <c r="D270" i="1"/>
  <c r="E218" i="1"/>
  <c r="E269" i="1"/>
  <c r="E270" i="1"/>
  <c r="F218" i="1"/>
  <c r="F269" i="1"/>
  <c r="F270" i="1"/>
  <c r="G218" i="1"/>
  <c r="G269" i="1"/>
  <c r="G270" i="1"/>
  <c r="H218" i="1"/>
  <c r="H269" i="1"/>
  <c r="H270" i="1"/>
  <c r="I218" i="1"/>
  <c r="I269" i="1"/>
  <c r="I270" i="1"/>
  <c r="J218" i="1"/>
  <c r="J269" i="1"/>
  <c r="J270" i="1"/>
  <c r="K218" i="1"/>
  <c r="K269" i="1"/>
  <c r="K270" i="1"/>
  <c r="L218" i="1"/>
  <c r="L269" i="1"/>
  <c r="L270" i="1"/>
  <c r="M218" i="1"/>
  <c r="M269" i="1"/>
  <c r="M270" i="1"/>
  <c r="N218" i="1"/>
  <c r="N269" i="1"/>
  <c r="N270" i="1"/>
  <c r="O218" i="1"/>
  <c r="O269" i="1"/>
  <c r="O270" i="1"/>
  <c r="P218" i="1"/>
  <c r="P269" i="1"/>
  <c r="P270" i="1"/>
  <c r="Q218" i="1"/>
  <c r="Q269" i="1"/>
  <c r="Q270" i="1"/>
  <c r="R218" i="1"/>
  <c r="R269" i="1"/>
  <c r="R270" i="1"/>
  <c r="S218" i="1"/>
  <c r="S269" i="1"/>
  <c r="S270" i="1"/>
  <c r="T218" i="1"/>
  <c r="T269" i="1"/>
  <c r="T270" i="1"/>
  <c r="U218" i="1"/>
  <c r="U269" i="1"/>
  <c r="U270" i="1"/>
  <c r="V218" i="1"/>
  <c r="V269" i="1"/>
  <c r="V270" i="1"/>
  <c r="W218" i="1"/>
  <c r="W269" i="1"/>
  <c r="W270" i="1"/>
  <c r="X218" i="1"/>
  <c r="X269" i="1"/>
  <c r="X270" i="1"/>
  <c r="Y218" i="1"/>
  <c r="Y269" i="1"/>
  <c r="Y270" i="1"/>
  <c r="Z218" i="1"/>
  <c r="Z269" i="1"/>
  <c r="Z270" i="1"/>
  <c r="AA218" i="1"/>
  <c r="AA269" i="1"/>
  <c r="AA270" i="1"/>
  <c r="AB270" i="1"/>
  <c r="AC270" i="1"/>
  <c r="AD218" i="1"/>
  <c r="AD270" i="1"/>
  <c r="AE218" i="1"/>
  <c r="AE270" i="1"/>
  <c r="AF218" i="1"/>
  <c r="AF270" i="1"/>
  <c r="AG218" i="1"/>
  <c r="AG270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C218" i="1"/>
  <c r="C269" i="1"/>
  <c r="C277" i="1"/>
  <c r="C276" i="1"/>
  <c r="C275" i="1"/>
  <c r="C274" i="1"/>
  <c r="C273" i="1"/>
  <c r="C272" i="1"/>
  <c r="C271" i="1"/>
  <c r="C270" i="1"/>
  <c r="D217" i="1"/>
  <c r="D264" i="1"/>
  <c r="D265" i="1"/>
  <c r="E217" i="1"/>
  <c r="E264" i="1"/>
  <c r="E265" i="1"/>
  <c r="F217" i="1"/>
  <c r="F264" i="1"/>
  <c r="F265" i="1"/>
  <c r="G217" i="1"/>
  <c r="G264" i="1"/>
  <c r="G265" i="1"/>
  <c r="H217" i="1"/>
  <c r="H264" i="1"/>
  <c r="H265" i="1"/>
  <c r="I217" i="1"/>
  <c r="I264" i="1"/>
  <c r="I265" i="1"/>
  <c r="J217" i="1"/>
  <c r="J264" i="1"/>
  <c r="J265" i="1"/>
  <c r="K217" i="1"/>
  <c r="K264" i="1"/>
  <c r="K265" i="1"/>
  <c r="L217" i="1"/>
  <c r="L264" i="1"/>
  <c r="L265" i="1"/>
  <c r="M217" i="1"/>
  <c r="M264" i="1"/>
  <c r="M265" i="1"/>
  <c r="N217" i="1"/>
  <c r="N264" i="1"/>
  <c r="N265" i="1"/>
  <c r="O217" i="1"/>
  <c r="O264" i="1"/>
  <c r="O265" i="1"/>
  <c r="P217" i="1"/>
  <c r="P264" i="1"/>
  <c r="P265" i="1"/>
  <c r="Q217" i="1"/>
  <c r="Q264" i="1"/>
  <c r="Q265" i="1"/>
  <c r="R217" i="1"/>
  <c r="R264" i="1"/>
  <c r="R265" i="1"/>
  <c r="S217" i="1"/>
  <c r="S264" i="1"/>
  <c r="S265" i="1"/>
  <c r="T217" i="1"/>
  <c r="T264" i="1"/>
  <c r="T265" i="1"/>
  <c r="U217" i="1"/>
  <c r="U264" i="1"/>
  <c r="U265" i="1"/>
  <c r="V217" i="1"/>
  <c r="V264" i="1"/>
  <c r="V265" i="1"/>
  <c r="W217" i="1"/>
  <c r="W264" i="1"/>
  <c r="W265" i="1"/>
  <c r="X217" i="1"/>
  <c r="X264" i="1"/>
  <c r="X265" i="1"/>
  <c r="Y217" i="1"/>
  <c r="Y264" i="1"/>
  <c r="Y265" i="1"/>
  <c r="Z217" i="1"/>
  <c r="Z264" i="1"/>
  <c r="Z265" i="1"/>
  <c r="AA217" i="1"/>
  <c r="AA264" i="1"/>
  <c r="AA265" i="1"/>
  <c r="AB217" i="1"/>
  <c r="AB264" i="1"/>
  <c r="AB265" i="1"/>
  <c r="AC217" i="1"/>
  <c r="AC264" i="1"/>
  <c r="AC265" i="1"/>
  <c r="AD217" i="1"/>
  <c r="AD264" i="1"/>
  <c r="AD265" i="1"/>
  <c r="AE217" i="1"/>
  <c r="AE264" i="1"/>
  <c r="AE265" i="1"/>
  <c r="AF217" i="1"/>
  <c r="AF264" i="1"/>
  <c r="AF265" i="1"/>
  <c r="AG217" i="1"/>
  <c r="AG264" i="1"/>
  <c r="AG265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C217" i="1"/>
  <c r="C264" i="1"/>
  <c r="C266" i="1"/>
  <c r="C267" i="1"/>
  <c r="C268" i="1"/>
  <c r="C265" i="1"/>
  <c r="D215" i="1"/>
  <c r="D256" i="1"/>
  <c r="D257" i="1"/>
  <c r="E215" i="1"/>
  <c r="E256" i="1"/>
  <c r="E257" i="1"/>
  <c r="F215" i="1"/>
  <c r="F256" i="1"/>
  <c r="F257" i="1"/>
  <c r="G215" i="1"/>
  <c r="G256" i="1"/>
  <c r="G257" i="1"/>
  <c r="H215" i="1"/>
  <c r="H256" i="1"/>
  <c r="H257" i="1"/>
  <c r="I215" i="1"/>
  <c r="I256" i="1"/>
  <c r="I257" i="1"/>
  <c r="J215" i="1"/>
  <c r="J256" i="1"/>
  <c r="J257" i="1"/>
  <c r="K215" i="1"/>
  <c r="K256" i="1"/>
  <c r="K257" i="1"/>
  <c r="L215" i="1"/>
  <c r="L256" i="1"/>
  <c r="L257" i="1"/>
  <c r="M215" i="1"/>
  <c r="M256" i="1"/>
  <c r="M257" i="1"/>
  <c r="N215" i="1"/>
  <c r="N256" i="1"/>
  <c r="N257" i="1"/>
  <c r="O215" i="1"/>
  <c r="O256" i="1"/>
  <c r="O257" i="1"/>
  <c r="P215" i="1"/>
  <c r="P256" i="1"/>
  <c r="P257" i="1"/>
  <c r="Q215" i="1"/>
  <c r="Q256" i="1"/>
  <c r="Q257" i="1"/>
  <c r="R215" i="1"/>
  <c r="R256" i="1"/>
  <c r="R257" i="1"/>
  <c r="S215" i="1"/>
  <c r="S256" i="1"/>
  <c r="S257" i="1"/>
  <c r="T215" i="1"/>
  <c r="T256" i="1"/>
  <c r="T257" i="1"/>
  <c r="U215" i="1"/>
  <c r="U256" i="1"/>
  <c r="U257" i="1"/>
  <c r="V215" i="1"/>
  <c r="V256" i="1"/>
  <c r="V257" i="1"/>
  <c r="W215" i="1"/>
  <c r="W256" i="1"/>
  <c r="W257" i="1"/>
  <c r="X215" i="1"/>
  <c r="X256" i="1"/>
  <c r="X257" i="1"/>
  <c r="Y215" i="1"/>
  <c r="Y256" i="1"/>
  <c r="Y257" i="1"/>
  <c r="Z215" i="1"/>
  <c r="Z256" i="1"/>
  <c r="Z257" i="1"/>
  <c r="AA215" i="1"/>
  <c r="AA256" i="1"/>
  <c r="AA257" i="1"/>
  <c r="AB215" i="1"/>
  <c r="AB256" i="1"/>
  <c r="AB257" i="1"/>
  <c r="AC215" i="1"/>
  <c r="AC256" i="1"/>
  <c r="AC257" i="1"/>
  <c r="AD215" i="1"/>
  <c r="AD256" i="1"/>
  <c r="AD257" i="1"/>
  <c r="AE215" i="1"/>
  <c r="AE256" i="1"/>
  <c r="AE257" i="1"/>
  <c r="AF215" i="1"/>
  <c r="AF256" i="1"/>
  <c r="AF257" i="1"/>
  <c r="AG215" i="1"/>
  <c r="AG256" i="1"/>
  <c r="AG257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C215" i="1"/>
  <c r="C256" i="1"/>
  <c r="C261" i="1"/>
  <c r="C260" i="1"/>
  <c r="C259" i="1"/>
  <c r="C258" i="1"/>
  <c r="C257" i="1"/>
  <c r="D214" i="1"/>
  <c r="D254" i="1"/>
  <c r="D255" i="1"/>
  <c r="E214" i="1"/>
  <c r="E254" i="1"/>
  <c r="E255" i="1"/>
  <c r="F214" i="1"/>
  <c r="F254" i="1"/>
  <c r="F255" i="1"/>
  <c r="G214" i="1"/>
  <c r="G254" i="1"/>
  <c r="G255" i="1"/>
  <c r="H214" i="1"/>
  <c r="H254" i="1"/>
  <c r="H255" i="1"/>
  <c r="I214" i="1"/>
  <c r="I254" i="1"/>
  <c r="I255" i="1"/>
  <c r="J214" i="1"/>
  <c r="J254" i="1"/>
  <c r="J255" i="1"/>
  <c r="K214" i="1"/>
  <c r="K254" i="1"/>
  <c r="K255" i="1"/>
  <c r="L214" i="1"/>
  <c r="L254" i="1"/>
  <c r="L255" i="1"/>
  <c r="M214" i="1"/>
  <c r="M254" i="1"/>
  <c r="M255" i="1"/>
  <c r="N214" i="1"/>
  <c r="N254" i="1"/>
  <c r="N255" i="1"/>
  <c r="O214" i="1"/>
  <c r="O254" i="1"/>
  <c r="O255" i="1"/>
  <c r="P214" i="1"/>
  <c r="P254" i="1"/>
  <c r="P255" i="1"/>
  <c r="Q214" i="1"/>
  <c r="Q254" i="1"/>
  <c r="Q255" i="1"/>
  <c r="R214" i="1"/>
  <c r="R254" i="1"/>
  <c r="R255" i="1"/>
  <c r="S214" i="1"/>
  <c r="S254" i="1"/>
  <c r="S255" i="1"/>
  <c r="T214" i="1"/>
  <c r="T254" i="1"/>
  <c r="T255" i="1"/>
  <c r="U214" i="1"/>
  <c r="U254" i="1"/>
  <c r="U255" i="1"/>
  <c r="V214" i="1"/>
  <c r="V254" i="1"/>
  <c r="V255" i="1"/>
  <c r="W214" i="1"/>
  <c r="W254" i="1"/>
  <c r="W255" i="1"/>
  <c r="X214" i="1"/>
  <c r="X254" i="1"/>
  <c r="X255" i="1"/>
  <c r="Y214" i="1"/>
  <c r="Y254" i="1"/>
  <c r="Y255" i="1"/>
  <c r="Z214" i="1"/>
  <c r="Z254" i="1"/>
  <c r="Z255" i="1"/>
  <c r="AA214" i="1"/>
  <c r="AA254" i="1"/>
  <c r="AA255" i="1"/>
  <c r="AB214" i="1"/>
  <c r="AB254" i="1"/>
  <c r="AB255" i="1"/>
  <c r="AC214" i="1"/>
  <c r="AC254" i="1"/>
  <c r="AC255" i="1"/>
  <c r="AD214" i="1"/>
  <c r="AD254" i="1"/>
  <c r="AD255" i="1"/>
  <c r="AE214" i="1"/>
  <c r="AE254" i="1"/>
  <c r="AE255" i="1"/>
  <c r="AF214" i="1"/>
  <c r="AF254" i="1"/>
  <c r="AF255" i="1"/>
  <c r="AG214" i="1"/>
  <c r="AG254" i="1"/>
  <c r="AG255" i="1"/>
  <c r="C214" i="1"/>
  <c r="C254" i="1"/>
  <c r="C255" i="1"/>
  <c r="D213" i="1"/>
  <c r="D251" i="1"/>
  <c r="D252" i="1"/>
  <c r="E213" i="1"/>
  <c r="E251" i="1"/>
  <c r="E252" i="1"/>
  <c r="F213" i="1"/>
  <c r="F251" i="1"/>
  <c r="F252" i="1"/>
  <c r="G213" i="1"/>
  <c r="G251" i="1"/>
  <c r="G252" i="1"/>
  <c r="H213" i="1"/>
  <c r="H251" i="1"/>
  <c r="H252" i="1"/>
  <c r="I213" i="1"/>
  <c r="I251" i="1"/>
  <c r="I252" i="1"/>
  <c r="J213" i="1"/>
  <c r="J251" i="1"/>
  <c r="J252" i="1"/>
  <c r="K213" i="1"/>
  <c r="K251" i="1"/>
  <c r="K252" i="1"/>
  <c r="L213" i="1"/>
  <c r="L251" i="1"/>
  <c r="L252" i="1"/>
  <c r="M213" i="1"/>
  <c r="M251" i="1"/>
  <c r="M252" i="1"/>
  <c r="N213" i="1"/>
  <c r="N251" i="1"/>
  <c r="N252" i="1"/>
  <c r="O213" i="1"/>
  <c r="O251" i="1"/>
  <c r="O252" i="1"/>
  <c r="P213" i="1"/>
  <c r="P251" i="1"/>
  <c r="P252" i="1"/>
  <c r="Q213" i="1"/>
  <c r="Q251" i="1"/>
  <c r="Q252" i="1"/>
  <c r="R213" i="1"/>
  <c r="R251" i="1"/>
  <c r="R252" i="1"/>
  <c r="S213" i="1"/>
  <c r="S251" i="1"/>
  <c r="S252" i="1"/>
  <c r="T213" i="1"/>
  <c r="T251" i="1"/>
  <c r="T252" i="1"/>
  <c r="U213" i="1"/>
  <c r="U251" i="1"/>
  <c r="U252" i="1"/>
  <c r="V213" i="1"/>
  <c r="V251" i="1"/>
  <c r="V252" i="1"/>
  <c r="W213" i="1"/>
  <c r="W251" i="1"/>
  <c r="W252" i="1"/>
  <c r="X213" i="1"/>
  <c r="X251" i="1"/>
  <c r="X252" i="1"/>
  <c r="Y213" i="1"/>
  <c r="Y251" i="1"/>
  <c r="Y252" i="1"/>
  <c r="Z213" i="1"/>
  <c r="Z251" i="1"/>
  <c r="Z252" i="1"/>
  <c r="AA213" i="1"/>
  <c r="AA251" i="1"/>
  <c r="AA252" i="1"/>
  <c r="AB213" i="1"/>
  <c r="AB251" i="1"/>
  <c r="AB252" i="1"/>
  <c r="AC213" i="1"/>
  <c r="AC251" i="1"/>
  <c r="AC252" i="1"/>
  <c r="AD213" i="1"/>
  <c r="AD251" i="1"/>
  <c r="AD252" i="1"/>
  <c r="AE213" i="1"/>
  <c r="AE251" i="1"/>
  <c r="AE252" i="1"/>
  <c r="AF213" i="1"/>
  <c r="AF251" i="1"/>
  <c r="AF252" i="1"/>
  <c r="AG213" i="1"/>
  <c r="AG251" i="1"/>
  <c r="AG252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C213" i="1"/>
  <c r="C251" i="1"/>
  <c r="C253" i="1"/>
  <c r="C252" i="1"/>
  <c r="D212" i="1"/>
  <c r="D247" i="1"/>
  <c r="D248" i="1"/>
  <c r="E212" i="1"/>
  <c r="E247" i="1"/>
  <c r="E248" i="1"/>
  <c r="F212" i="1"/>
  <c r="F247" i="1"/>
  <c r="F248" i="1"/>
  <c r="G212" i="1"/>
  <c r="G247" i="1"/>
  <c r="G248" i="1"/>
  <c r="H212" i="1"/>
  <c r="H247" i="1"/>
  <c r="H248" i="1"/>
  <c r="I212" i="1"/>
  <c r="I247" i="1"/>
  <c r="I248" i="1"/>
  <c r="J212" i="1"/>
  <c r="J247" i="1"/>
  <c r="J248" i="1"/>
  <c r="K212" i="1"/>
  <c r="K247" i="1"/>
  <c r="K248" i="1"/>
  <c r="L212" i="1"/>
  <c r="L247" i="1"/>
  <c r="L248" i="1"/>
  <c r="M212" i="1"/>
  <c r="M247" i="1"/>
  <c r="M248" i="1"/>
  <c r="N212" i="1"/>
  <c r="N247" i="1"/>
  <c r="N248" i="1"/>
  <c r="O212" i="1"/>
  <c r="O247" i="1"/>
  <c r="O248" i="1"/>
  <c r="P212" i="1"/>
  <c r="P247" i="1"/>
  <c r="P248" i="1"/>
  <c r="Q212" i="1"/>
  <c r="Q247" i="1"/>
  <c r="Q248" i="1"/>
  <c r="R212" i="1"/>
  <c r="R247" i="1"/>
  <c r="R248" i="1"/>
  <c r="S212" i="1"/>
  <c r="S247" i="1"/>
  <c r="S248" i="1"/>
  <c r="T212" i="1"/>
  <c r="T247" i="1"/>
  <c r="T248" i="1"/>
  <c r="U212" i="1"/>
  <c r="U247" i="1"/>
  <c r="U248" i="1"/>
  <c r="V212" i="1"/>
  <c r="V247" i="1"/>
  <c r="V248" i="1"/>
  <c r="W212" i="1"/>
  <c r="W247" i="1"/>
  <c r="W248" i="1"/>
  <c r="X212" i="1"/>
  <c r="X247" i="1"/>
  <c r="X248" i="1"/>
  <c r="Y212" i="1"/>
  <c r="Y247" i="1"/>
  <c r="Y248" i="1"/>
  <c r="Z212" i="1"/>
  <c r="Z247" i="1"/>
  <c r="Z248" i="1"/>
  <c r="AA212" i="1"/>
  <c r="AA247" i="1"/>
  <c r="AA248" i="1"/>
  <c r="AB212" i="1"/>
  <c r="AB247" i="1"/>
  <c r="AB248" i="1"/>
  <c r="AC212" i="1"/>
  <c r="AC247" i="1"/>
  <c r="AC248" i="1"/>
  <c r="AD212" i="1"/>
  <c r="AD247" i="1"/>
  <c r="AD248" i="1"/>
  <c r="AE212" i="1"/>
  <c r="AE247" i="1"/>
  <c r="AE248" i="1"/>
  <c r="AF212" i="1"/>
  <c r="AF247" i="1"/>
  <c r="AF248" i="1"/>
  <c r="AG212" i="1"/>
  <c r="AG247" i="1"/>
  <c r="AG248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C212" i="1"/>
  <c r="C247" i="1"/>
  <c r="C250" i="1"/>
  <c r="C249" i="1"/>
  <c r="C248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C246" i="1"/>
  <c r="C245" i="1"/>
  <c r="C244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C242" i="1"/>
  <c r="C241" i="1"/>
  <c r="C240" i="1"/>
  <c r="D209" i="1"/>
  <c r="D236" i="1"/>
  <c r="D237" i="1"/>
  <c r="E209" i="1"/>
  <c r="E236" i="1"/>
  <c r="E237" i="1"/>
  <c r="F209" i="1"/>
  <c r="F236" i="1"/>
  <c r="F237" i="1"/>
  <c r="G209" i="1"/>
  <c r="G236" i="1"/>
  <c r="G237" i="1"/>
  <c r="H209" i="1"/>
  <c r="H236" i="1"/>
  <c r="H237" i="1"/>
  <c r="I209" i="1"/>
  <c r="I236" i="1"/>
  <c r="I237" i="1"/>
  <c r="J209" i="1"/>
  <c r="J236" i="1"/>
  <c r="J237" i="1"/>
  <c r="K209" i="1"/>
  <c r="K236" i="1"/>
  <c r="K237" i="1"/>
  <c r="L209" i="1"/>
  <c r="L236" i="1"/>
  <c r="L237" i="1"/>
  <c r="M209" i="1"/>
  <c r="M236" i="1"/>
  <c r="M237" i="1"/>
  <c r="N209" i="1"/>
  <c r="N236" i="1"/>
  <c r="N237" i="1"/>
  <c r="O209" i="1"/>
  <c r="O236" i="1"/>
  <c r="O237" i="1"/>
  <c r="P209" i="1"/>
  <c r="P236" i="1"/>
  <c r="P237" i="1"/>
  <c r="Q209" i="1"/>
  <c r="Q236" i="1"/>
  <c r="Q237" i="1"/>
  <c r="R209" i="1"/>
  <c r="R236" i="1"/>
  <c r="R237" i="1"/>
  <c r="S209" i="1"/>
  <c r="S236" i="1"/>
  <c r="S237" i="1"/>
  <c r="T209" i="1"/>
  <c r="T236" i="1"/>
  <c r="T237" i="1"/>
  <c r="U209" i="1"/>
  <c r="U236" i="1"/>
  <c r="U237" i="1"/>
  <c r="V209" i="1"/>
  <c r="V236" i="1"/>
  <c r="V237" i="1"/>
  <c r="W209" i="1"/>
  <c r="W236" i="1"/>
  <c r="W237" i="1"/>
  <c r="X209" i="1"/>
  <c r="X236" i="1"/>
  <c r="X237" i="1"/>
  <c r="Y209" i="1"/>
  <c r="Y236" i="1"/>
  <c r="Y237" i="1"/>
  <c r="Z237" i="1"/>
  <c r="AA209" i="1"/>
  <c r="AA236" i="1"/>
  <c r="AA237" i="1"/>
  <c r="AB209" i="1"/>
  <c r="AB236" i="1"/>
  <c r="AB237" i="1"/>
  <c r="AC209" i="1"/>
  <c r="AC236" i="1"/>
  <c r="AC237" i="1"/>
  <c r="AD209" i="1"/>
  <c r="AD236" i="1"/>
  <c r="AD237" i="1"/>
  <c r="AE209" i="1"/>
  <c r="AE236" i="1"/>
  <c r="AE237" i="1"/>
  <c r="AF209" i="1"/>
  <c r="AF236" i="1"/>
  <c r="AF237" i="1"/>
  <c r="AG209" i="1"/>
  <c r="AG236" i="1"/>
  <c r="AG237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C209" i="1"/>
  <c r="C236" i="1"/>
  <c r="C238" i="1"/>
  <c r="C237" i="1"/>
  <c r="D208" i="1"/>
  <c r="D233" i="1"/>
  <c r="D235" i="1"/>
  <c r="E208" i="1"/>
  <c r="E233" i="1"/>
  <c r="E235" i="1"/>
  <c r="F208" i="1"/>
  <c r="F233" i="1"/>
  <c r="F235" i="1"/>
  <c r="G208" i="1"/>
  <c r="G233" i="1"/>
  <c r="G235" i="1"/>
  <c r="H208" i="1"/>
  <c r="H233" i="1"/>
  <c r="H235" i="1"/>
  <c r="I208" i="1"/>
  <c r="I233" i="1"/>
  <c r="I235" i="1"/>
  <c r="J208" i="1"/>
  <c r="J233" i="1"/>
  <c r="J235" i="1"/>
  <c r="K208" i="1"/>
  <c r="K233" i="1"/>
  <c r="K235" i="1"/>
  <c r="L208" i="1"/>
  <c r="L233" i="1"/>
  <c r="L235" i="1"/>
  <c r="M208" i="1"/>
  <c r="M233" i="1"/>
  <c r="M235" i="1"/>
  <c r="N208" i="1"/>
  <c r="N233" i="1"/>
  <c r="N235" i="1"/>
  <c r="O208" i="1"/>
  <c r="O233" i="1"/>
  <c r="O235" i="1"/>
  <c r="P208" i="1"/>
  <c r="P233" i="1"/>
  <c r="P235" i="1"/>
  <c r="Q208" i="1"/>
  <c r="Q233" i="1"/>
  <c r="Q235" i="1"/>
  <c r="R208" i="1"/>
  <c r="R233" i="1"/>
  <c r="R235" i="1"/>
  <c r="S208" i="1"/>
  <c r="S233" i="1"/>
  <c r="S235" i="1"/>
  <c r="T208" i="1"/>
  <c r="T233" i="1"/>
  <c r="T235" i="1"/>
  <c r="U208" i="1"/>
  <c r="U233" i="1"/>
  <c r="U235" i="1"/>
  <c r="V208" i="1"/>
  <c r="V233" i="1"/>
  <c r="V235" i="1"/>
  <c r="W208" i="1"/>
  <c r="W233" i="1"/>
  <c r="W235" i="1"/>
  <c r="X208" i="1"/>
  <c r="X233" i="1"/>
  <c r="X235" i="1"/>
  <c r="Y208" i="1"/>
  <c r="Y233" i="1"/>
  <c r="Y235" i="1"/>
  <c r="Z235" i="1"/>
  <c r="AA208" i="1"/>
  <c r="AA233" i="1"/>
  <c r="AA235" i="1"/>
  <c r="AB208" i="1"/>
  <c r="AB233" i="1"/>
  <c r="AB235" i="1"/>
  <c r="AC208" i="1"/>
  <c r="AC233" i="1"/>
  <c r="AC235" i="1"/>
  <c r="AD208" i="1"/>
  <c r="AD233" i="1"/>
  <c r="AD235" i="1"/>
  <c r="AE208" i="1"/>
  <c r="AE233" i="1"/>
  <c r="AE235" i="1"/>
  <c r="AF208" i="1"/>
  <c r="AF233" i="1"/>
  <c r="AF235" i="1"/>
  <c r="AG208" i="1"/>
  <c r="AG233" i="1"/>
  <c r="AG235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C208" i="1"/>
  <c r="C233" i="1"/>
  <c r="C234" i="1"/>
  <c r="C235" i="1"/>
  <c r="D207" i="1"/>
  <c r="D230" i="1"/>
  <c r="D231" i="1"/>
  <c r="E207" i="1"/>
  <c r="E230" i="1"/>
  <c r="E231" i="1"/>
  <c r="F207" i="1"/>
  <c r="F230" i="1"/>
  <c r="F231" i="1"/>
  <c r="G207" i="1"/>
  <c r="G230" i="1"/>
  <c r="G231" i="1"/>
  <c r="H207" i="1"/>
  <c r="H230" i="1"/>
  <c r="H231" i="1"/>
  <c r="I207" i="1"/>
  <c r="I230" i="1"/>
  <c r="I231" i="1"/>
  <c r="J207" i="1"/>
  <c r="J230" i="1"/>
  <c r="J231" i="1"/>
  <c r="K207" i="1"/>
  <c r="K230" i="1"/>
  <c r="K231" i="1"/>
  <c r="L207" i="1"/>
  <c r="L230" i="1"/>
  <c r="L231" i="1"/>
  <c r="M207" i="1"/>
  <c r="M230" i="1"/>
  <c r="M231" i="1"/>
  <c r="N207" i="1"/>
  <c r="N230" i="1"/>
  <c r="N231" i="1"/>
  <c r="O207" i="1"/>
  <c r="O230" i="1"/>
  <c r="O231" i="1"/>
  <c r="P207" i="1"/>
  <c r="P230" i="1"/>
  <c r="P231" i="1"/>
  <c r="Q207" i="1"/>
  <c r="Q230" i="1"/>
  <c r="Q231" i="1"/>
  <c r="R207" i="1"/>
  <c r="R230" i="1"/>
  <c r="R231" i="1"/>
  <c r="S207" i="1"/>
  <c r="S230" i="1"/>
  <c r="S231" i="1"/>
  <c r="T207" i="1"/>
  <c r="T230" i="1"/>
  <c r="T231" i="1"/>
  <c r="U207" i="1"/>
  <c r="U230" i="1"/>
  <c r="U231" i="1"/>
  <c r="V207" i="1"/>
  <c r="V230" i="1"/>
  <c r="V231" i="1"/>
  <c r="W231" i="1"/>
  <c r="X207" i="1"/>
  <c r="X230" i="1"/>
  <c r="X231" i="1"/>
  <c r="Y207" i="1"/>
  <c r="Y230" i="1"/>
  <c r="Y231" i="1"/>
  <c r="Z231" i="1"/>
  <c r="AA207" i="1"/>
  <c r="AA230" i="1"/>
  <c r="AA231" i="1"/>
  <c r="AB207" i="1"/>
  <c r="AB230" i="1"/>
  <c r="AB231" i="1"/>
  <c r="AC207" i="1"/>
  <c r="AC230" i="1"/>
  <c r="AC231" i="1"/>
  <c r="AD207" i="1"/>
  <c r="AD230" i="1"/>
  <c r="AD231" i="1"/>
  <c r="AE207" i="1"/>
  <c r="AE230" i="1"/>
  <c r="AE231" i="1"/>
  <c r="AF207" i="1"/>
  <c r="AF230" i="1"/>
  <c r="AF231" i="1"/>
  <c r="AG207" i="1"/>
  <c r="AG230" i="1"/>
  <c r="AG231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C207" i="1"/>
  <c r="C230" i="1"/>
  <c r="C232" i="1"/>
  <c r="C231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C2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tc={DCEF3C00-95E7-4E8C-B262-2CA85C03C69E}</author>
    <author>tc={C4F11C04-3A12-4055-9A47-0853B98D73FB}</author>
    <author>tc={36E00F49-2D38-44CC-BD2A-2A6F5561E67C}</author>
    <author>tc={3F194F68-36BE-41A2-A930-B4727E43D2C5}</author>
    <author>tc={D27979FA-360B-4685-B49E-995F58431875}</author>
    <author>tc={CC19646B-E7CD-47BF-A869-C6C8FAE874AE}</author>
  </authors>
  <commentList>
    <comment ref="A213" authorId="0" shapeId="0" xr:uid="{DCEF3C00-95E7-4E8C-B262-2CA85C03C69E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B219" authorId="1" shapeId="0" xr:uid="{C4F11C04-3A12-4055-9A47-0853B98D73FB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22" authorId="2" shapeId="0" xr:uid="{36E00F49-2D38-44CC-BD2A-2A6F5561E67C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A251" authorId="3" shapeId="0" xr:uid="{3F194F68-36BE-41A2-A930-B4727E43D2C5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D269" authorId="4" shapeId="0" xr:uid="{D27979FA-360B-4685-B49E-995F58431875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AD286" authorId="5" shapeId="0" xr:uid="{CC19646B-E7CD-47BF-A869-C6C8FAE874AE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tc={097B41CD-C0BC-4795-8677-7AFDB2AD650F}</author>
    <author>tc={0976BDCA-62E2-4225-B281-F67A767CDDD5}</author>
    <author>tc={B65ADA90-C61B-48AA-9598-F0940482AFE4}</author>
  </authors>
  <commentList>
    <comment ref="F4" authorId="0" shapeId="0" xr:uid="{097B41CD-C0BC-4795-8677-7AFDB2AD65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2" authorId="1" shapeId="0" xr:uid="{0976BDCA-62E2-4225-B281-F67A767CDD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  <comment ref="G13" authorId="2" shapeId="0" xr:uid="{B65ADA90-C61B-48AA-9598-F0940482AF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</commentList>
</comments>
</file>

<file path=xl/sharedStrings.xml><?xml version="1.0" encoding="utf-8"?>
<sst xmlns="http://schemas.openxmlformats.org/spreadsheetml/2006/main" count="580" uniqueCount="146">
  <si>
    <t>Vaccine</t>
  </si>
  <si>
    <t>wb_status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</si>
  <si>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</si>
  <si>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</si>
  <si>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</si>
  <si>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</si>
  <si>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</si>
  <si>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</si>
  <si>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</si>
  <si>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</si>
  <si>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</si>
  <si>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</si>
  <si>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</si>
  <si>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</si>
  <si>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</si>
  <si>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</si>
  <si>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</si>
  <si>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</si>
  <si>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</si>
  <si>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</si>
  <si>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</si>
  <si>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</si>
  <si>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</si>
  <si>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</si>
  <si>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</si>
  <si>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</si>
  <si>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</si>
  <si>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</si>
  <si>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</si>
  <si>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</si>
  <si>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</si>
  <si>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</si>
  <si>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</si>
  <si>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</si>
  <si>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--</t>
  </si>
  <si>
    <t>High Income</t>
  </si>
  <si>
    <t>Low Income</t>
  </si>
  <si>
    <t>Lower Middle Income</t>
  </si>
  <si>
    <t>Upper Middle Income</t>
  </si>
  <si>
    <t>bOPV</t>
  </si>
  <si>
    <t>Covid-19</t>
  </si>
  <si>
    <t>Dengue</t>
  </si>
  <si>
    <t>Diphtheria</t>
  </si>
  <si>
    <t>DT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</si>
  <si>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</si>
  <si>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</si>
  <si>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</si>
  <si>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</si>
  <si>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</si>
  <si>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</si>
  <si>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</si>
  <si>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</si>
  <si>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DTwP</t>
  </si>
  <si>
    <t>DTwP-HepB</t>
  </si>
  <si>
    <t>DTwP-HepB-Hib</t>
  </si>
  <si>
    <t>DTwP-Hib</t>
  </si>
  <si>
    <t>HepA</t>
  </si>
  <si>
    <t>HepB</t>
  </si>
  <si>
    <t>Hib</t>
  </si>
  <si>
    <t>Hib-MenAC</t>
  </si>
  <si>
    <t>Hib-MenC</t>
  </si>
  <si>
    <t>HPV</t>
  </si>
  <si>
    <t>IPV</t>
  </si>
  <si>
    <t>JE</t>
  </si>
  <si>
    <t>Measles</t>
  </si>
  <si>
    <t>MenA</t>
  </si>
  <si>
    <t>MenA Ps</t>
  </si>
  <si>
    <t>MenAC</t>
  </si>
  <si>
    <t>MenAC Ps</t>
  </si>
  <si>
    <t>MenACW-135 Ps</t>
  </si>
  <si>
    <t>MenACYW-135</t>
  </si>
  <si>
    <t>MenACYW-135 Ps</t>
  </si>
  <si>
    <t>MenB</t>
  </si>
  <si>
    <t>MenBC</t>
  </si>
  <si>
    <t>MenC</t>
  </si>
  <si>
    <t>MM</t>
  </si>
  <si>
    <t>MMR</t>
  </si>
  <si>
    <t>MMRV</t>
  </si>
  <si>
    <t>MR</t>
  </si>
  <si>
    <t>Mumps</t>
  </si>
  <si>
    <t>OCV</t>
  </si>
  <si>
    <t>PCV</t>
  </si>
  <si>
    <t>PPSV</t>
  </si>
  <si>
    <t>Rota</t>
  </si>
  <si>
    <t>RSV</t>
  </si>
  <si>
    <t>Rubella</t>
  </si>
  <si>
    <t>TCV</t>
  </si>
  <si>
    <t>Td</t>
  </si>
  <si>
    <t>Td-IPV</t>
  </si>
  <si>
    <t>Tdap</t>
  </si>
  <si>
    <t>Tdap-IPV</t>
  </si>
  <si>
    <t>tOPV</t>
  </si>
  <si>
    <t>TT</t>
  </si>
  <si>
    <t>Typhoid Ps</t>
  </si>
  <si>
    <t>Varicella</t>
  </si>
  <si>
    <t>YF</t>
  </si>
  <si>
    <t>Serum Institute of India Pvt. Ltd.</t>
  </si>
  <si>
    <t>PT Bio Farma (Persero)</t>
  </si>
  <si>
    <t>GlaxoSmithKline Biologicals SA</t>
  </si>
  <si>
    <t>Biological E. Limited</t>
  </si>
  <si>
    <t>Merck Sharp &amp; Dohme LLC</t>
  </si>
  <si>
    <t>Sanofi Pasteur</t>
  </si>
  <si>
    <t>BB- NCIPD Ltd. (Bulgaria)</t>
  </si>
  <si>
    <t>LG Chem Ltd</t>
  </si>
  <si>
    <t>Panacea Biotec Ltd.</t>
  </si>
  <si>
    <t>AJ Vaccines A/S</t>
  </si>
  <si>
    <t>Bilthoven Biologicals B.V.</t>
  </si>
  <si>
    <t>Sanofi Healthcare India Private Limited</t>
  </si>
  <si>
    <t>Beijing Institute of Biological Products Co., Ltd.</t>
  </si>
  <si>
    <t>Bharat Biotech International Limited</t>
  </si>
  <si>
    <t>Haffkine Bio Pharmaceutical Corporation Ltd</t>
  </si>
  <si>
    <t>Xiamen Innovax Biotech Co. Ltd.</t>
  </si>
  <si>
    <t>Centro de Ingenieria Genetica y Biotecnologia</t>
  </si>
  <si>
    <t>Measles and Rubella</t>
  </si>
  <si>
    <t>Measles, Mumps and Rubella</t>
  </si>
  <si>
    <t>Tetanus Toxoid</t>
  </si>
  <si>
    <t>Tetanus-Diphtheria (Td)</t>
  </si>
  <si>
    <t>Diphtheria-Tetanus (DT)</t>
  </si>
  <si>
    <t>Diphtheria-Tetanus-Pertussis (whole cell)-Haemophilus influenzae type b</t>
  </si>
  <si>
    <t>Diphtheria-Tetanus-Pertussis (whole cell)-Hepatitis B-Haemophilus influenzae type b</t>
  </si>
  <si>
    <t>Diphtheria-Tetanus-Pertussis (acellular)-Hepatitis B-Haemophilus influenzae type b-Polio (Inactivated)</t>
  </si>
  <si>
    <t>Polio Vaccine - Inactivated (IPV)</t>
  </si>
  <si>
    <t>Polio Vaccine - Oral (OPV) Bivalent Types 1 and 3</t>
  </si>
  <si>
    <t>Human Papillomavirus (Bivalent) + (Quadrivalent)</t>
  </si>
  <si>
    <t>Hepatitis B (Pediatric or non-adult specific)</t>
  </si>
  <si>
    <t>Haemophilus influenzae type b</t>
  </si>
  <si>
    <t>Very Limited Supply = 70</t>
  </si>
  <si>
    <t>% not avail, assumed satisfied</t>
  </si>
  <si>
    <t>Diphtheria-Tetanus</t>
  </si>
  <si>
    <t>Diphtheria-Tetanus-Pertussis (whole cell)</t>
  </si>
  <si>
    <t>NP</t>
  </si>
  <si>
    <t>Exceeds</t>
  </si>
  <si>
    <t>Not listed</t>
  </si>
  <si>
    <t>Suppply Exceeds Demand = 110%</t>
  </si>
  <si>
    <t>Needs Planning = 90%</t>
  </si>
  <si>
    <t>Market Share %</t>
  </si>
  <si>
    <t>GSK</t>
  </si>
  <si>
    <t>Serum Institute of India</t>
  </si>
  <si>
    <t>PT Bio Pharma</t>
  </si>
  <si>
    <t>Biological E Limited</t>
  </si>
  <si>
    <t>Rotavirus</t>
  </si>
  <si>
    <t>Pneumococcal Conjugate vaccine</t>
  </si>
  <si>
    <t>Pfizer</t>
  </si>
  <si>
    <t>Diphtheria-Tetanus (reduced antigen content)</t>
  </si>
  <si>
    <t>Diphtheria-Tetanus-Pertussis (acellular) + (whole cell)</t>
  </si>
  <si>
    <t>New Producer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</si>
</sst>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4" fillId="2" borderId="1" xfId="1" applyFont="1" applyFill="1" applyBorder="1" applyAlignment="1">
      <alignment vertical="top"/>
    </xf>
    <xf numFmtId="0" fontId="3" fillId="0" borderId="0" xfId="1"/>
    <xf numFmtId="0" fontId="5" fillId="3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5" borderId="1" xfId="1" applyNumberFormat="1" applyFill="1" applyBorder="1" applyAlignment="1">
      <alignment vertical="top"/>
    </xf>
    <xf numFmtId="4" fontId="3" fillId="0" borderId="0" xfId="1" applyNumberFormat="1"/>
    <xf numFmtId="0" fontId="6" fillId="0" borderId="0" xfId="0" applyFont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5" borderId="1" xfId="0" applyFont="1" applyFill="1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2" xfId="1" applyBorder="1" applyAlignment="1">
      <alignment vertical="top"/>
    </xf>
    <xf numFmtId="0" fontId="1" fillId="0" borderId="0" xfId="1" applyFont="1"/>
    <xf numFmtId="0" fontId="3" fillId="5" borderId="0" xfId="1" applyFill="1"/>
    <xf numFmtId="0" fontId="3" fillId="0" borderId="5" xfId="1" applyBorder="1" applyAlignment="1">
      <alignment vertical="top"/>
    </xf>
    <xf numFmtId="0" fontId="7" fillId="6" borderId="6" xfId="1" applyFont="1" applyFill="1" applyBorder="1"/>
    <xf numFmtId="0" fontId="3" fillId="6" borderId="7" xfId="1" applyFill="1" applyBorder="1"/>
    <xf numFmtId="4" fontId="3" fillId="6" borderId="7" xfId="1" applyNumberFormat="1" applyFill="1" applyBorder="1"/>
    <xf numFmtId="0" fontId="3" fillId="7" borderId="7" xfId="1" applyFill="1" applyBorder="1"/>
    <xf numFmtId="0" fontId="0" fillId="0" borderId="0" xfId="0" applyAlignment="1">
      <alignment horizontal="left"/>
    </xf>
    <xf numFmtId="0" fontId="8" fillId="7" borderId="6" xfId="1" applyFont="1" applyFill="1" applyBorder="1"/>
    <xf numFmtId="0" fontId="7" fillId="8" borderId="6" xfId="1" applyFont="1" applyFill="1" applyBorder="1"/>
    <xf numFmtId="0" fontId="3" fillId="8" borderId="7" xfId="1" applyFill="1" applyBorder="1"/>
    <xf numFmtId="4" fontId="3" fillId="8" borderId="7" xfId="1" applyNumberFormat="1" applyFill="1" applyBorder="1"/>
    <xf numFmtId="0" fontId="0" fillId="0" borderId="3" xfId="0" applyBorder="1" applyAlignment="1">
      <alignment wrapText="1"/>
    </xf>
    <xf numFmtId="0" fontId="0" fillId="0" borderId="1" xfId="0" applyBorder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5" borderId="0" xfId="0" applyFont="1" applyFill="1" applyAlignment="1">
      <alignment wrapText="1"/>
    </xf>
    <xf numFmtId="0" fontId="5" fillId="3" borderId="1" xfId="1" applyFont="1" applyFill="1" applyBorder="1" applyAlignment="1">
      <alignment vertical="top"/>
    </xf>
    <xf numFmtId="0" fontId="5" fillId="3" borderId="2" xfId="1" applyFont="1" applyFill="1" applyBorder="1" applyAlignment="1">
      <alignment vertical="top"/>
    </xf>
    <xf numFmtId="0" fontId="5" fillId="3" borderId="3" xfId="1" applyFont="1" applyFill="1" applyBorder="1" applyAlignment="1">
      <alignment vertical="top"/>
    </xf>
    <xf numFmtId="0" fontId="5" fillId="3" borderId="4" xfId="1" applyFont="1" applyFill="1" applyBorder="1" applyAlignment="1">
      <alignment vertical="top"/>
    </xf>
  </cellXfs>
  <cellStyles count="2">
    <cellStyle name="Normal" xfId="0" builtinId="0"/>
    <cellStyle name="Normal 2" xfId="1" xr:uid="{B709C06A-42FA-426B-B196-983D0307D8EF}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E6293415-C8D6-4C48-A35A-5D150AA40776}" userId="5e6b18ad1acc126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13" dT="2023-10-25T01:14:44.68" personId="{E6293415-C8D6-4C48-A35A-5D150AA40776}" id="{DCEF3C00-95E7-4E8C-B262-2CA85C03C69E}">
    <text>DTaP removed due to phase out</text>
  </threadedComment>
  <threadedComment ref="B219" dT="2023-10-25T01:41:54.83" personId="{E6293415-C8D6-4C48-A35A-5D150AA40776}" id="{C4F11C04-3A12-4055-9A47-0853B98D73FB}">
    <text>Average across all</text>
  </threadedComment>
  <threadedComment ref="B222" dT="2023-10-25T01:41:54.83" personId="{E6293415-C8D6-4C48-A35A-5D150AA40776}" id="{36E00F49-2D38-44CC-BD2A-2A6F5561E67C}">
    <text>Average across all</text>
  </threadedComment>
  <threadedComment ref="A251" dT="2023-10-25T01:14:44.68" personId="{E6293415-C8D6-4C48-A35A-5D150AA40776}" id="{3F194F68-36BE-41A2-A930-B4727E43D2C5}">
    <text>DTaP removed due to phase out</text>
  </threadedComment>
  <threadedComment ref="AD269" dT="2023-10-30T13:42:00.03" personId="{E6293415-C8D6-4C48-A35A-5D150AA40776}" id="{D27979FA-360B-4685-B49E-995F58431875}">
    <text>2 period MA for missing data</text>
  </threadedComment>
  <threadedComment ref="AD286" dT="2023-10-30T13:41:26.16" personId="{E6293415-C8D6-4C48-A35A-5D150AA40776}" id="{CC19646B-E7CD-47BF-A869-C6C8FAE874AE}">
    <text>2 period MA for missing data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4" dT="2023-09-28T18:44:41.91" personId="{E6293415-C8D6-4C48-A35A-5D150AA40776}" id="{097B41CD-C0BC-4795-8677-7AFDB2AD650F}">
    <text>Pricing data not available</text>
  </threadedComment>
  <threadedComment ref="A12" dT="2023-10-05T18:23:31.22" personId="{E6293415-C8D6-4C48-A35A-5D150AA40776}" id="{0976BDCA-62E2-4225-B281-F67A767CDDD5}">
    <text>PRICE DATA NOT AVAILABLE YET</text>
  </threadedComment>
  <threadedComment ref="G13" dT="2023-10-05T17:12:10.01" personId="{E6293415-C8D6-4C48-A35A-5D150AA40776}" id="{B65ADA90-C61B-48AA-9598-F0940482AFE4}">
    <text>No data beyond 2016, removed from price list;
Countries listed not GAVT countries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0678-BEF7-492B-B3BC-0B5A1DC56992}">
  <dimension ref="A1:AG302"/>
  <sheetViews>
    <sheetView topLeftCell="A277" zoomScale="115" zoomScaleNormal="115" workbookViewId="0">
      <pane xSplit="1" topLeftCell="B1" activePane="topRight" state="frozen"/>
      <selection pane="topRight" activeCell="A282" sqref="A282"/>
    </sheetView>
  </sheetViews>
  <sheetFormatPr defaultRowHeight="15" x14ac:dyDescent="0.25"/>
  <cols>
    <col min="1" max="1" width="94.7109375" style="2" bestFit="1" customWidth="1"/>
    <col min="2" max="2" width="28" style="2" bestFit="1" customWidth="1"/>
    <col min="3" max="22" width="16" style="2" customWidth="1"/>
    <col min="23" max="23" width="16.85546875" style="2" bestFit="1" customWidth="1"/>
    <col min="24" max="25" width="16" style="2" customWidth="1"/>
    <col min="26" max="33" width="18" style="2" customWidth="1"/>
    <col min="34" max="34" width="12" style="2" bestFit="1" customWidth="1"/>
    <col min="35" max="16384" width="9.140625" style="2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3" t="s">
        <v>33</v>
      </c>
      <c r="B2" s="4" t="s">
        <v>34</v>
      </c>
      <c r="C2" s="5">
        <v>1042187.6333333332</v>
      </c>
      <c r="D2" s="5">
        <v>1098514.4216666664</v>
      </c>
      <c r="E2" s="5">
        <v>1139316.3541666665</v>
      </c>
      <c r="F2" s="5">
        <v>1056462.3191666666</v>
      </c>
      <c r="G2" s="5">
        <v>1051701.1458333333</v>
      </c>
      <c r="H2" s="5">
        <v>1036770.5499999998</v>
      </c>
      <c r="I2" s="5">
        <v>1028029.1499999998</v>
      </c>
      <c r="J2" s="5">
        <v>1034736.4999999999</v>
      </c>
      <c r="K2" s="5">
        <v>829922.18749999988</v>
      </c>
      <c r="L2" s="5">
        <v>867969.62499999988</v>
      </c>
      <c r="M2" s="5">
        <v>906053.74999999988</v>
      </c>
      <c r="N2" s="5">
        <v>953703.49999999988</v>
      </c>
      <c r="O2" s="5">
        <v>862649.66666666663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x14ac:dyDescent="0.25">
      <c r="A3" s="33" t="s">
        <v>33</v>
      </c>
      <c r="B3" s="4" t="s">
        <v>35</v>
      </c>
      <c r="C3" s="5">
        <v>2545256.6283809524</v>
      </c>
      <c r="D3" s="5">
        <v>2559662.1601190474</v>
      </c>
      <c r="E3" s="5">
        <v>2567818.0615714286</v>
      </c>
      <c r="F3" s="5">
        <v>3399581.6947857141</v>
      </c>
      <c r="G3" s="5">
        <v>3266002.018625</v>
      </c>
      <c r="H3" s="5">
        <v>3223511.2696130951</v>
      </c>
      <c r="I3" s="5">
        <v>3997948.8147976194</v>
      </c>
      <c r="J3" s="5">
        <v>4078264.131482143</v>
      </c>
      <c r="K3" s="5">
        <v>4184322.7915059524</v>
      </c>
      <c r="L3" s="5">
        <v>4886389.389154762</v>
      </c>
      <c r="M3" s="5">
        <v>5108451.8754523806</v>
      </c>
      <c r="N3" s="5">
        <v>5663738.8485476188</v>
      </c>
      <c r="O3" s="5">
        <v>5593898.0899047619</v>
      </c>
      <c r="P3" s="5">
        <v>5597533.3169999998</v>
      </c>
      <c r="Q3" s="5">
        <v>18987274.573285714</v>
      </c>
      <c r="R3" s="5">
        <v>15562186.683369048</v>
      </c>
      <c r="S3" s="5">
        <v>18480294.998547621</v>
      </c>
      <c r="T3" s="5">
        <v>5499455.7656726195</v>
      </c>
      <c r="U3" s="5">
        <v>5364867.5989047624</v>
      </c>
      <c r="V3" s="5">
        <v>6118707.921976191</v>
      </c>
      <c r="W3" s="5">
        <v>5286760.5517857149</v>
      </c>
      <c r="X3" s="5">
        <v>5785197.7580476198</v>
      </c>
      <c r="Y3" s="5">
        <v>4993197.8858452374</v>
      </c>
      <c r="Z3" s="5">
        <v>5858970.7447261903</v>
      </c>
      <c r="AA3" s="5">
        <v>5818085.5392857138</v>
      </c>
      <c r="AB3" s="5">
        <v>17983747.683396358</v>
      </c>
      <c r="AC3" s="5">
        <v>22592240.607791312</v>
      </c>
      <c r="AD3" s="5">
        <v>22444567.07281933</v>
      </c>
      <c r="AE3" s="5">
        <v>27261596.394120447</v>
      </c>
      <c r="AF3" s="5">
        <v>27027895.092263304</v>
      </c>
      <c r="AG3" s="5">
        <v>26819200.996155463</v>
      </c>
    </row>
    <row r="4" spans="1:33" x14ac:dyDescent="0.25">
      <c r="A4" s="33" t="s">
        <v>33</v>
      </c>
      <c r="B4" s="4" t="s">
        <v>36</v>
      </c>
      <c r="C4" s="5">
        <v>158601268.06000468</v>
      </c>
      <c r="D4" s="5">
        <v>163179394.53513095</v>
      </c>
      <c r="E4" s="5">
        <v>173242258.69796428</v>
      </c>
      <c r="F4" s="5">
        <v>179569922.23857144</v>
      </c>
      <c r="G4" s="5">
        <v>182841754.18000001</v>
      </c>
      <c r="H4" s="5">
        <v>169013768.70642859</v>
      </c>
      <c r="I4" s="5">
        <v>170088898.16611114</v>
      </c>
      <c r="J4" s="5">
        <v>170992405.05515873</v>
      </c>
      <c r="K4" s="5">
        <v>174541344.10345238</v>
      </c>
      <c r="L4" s="5">
        <v>112479301.31432539</v>
      </c>
      <c r="M4" s="5">
        <v>85851850.035833329</v>
      </c>
      <c r="N4" s="5">
        <v>79000882.46714285</v>
      </c>
      <c r="O4" s="5">
        <v>76001633.438452378</v>
      </c>
      <c r="P4" s="5">
        <v>74802167.330952376</v>
      </c>
      <c r="Q4" s="5">
        <v>76940108.568809524</v>
      </c>
      <c r="R4" s="5">
        <v>77059752.28940475</v>
      </c>
      <c r="S4" s="5">
        <v>56233338.926785707</v>
      </c>
      <c r="T4" s="5">
        <v>57316200.877261899</v>
      </c>
      <c r="U4" s="5">
        <v>57753367.491071425</v>
      </c>
      <c r="V4" s="5">
        <v>62882877.39892856</v>
      </c>
      <c r="W4" s="5">
        <v>61763125.672261909</v>
      </c>
      <c r="X4" s="5">
        <v>53246785.696785718</v>
      </c>
      <c r="Y4" s="5">
        <v>53584035.105833329</v>
      </c>
      <c r="Z4" s="5">
        <v>57329428.307976186</v>
      </c>
      <c r="AA4" s="5">
        <v>57632881.20059523</v>
      </c>
      <c r="AB4" s="5">
        <v>58594378.802499995</v>
      </c>
      <c r="AC4" s="5">
        <v>55244164.959880948</v>
      </c>
      <c r="AD4" s="5">
        <v>52333722.150833331</v>
      </c>
      <c r="AE4" s="5">
        <v>53523179.44833333</v>
      </c>
      <c r="AF4" s="5">
        <v>54783761.313333333</v>
      </c>
      <c r="AG4" s="5">
        <v>56018232.597976193</v>
      </c>
    </row>
    <row r="5" spans="1:33" x14ac:dyDescent="0.25">
      <c r="A5" s="33" t="s">
        <v>33</v>
      </c>
      <c r="B5" s="4" t="s">
        <v>37</v>
      </c>
      <c r="C5" s="5">
        <v>58901553.526047617</v>
      </c>
      <c r="D5" s="5">
        <v>73089048.096142858</v>
      </c>
      <c r="E5" s="5">
        <v>67602895.927547619</v>
      </c>
      <c r="F5" s="5">
        <v>73879000.072333336</v>
      </c>
      <c r="G5" s="5">
        <v>98274085.447866946</v>
      </c>
      <c r="H5" s="5">
        <v>120931761.91908589</v>
      </c>
      <c r="I5" s="5">
        <v>105553455.11775255</v>
      </c>
      <c r="J5" s="5">
        <v>107709096.23404431</v>
      </c>
      <c r="K5" s="5">
        <v>87513041.463410348</v>
      </c>
      <c r="L5" s="5">
        <v>155431996.71527308</v>
      </c>
      <c r="M5" s="5">
        <v>178619266.14014241</v>
      </c>
      <c r="N5" s="5">
        <v>183634750.67772642</v>
      </c>
      <c r="O5" s="5">
        <v>160480507.70519841</v>
      </c>
      <c r="P5" s="5">
        <v>157621395.31392854</v>
      </c>
      <c r="Q5" s="5">
        <v>149652169.09634921</v>
      </c>
      <c r="R5" s="5">
        <v>146882430.85753968</v>
      </c>
      <c r="S5" s="5">
        <v>176740454.05630952</v>
      </c>
      <c r="T5" s="5">
        <v>180285085.14849204</v>
      </c>
      <c r="U5" s="5">
        <v>183789466.27285719</v>
      </c>
      <c r="V5" s="5">
        <v>179478277.12583333</v>
      </c>
      <c r="W5" s="5">
        <v>174772414.67738095</v>
      </c>
      <c r="X5" s="5">
        <v>159476141.17214286</v>
      </c>
      <c r="Y5" s="5">
        <v>186952170.33170635</v>
      </c>
      <c r="Z5" s="5">
        <v>186223825.10896826</v>
      </c>
      <c r="AA5" s="5">
        <v>164961862.0795238</v>
      </c>
      <c r="AB5" s="5">
        <v>164799853.70666671</v>
      </c>
      <c r="AC5" s="5">
        <v>166927205.27559525</v>
      </c>
      <c r="AD5" s="5">
        <v>172407108.75511906</v>
      </c>
      <c r="AE5" s="5">
        <v>167703924.83916664</v>
      </c>
      <c r="AF5" s="5">
        <v>169589379.0429762</v>
      </c>
      <c r="AG5" s="5">
        <v>170565705.92964286</v>
      </c>
    </row>
    <row r="6" spans="1:33" x14ac:dyDescent="0.25">
      <c r="A6" s="33" t="s">
        <v>33</v>
      </c>
      <c r="B6" s="4" t="s">
        <v>38</v>
      </c>
      <c r="C6" s="5">
        <v>40069259.358095236</v>
      </c>
      <c r="D6" s="5">
        <v>37199081.827738091</v>
      </c>
      <c r="E6" s="5">
        <v>41553820.137023807</v>
      </c>
      <c r="F6" s="5">
        <v>32932248.719285708</v>
      </c>
      <c r="G6" s="5">
        <v>11678132.915714286</v>
      </c>
      <c r="H6" s="5">
        <v>11693810.725952381</v>
      </c>
      <c r="I6" s="5">
        <v>30792554.902976189</v>
      </c>
      <c r="J6" s="5">
        <v>31674943.784761902</v>
      </c>
      <c r="K6" s="5">
        <v>54018150.529738091</v>
      </c>
      <c r="L6" s="5">
        <v>54304172.755095236</v>
      </c>
      <c r="M6" s="5">
        <v>59948777.582214281</v>
      </c>
      <c r="N6" s="5">
        <v>64281096.55514285</v>
      </c>
      <c r="O6" s="5">
        <v>90583181.950868338</v>
      </c>
      <c r="P6" s="5">
        <v>93769359.318453759</v>
      </c>
      <c r="Q6" s="5">
        <v>83737644.242197499</v>
      </c>
      <c r="R6" s="5">
        <v>83038287.62685433</v>
      </c>
      <c r="S6" s="5">
        <v>76793201.700735301</v>
      </c>
      <c r="T6" s="5">
        <v>89165212.327946782</v>
      </c>
      <c r="U6" s="5">
        <v>83714956.710035011</v>
      </c>
      <c r="V6" s="5">
        <v>77594157.377103627</v>
      </c>
      <c r="W6" s="5">
        <v>72034157.485215679</v>
      </c>
      <c r="X6" s="5">
        <v>86134881.155099437</v>
      </c>
      <c r="Y6" s="5">
        <v>62365638.100516811</v>
      </c>
      <c r="Z6" s="5">
        <v>61872425.50806722</v>
      </c>
      <c r="AA6" s="5">
        <v>86002094.503694654</v>
      </c>
      <c r="AB6" s="5">
        <v>75926566.21522221</v>
      </c>
      <c r="AC6" s="5">
        <v>75865839.477515861</v>
      </c>
      <c r="AD6" s="5">
        <v>76859245.738499984</v>
      </c>
      <c r="AE6" s="5">
        <v>78957461.343849197</v>
      </c>
      <c r="AF6" s="5">
        <v>79477820.568134919</v>
      </c>
      <c r="AG6" s="5">
        <v>79877180.657261893</v>
      </c>
    </row>
    <row r="7" spans="1:33" x14ac:dyDescent="0.25">
      <c r="A7" s="33" t="s">
        <v>39</v>
      </c>
      <c r="B7" s="4" t="s">
        <v>35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>
        <v>18545880.132509328</v>
      </c>
      <c r="T7" s="5">
        <v>7903173.1604011208</v>
      </c>
      <c r="U7" s="5">
        <v>5841854.2396641783</v>
      </c>
      <c r="V7" s="5">
        <v>8610580.640037315</v>
      </c>
      <c r="W7" s="5">
        <v>5286878.1823880598</v>
      </c>
      <c r="X7" s="5">
        <v>5217133.029552239</v>
      </c>
      <c r="Y7" s="5">
        <v>4921402.5656343289</v>
      </c>
      <c r="Z7" s="5">
        <v>5052108.6349253738</v>
      </c>
      <c r="AA7" s="5">
        <v>4998867.6580970138</v>
      </c>
      <c r="AB7" s="5">
        <v>43876574.130820915</v>
      </c>
      <c r="AC7" s="5">
        <v>51349716.969179079</v>
      </c>
      <c r="AD7" s="6"/>
      <c r="AE7" s="6"/>
      <c r="AF7" s="6"/>
      <c r="AG7" s="6"/>
    </row>
    <row r="8" spans="1:33" x14ac:dyDescent="0.25">
      <c r="A8" s="33" t="s">
        <v>39</v>
      </c>
      <c r="B8" s="4" t="s">
        <v>36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5">
        <v>72730017.667036995</v>
      </c>
      <c r="T8" s="5">
        <v>105707119.17698786</v>
      </c>
      <c r="U8" s="5">
        <v>105122903.40084933</v>
      </c>
      <c r="V8" s="5">
        <v>117197145.76822057</v>
      </c>
      <c r="W8" s="5">
        <v>109883951.1394878</v>
      </c>
      <c r="X8" s="5">
        <v>102454929.32196066</v>
      </c>
      <c r="Y8" s="5">
        <v>104515648.48170672</v>
      </c>
      <c r="Z8" s="5">
        <v>111582376.86140193</v>
      </c>
      <c r="AA8" s="5">
        <v>112275606.78074431</v>
      </c>
      <c r="AB8" s="5">
        <v>114061677.14356512</v>
      </c>
      <c r="AC8" s="5">
        <v>107517134.7079846</v>
      </c>
      <c r="AD8" s="6"/>
      <c r="AE8" s="6"/>
      <c r="AF8" s="6"/>
      <c r="AG8" s="6"/>
    </row>
    <row r="9" spans="1:33" x14ac:dyDescent="0.25">
      <c r="A9" s="33" t="s">
        <v>39</v>
      </c>
      <c r="B9" s="4" t="s">
        <v>37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>
        <v>248146832.63446319</v>
      </c>
      <c r="T9" s="5">
        <v>353373866.38968849</v>
      </c>
      <c r="U9" s="5">
        <v>350436715.62377709</v>
      </c>
      <c r="V9" s="5">
        <v>346621039.57358456</v>
      </c>
      <c r="W9" s="5">
        <v>335939553.34703195</v>
      </c>
      <c r="X9" s="5">
        <v>335948032.7226063</v>
      </c>
      <c r="Y9" s="5">
        <v>365755666.6293354</v>
      </c>
      <c r="Z9" s="5">
        <v>366231129.96423131</v>
      </c>
      <c r="AA9" s="5">
        <v>347816360.95879233</v>
      </c>
      <c r="AB9" s="5">
        <v>347310213.51093847</v>
      </c>
      <c r="AC9" s="5">
        <v>336509066.08825111</v>
      </c>
      <c r="AD9" s="6"/>
      <c r="AE9" s="6"/>
      <c r="AF9" s="6"/>
      <c r="AG9" s="6"/>
    </row>
    <row r="10" spans="1:33" x14ac:dyDescent="0.25">
      <c r="A10" s="33" t="s">
        <v>39</v>
      </c>
      <c r="B10" s="4" t="s">
        <v>38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5">
        <v>111210933.47239751</v>
      </c>
      <c r="T10" s="5">
        <v>172894348.8242237</v>
      </c>
      <c r="U10" s="5">
        <v>137168867.42219621</v>
      </c>
      <c r="V10" s="5">
        <v>128408435.70176084</v>
      </c>
      <c r="W10" s="5">
        <v>120216549.67037752</v>
      </c>
      <c r="X10" s="5">
        <v>115771185.34929541</v>
      </c>
      <c r="Y10" s="5">
        <v>89829782.459363863</v>
      </c>
      <c r="Z10" s="5">
        <v>89069211.205559686</v>
      </c>
      <c r="AA10" s="5">
        <v>113232128.73417734</v>
      </c>
      <c r="AB10" s="5">
        <v>79625744.777478665</v>
      </c>
      <c r="AC10" s="5">
        <v>97021994.703084588</v>
      </c>
      <c r="AD10" s="6"/>
      <c r="AE10" s="6"/>
      <c r="AF10" s="6"/>
      <c r="AG10" s="6"/>
    </row>
    <row r="11" spans="1:33" x14ac:dyDescent="0.25">
      <c r="A11" s="33" t="s">
        <v>40</v>
      </c>
      <c r="B11" s="4" t="s">
        <v>35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5">
        <v>7999629</v>
      </c>
      <c r="X11" s="5">
        <v>2230537402</v>
      </c>
      <c r="Y11" s="5">
        <v>715448467</v>
      </c>
      <c r="Z11" s="5">
        <v>672246731.94444442</v>
      </c>
      <c r="AA11" s="5">
        <v>673927582.7052778</v>
      </c>
      <c r="AB11" s="5">
        <v>1321223005.9916663</v>
      </c>
      <c r="AC11" s="5">
        <v>1343529209.5863895</v>
      </c>
      <c r="AD11" s="5">
        <v>1350002778.1869447</v>
      </c>
      <c r="AE11" s="5">
        <v>1395237715.2108335</v>
      </c>
      <c r="AF11" s="5">
        <v>1400862044.4330556</v>
      </c>
      <c r="AG11" s="5">
        <v>1403270410.0475006</v>
      </c>
    </row>
    <row r="12" spans="1:33" x14ac:dyDescent="0.25">
      <c r="A12" s="33" t="s">
        <v>40</v>
      </c>
      <c r="B12" s="4" t="s">
        <v>36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5">
        <v>0</v>
      </c>
      <c r="X12" s="5">
        <v>89460329</v>
      </c>
      <c r="Y12" s="5">
        <v>185668356</v>
      </c>
      <c r="Z12" s="5">
        <v>38756602</v>
      </c>
      <c r="AA12" s="5">
        <v>39462260.8125</v>
      </c>
      <c r="AB12" s="5">
        <v>40346976.862499997</v>
      </c>
      <c r="AC12" s="5">
        <v>39721223.299999997</v>
      </c>
      <c r="AD12" s="5">
        <v>38658304.700000003</v>
      </c>
      <c r="AE12" s="5">
        <v>40005994.575000003</v>
      </c>
      <c r="AF12" s="5">
        <v>41580963.9375</v>
      </c>
      <c r="AG12" s="5">
        <v>43232783.299999997</v>
      </c>
    </row>
    <row r="13" spans="1:33" x14ac:dyDescent="0.25">
      <c r="A13" s="33" t="s">
        <v>40</v>
      </c>
      <c r="B13" s="4" t="s">
        <v>37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5">
        <v>0</v>
      </c>
      <c r="X13" s="5">
        <v>2654167495</v>
      </c>
      <c r="Y13" s="5">
        <v>2145751721</v>
      </c>
      <c r="Z13" s="5">
        <v>782647465.5</v>
      </c>
      <c r="AA13" s="5">
        <v>750334408.49583316</v>
      </c>
      <c r="AB13" s="5">
        <v>752973624.16250014</v>
      </c>
      <c r="AC13" s="5">
        <v>758575725.42083359</v>
      </c>
      <c r="AD13" s="5">
        <v>769083940.91666651</v>
      </c>
      <c r="AE13" s="5">
        <v>768354458.24166691</v>
      </c>
      <c r="AF13" s="5">
        <v>778842833.54999983</v>
      </c>
      <c r="AG13" s="5">
        <v>789204932.27500033</v>
      </c>
    </row>
    <row r="14" spans="1:33" x14ac:dyDescent="0.25">
      <c r="A14" s="33" t="s">
        <v>40</v>
      </c>
      <c r="B14" s="4" t="s">
        <v>38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5">
        <v>5098885</v>
      </c>
      <c r="X14" s="5">
        <v>5050596480</v>
      </c>
      <c r="Y14" s="5">
        <v>1296608309</v>
      </c>
      <c r="Z14" s="5">
        <v>1117587743.5</v>
      </c>
      <c r="AA14" s="5">
        <v>1143027573.2166665</v>
      </c>
      <c r="AB14" s="5">
        <v>515514737.67083323</v>
      </c>
      <c r="AC14" s="5">
        <v>510049236.22500014</v>
      </c>
      <c r="AD14" s="5">
        <v>515678689.10833347</v>
      </c>
      <c r="AE14" s="5">
        <v>491681090.375</v>
      </c>
      <c r="AF14" s="5">
        <v>496282401.84166676</v>
      </c>
      <c r="AG14" s="5">
        <v>500814543.58749998</v>
      </c>
    </row>
    <row r="15" spans="1:33" x14ac:dyDescent="0.25">
      <c r="A15" s="3" t="s">
        <v>41</v>
      </c>
      <c r="B15" s="4" t="s">
        <v>37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5">
        <v>2997892</v>
      </c>
      <c r="T15" s="5">
        <v>3030877.3333333335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3" t="s">
        <v>42</v>
      </c>
      <c r="B16" s="4" t="s">
        <v>35</v>
      </c>
      <c r="C16" s="5">
        <v>45403.452631578948</v>
      </c>
      <c r="D16" s="5">
        <v>48815.357368421057</v>
      </c>
      <c r="E16" s="5">
        <v>51631.174736842113</v>
      </c>
      <c r="F16" s="5">
        <v>52212.651052631583</v>
      </c>
      <c r="G16" s="5">
        <v>53024.23631578948</v>
      </c>
      <c r="H16" s="5">
        <v>55945.585526315786</v>
      </c>
      <c r="I16" s="5">
        <v>57930.89210526317</v>
      </c>
      <c r="J16" s="5">
        <v>61982.615526315793</v>
      </c>
      <c r="K16" s="5">
        <v>64672.091052631578</v>
      </c>
      <c r="L16" s="5">
        <v>67670.595789473678</v>
      </c>
      <c r="M16" s="5">
        <v>68592.10105263158</v>
      </c>
      <c r="N16" s="5">
        <v>69972.989999999991</v>
      </c>
      <c r="O16" s="5">
        <v>76957.951578947366</v>
      </c>
      <c r="P16" s="5">
        <v>90017.238157894739</v>
      </c>
      <c r="Q16" s="5">
        <v>101145.22315789474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33" t="s">
        <v>43</v>
      </c>
      <c r="B17" s="4" t="s">
        <v>34</v>
      </c>
      <c r="C17" s="5">
        <v>94961.400000000009</v>
      </c>
      <c r="D17" s="5">
        <v>90582.749999999985</v>
      </c>
      <c r="E17" s="5">
        <v>92029.83</v>
      </c>
      <c r="F17" s="5">
        <v>119291.90999999997</v>
      </c>
      <c r="G17" s="5">
        <v>111120</v>
      </c>
      <c r="H17" s="5">
        <v>98792.174999999988</v>
      </c>
      <c r="I17" s="5">
        <v>82772.925000000003</v>
      </c>
      <c r="J17" s="5">
        <v>96983.893333333312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x14ac:dyDescent="0.25">
      <c r="A18" s="33" t="s">
        <v>43</v>
      </c>
      <c r="B18" s="4" t="s">
        <v>35</v>
      </c>
      <c r="C18" s="5">
        <v>1119051.8421052631</v>
      </c>
      <c r="D18" s="5">
        <v>1222940.1625000001</v>
      </c>
      <c r="E18" s="5">
        <v>1203400.0060526317</v>
      </c>
      <c r="F18" s="5">
        <v>1217230.5027631579</v>
      </c>
      <c r="G18" s="5">
        <v>1232734.0373684214</v>
      </c>
      <c r="H18" s="5">
        <v>1231197.2301315791</v>
      </c>
      <c r="I18" s="5">
        <v>1230059.894736842</v>
      </c>
      <c r="J18" s="5">
        <v>1219766.4421052632</v>
      </c>
      <c r="K18" s="5">
        <v>1222583.4350000003</v>
      </c>
      <c r="L18" s="5">
        <v>1268276.0189473685</v>
      </c>
      <c r="M18" s="5">
        <v>1261043.8684649123</v>
      </c>
      <c r="N18" s="5">
        <v>1265252.710263158</v>
      </c>
      <c r="O18" s="5">
        <v>1263631.0440789475</v>
      </c>
      <c r="P18" s="5">
        <v>1231828.7711842107</v>
      </c>
      <c r="Q18" s="5">
        <v>5094080.9931578953</v>
      </c>
      <c r="R18" s="5">
        <v>5139940.4082894735</v>
      </c>
      <c r="S18" s="5">
        <v>5130065.010263158</v>
      </c>
      <c r="T18" s="5">
        <v>1220097.5097368422</v>
      </c>
      <c r="U18" s="5">
        <v>1223262.6453070175</v>
      </c>
      <c r="V18" s="5">
        <v>1232125.8741228073</v>
      </c>
      <c r="W18" s="5">
        <v>1208353.9900877192</v>
      </c>
      <c r="X18" s="5">
        <v>1212068.176403509</v>
      </c>
      <c r="Y18" s="5">
        <v>1195551.7557456142</v>
      </c>
      <c r="Z18" s="5">
        <v>1189483.8824561401</v>
      </c>
      <c r="AA18" s="5">
        <v>1192320.5657894735</v>
      </c>
      <c r="AB18" s="5">
        <v>16729064.266403511</v>
      </c>
      <c r="AC18" s="5">
        <v>15711239.170219297</v>
      </c>
      <c r="AD18" s="5">
        <v>13744450.247324562</v>
      </c>
      <c r="AE18" s="5">
        <v>13089724.151184211</v>
      </c>
      <c r="AF18" s="5">
        <v>12920092.653947368</v>
      </c>
      <c r="AG18" s="5">
        <v>12788293.736842105</v>
      </c>
    </row>
    <row r="19" spans="1:33" x14ac:dyDescent="0.25">
      <c r="A19" s="33" t="s">
        <v>43</v>
      </c>
      <c r="B19" s="4" t="s">
        <v>36</v>
      </c>
      <c r="C19" s="5">
        <v>17559920.742587715</v>
      </c>
      <c r="D19" s="5">
        <v>1530590.5024999999</v>
      </c>
      <c r="E19" s="5">
        <v>1386901.6691666667</v>
      </c>
      <c r="F19" s="5">
        <v>1320690.3758333332</v>
      </c>
      <c r="G19" s="5">
        <v>678429.41083333327</v>
      </c>
      <c r="H19" s="5">
        <v>468765.33333333331</v>
      </c>
      <c r="I19" s="5">
        <v>473725.65416666662</v>
      </c>
      <c r="J19" s="5">
        <v>343604.26666666666</v>
      </c>
      <c r="K19" s="5">
        <v>340659.14749999996</v>
      </c>
      <c r="L19" s="5">
        <v>359787.73166666669</v>
      </c>
      <c r="M19" s="5">
        <v>367309.28249999997</v>
      </c>
      <c r="N19" s="5">
        <v>377112.44</v>
      </c>
      <c r="O19" s="5">
        <v>390295.26583333337</v>
      </c>
      <c r="P19" s="5">
        <v>390036.34083333332</v>
      </c>
      <c r="Q19" s="5">
        <v>428852.85416666669</v>
      </c>
      <c r="R19" s="5">
        <v>264882.33833333332</v>
      </c>
      <c r="S19" s="6"/>
      <c r="T19" s="6"/>
      <c r="U19" s="6"/>
      <c r="V19" s="5">
        <v>674796.84833333339</v>
      </c>
      <c r="W19" s="5">
        <v>4156434.5341666667</v>
      </c>
      <c r="X19" s="5">
        <v>4315320.2416666672</v>
      </c>
      <c r="Y19" s="5">
        <v>4110923.5266666668</v>
      </c>
      <c r="Z19" s="5">
        <v>4246029.5633333335</v>
      </c>
      <c r="AA19" s="5">
        <v>4705085.6783333328</v>
      </c>
      <c r="AB19" s="5">
        <v>4789178.8133333335</v>
      </c>
      <c r="AC19" s="5">
        <v>718943.28500000003</v>
      </c>
      <c r="AD19" s="5">
        <v>759633.19833333325</v>
      </c>
      <c r="AE19" s="5">
        <v>785092.07833333337</v>
      </c>
      <c r="AF19" s="5">
        <v>821841.3666666667</v>
      </c>
      <c r="AG19" s="5">
        <v>863986.71500000008</v>
      </c>
    </row>
    <row r="20" spans="1:33" x14ac:dyDescent="0.25">
      <c r="A20" s="33" t="s">
        <v>43</v>
      </c>
      <c r="B20" s="4" t="s">
        <v>37</v>
      </c>
      <c r="C20" s="5">
        <v>3364029.277735664</v>
      </c>
      <c r="D20" s="5">
        <v>19002103.351286985</v>
      </c>
      <c r="E20" s="5">
        <v>18724672.860788167</v>
      </c>
      <c r="F20" s="5">
        <v>18071979.70850157</v>
      </c>
      <c r="G20" s="5">
        <v>18376273.711529851</v>
      </c>
      <c r="H20" s="5">
        <v>18225152.388050538</v>
      </c>
      <c r="I20" s="5">
        <v>19831936.211379945</v>
      </c>
      <c r="J20" s="5">
        <v>19572617.612707514</v>
      </c>
      <c r="K20" s="5">
        <v>19597296.730236974</v>
      </c>
      <c r="L20" s="5">
        <v>19465615.789035086</v>
      </c>
      <c r="M20" s="5">
        <v>18787989.567061402</v>
      </c>
      <c r="N20" s="5">
        <v>18949188.403421052</v>
      </c>
      <c r="O20" s="5">
        <v>1565811.2783333336</v>
      </c>
      <c r="P20" s="5">
        <v>1478823.7524999999</v>
      </c>
      <c r="Q20" s="5">
        <v>1472017.5891666666</v>
      </c>
      <c r="R20" s="5">
        <v>1622398.3825000001</v>
      </c>
      <c r="S20" s="5">
        <v>1784486.5525000002</v>
      </c>
      <c r="T20" s="5">
        <v>2200512.6324999998</v>
      </c>
      <c r="U20" s="5">
        <v>2217689.2383333333</v>
      </c>
      <c r="V20" s="5">
        <v>1502990.7058333333</v>
      </c>
      <c r="W20" s="5">
        <v>906377.51083333325</v>
      </c>
      <c r="X20" s="5">
        <v>2089581.7182017544</v>
      </c>
      <c r="Y20" s="5">
        <v>2331415.9688157896</v>
      </c>
      <c r="Z20" s="5">
        <v>2295538.2641666671</v>
      </c>
      <c r="AA20" s="5">
        <v>1554268.8116228073</v>
      </c>
      <c r="AB20" s="5">
        <v>1550926.0481140353</v>
      </c>
      <c r="AC20" s="5">
        <v>5699436.2732894737</v>
      </c>
      <c r="AD20" s="5">
        <v>5324019.6546929823</v>
      </c>
      <c r="AE20" s="5">
        <v>5339861.9428947363</v>
      </c>
      <c r="AF20" s="5">
        <v>5355310.5925877197</v>
      </c>
      <c r="AG20" s="5">
        <v>5370201.9115789467</v>
      </c>
    </row>
    <row r="21" spans="1:33" x14ac:dyDescent="0.25">
      <c r="A21" s="33" t="s">
        <v>43</v>
      </c>
      <c r="B21" s="4" t="s">
        <v>38</v>
      </c>
      <c r="C21" s="5">
        <v>1130679.6707894737</v>
      </c>
      <c r="D21" s="5">
        <v>1141336.2206140351</v>
      </c>
      <c r="E21" s="5">
        <v>1132506.9550000001</v>
      </c>
      <c r="F21" s="5">
        <v>1165910.1608333332</v>
      </c>
      <c r="G21" s="5">
        <v>1156128.9760526316</v>
      </c>
      <c r="H21" s="5">
        <v>1164352.2222368421</v>
      </c>
      <c r="I21" s="5">
        <v>1157269.6123684212</v>
      </c>
      <c r="J21" s="5">
        <v>1171509.5029385965</v>
      </c>
      <c r="K21" s="5">
        <v>1522584.7433333334</v>
      </c>
      <c r="L21" s="5">
        <v>1772267.6937745484</v>
      </c>
      <c r="M21" s="5">
        <v>2460189.8206585497</v>
      </c>
      <c r="N21" s="5">
        <v>2698865.1784845511</v>
      </c>
      <c r="O21" s="5">
        <v>20249975.495690629</v>
      </c>
      <c r="P21" s="5">
        <v>20803047.209878899</v>
      </c>
      <c r="Q21" s="5">
        <v>21468732.16736646</v>
      </c>
      <c r="R21" s="5">
        <v>21404435.834810816</v>
      </c>
      <c r="S21" s="5">
        <v>21433161.073078036</v>
      </c>
      <c r="T21" s="5">
        <v>25055068.152047001</v>
      </c>
      <c r="U21" s="5">
        <v>25107098.528565727</v>
      </c>
      <c r="V21" s="5">
        <v>25126385.143628567</v>
      </c>
      <c r="W21" s="5">
        <v>25114664.365514528</v>
      </c>
      <c r="X21" s="5">
        <v>23444219.981054593</v>
      </c>
      <c r="Y21" s="5">
        <v>23286004.15662019</v>
      </c>
      <c r="Z21" s="5">
        <v>23891028.517758586</v>
      </c>
      <c r="AA21" s="5">
        <v>22655216.764150959</v>
      </c>
      <c r="AB21" s="5">
        <v>5070868.8546451954</v>
      </c>
      <c r="AC21" s="5">
        <v>4310614.8980839225</v>
      </c>
      <c r="AD21" s="5">
        <v>4634200.8970051063</v>
      </c>
      <c r="AE21" s="5">
        <v>4406115.4292740244</v>
      </c>
      <c r="AF21" s="5">
        <v>4349721.5769239329</v>
      </c>
      <c r="AG21" s="5">
        <v>4313357.7878842624</v>
      </c>
    </row>
    <row r="22" spans="1:33" x14ac:dyDescent="0.25">
      <c r="A22" s="33" t="s">
        <v>44</v>
      </c>
      <c r="B22" s="4" t="s">
        <v>34</v>
      </c>
      <c r="C22" s="5">
        <v>8083.8947368421059</v>
      </c>
      <c r="D22" s="5">
        <v>7983.4736842105267</v>
      </c>
      <c r="E22" s="5">
        <v>7977.7894736842118</v>
      </c>
      <c r="F22" s="5">
        <v>8014.132894736842</v>
      </c>
      <c r="G22" s="5">
        <v>8010.6750000000002</v>
      </c>
      <c r="H22" s="5">
        <v>7915.2631578947376</v>
      </c>
      <c r="I22" s="5">
        <v>7673.6842105263158</v>
      </c>
      <c r="J22" s="5">
        <v>7588.5473684210529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x14ac:dyDescent="0.25">
      <c r="A23" s="33" t="s">
        <v>44</v>
      </c>
      <c r="B23" s="4" t="s">
        <v>35</v>
      </c>
      <c r="C23" s="5">
        <v>10825968.077894736</v>
      </c>
      <c r="D23" s="5">
        <v>11521229.544684213</v>
      </c>
      <c r="E23" s="5">
        <v>11271969.625868421</v>
      </c>
      <c r="F23" s="5">
        <v>14068018.352736842</v>
      </c>
      <c r="G23" s="5">
        <v>11348177.32457895</v>
      </c>
      <c r="H23" s="5">
        <v>11284628.96481579</v>
      </c>
      <c r="I23" s="5">
        <v>11210214.733710527</v>
      </c>
      <c r="J23" s="5">
        <v>11317813.526868422</v>
      </c>
      <c r="K23" s="5">
        <v>11467914.206842106</v>
      </c>
      <c r="L23" s="5">
        <v>11384249.97663158</v>
      </c>
      <c r="M23" s="5">
        <v>11359761.199368421</v>
      </c>
      <c r="N23" s="5">
        <v>11355944.11063158</v>
      </c>
      <c r="O23" s="5">
        <v>6964431.430447368</v>
      </c>
      <c r="P23" s="5">
        <v>7530729.0148947379</v>
      </c>
      <c r="Q23" s="5">
        <v>7546137.2732105264</v>
      </c>
      <c r="R23" s="5">
        <v>7669887.4641578961</v>
      </c>
      <c r="S23" s="5">
        <v>8010425.9481315808</v>
      </c>
      <c r="T23" s="5">
        <v>7912563.8852631589</v>
      </c>
      <c r="U23" s="5">
        <v>7582079.2162894746</v>
      </c>
      <c r="V23" s="5">
        <v>7447860.9240526315</v>
      </c>
      <c r="W23" s="5">
        <v>7305237.7651315797</v>
      </c>
      <c r="X23" s="5">
        <v>7183718.3092105277</v>
      </c>
      <c r="Y23" s="5">
        <v>7162774.0667368425</v>
      </c>
      <c r="Z23" s="5">
        <v>7186571.4013421051</v>
      </c>
      <c r="AA23" s="5">
        <v>7179815.035052632</v>
      </c>
      <c r="AB23" s="5">
        <v>45956969.043973669</v>
      </c>
      <c r="AC23" s="5">
        <v>45554046.872078955</v>
      </c>
      <c r="AD23" s="5">
        <v>45164177.289105259</v>
      </c>
      <c r="AE23" s="5">
        <v>44825038.069842115</v>
      </c>
      <c r="AF23" s="5">
        <v>44551214.713105269</v>
      </c>
      <c r="AG23" s="5">
        <v>44326790.909789473</v>
      </c>
    </row>
    <row r="24" spans="1:33" x14ac:dyDescent="0.25">
      <c r="A24" s="33" t="s">
        <v>44</v>
      </c>
      <c r="B24" s="4" t="s">
        <v>36</v>
      </c>
      <c r="C24" s="5">
        <v>41607.368421052633</v>
      </c>
      <c r="D24" s="5">
        <v>39938.021052631579</v>
      </c>
      <c r="E24" s="5">
        <v>37677</v>
      </c>
      <c r="F24" s="5">
        <v>36285.663157894742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33" t="s">
        <v>44</v>
      </c>
      <c r="B25" s="4" t="s">
        <v>37</v>
      </c>
      <c r="C25" s="5">
        <v>3216.8421052631584</v>
      </c>
      <c r="D25" s="5">
        <v>4331.4778947368432</v>
      </c>
      <c r="E25" s="5">
        <v>4220.8826315789474</v>
      </c>
      <c r="F25" s="5">
        <v>4121.8736842105263</v>
      </c>
      <c r="G25" s="5">
        <v>41648.762368421056</v>
      </c>
      <c r="H25" s="5">
        <v>41943.776315789481</v>
      </c>
      <c r="I25" s="5">
        <v>39476.68421052632</v>
      </c>
      <c r="J25" s="5">
        <v>41243.732368421064</v>
      </c>
      <c r="K25" s="5">
        <v>40140.863157894739</v>
      </c>
      <c r="L25" s="5">
        <v>43047.700789473689</v>
      </c>
      <c r="M25" s="5">
        <v>45402.378552631584</v>
      </c>
      <c r="N25" s="5">
        <v>46536.08197368421</v>
      </c>
      <c r="O25" s="5">
        <v>44901.84210526316</v>
      </c>
      <c r="P25" s="5">
        <v>47181.512499999997</v>
      </c>
      <c r="Q25" s="5">
        <v>48327.245263157893</v>
      </c>
      <c r="R25" s="5">
        <v>75591.372105263159</v>
      </c>
      <c r="S25" s="5">
        <v>26200.221052631583</v>
      </c>
      <c r="T25" s="5">
        <v>24374.657500000001</v>
      </c>
      <c r="U25" s="5">
        <v>25532.971710526315</v>
      </c>
      <c r="V25" s="5">
        <v>25094.191578947371</v>
      </c>
      <c r="W25" s="5">
        <v>23888.304736842103</v>
      </c>
      <c r="X25" s="5">
        <v>22126.294736842105</v>
      </c>
      <c r="Y25" s="5">
        <v>23119.134473684207</v>
      </c>
      <c r="Z25" s="5">
        <v>23153.280394736841</v>
      </c>
      <c r="AA25" s="5">
        <v>23437.404999999999</v>
      </c>
      <c r="AB25" s="5">
        <v>23890.937105263158</v>
      </c>
      <c r="AC25" s="5">
        <v>24351.530789473683</v>
      </c>
      <c r="AD25" s="6"/>
      <c r="AE25" s="6"/>
      <c r="AF25" s="6"/>
      <c r="AG25" s="6"/>
    </row>
    <row r="26" spans="1:33" x14ac:dyDescent="0.25">
      <c r="A26" s="33" t="s">
        <v>44</v>
      </c>
      <c r="B26" s="4" t="s">
        <v>38</v>
      </c>
      <c r="C26" s="5">
        <v>2465676.3684210526</v>
      </c>
      <c r="D26" s="5">
        <v>2832127.2427631579</v>
      </c>
      <c r="E26" s="5">
        <v>2992012.6532894741</v>
      </c>
      <c r="F26" s="5">
        <v>49379.684210526313</v>
      </c>
      <c r="G26" s="5">
        <v>47839.326315789476</v>
      </c>
      <c r="H26" s="5">
        <v>45676.800000000003</v>
      </c>
      <c r="I26" s="5">
        <v>43824.505263157895</v>
      </c>
      <c r="J26" s="5">
        <v>137168.08421052631</v>
      </c>
      <c r="K26" s="5">
        <v>49309.910131578952</v>
      </c>
      <c r="L26" s="5">
        <v>49259.31368421053</v>
      </c>
      <c r="M26" s="5">
        <v>8134.5692105263151</v>
      </c>
      <c r="N26" s="5">
        <v>8195.5324999999993</v>
      </c>
      <c r="O26" s="5">
        <v>74019753.538736835</v>
      </c>
      <c r="P26" s="5">
        <v>74997411.869176313</v>
      </c>
      <c r="Q26" s="5">
        <v>73216796.006921068</v>
      </c>
      <c r="R26" s="5">
        <v>71566154.976421073</v>
      </c>
      <c r="S26" s="5">
        <v>70205180.728736848</v>
      </c>
      <c r="T26" s="5">
        <v>71079333.891572356</v>
      </c>
      <c r="U26" s="5">
        <v>63915343.4593421</v>
      </c>
      <c r="V26" s="5">
        <v>57156937.519473687</v>
      </c>
      <c r="W26" s="5">
        <v>51466521.677368432</v>
      </c>
      <c r="X26" s="5">
        <v>44878448.111842103</v>
      </c>
      <c r="Y26" s="5">
        <v>40973318.363289468</v>
      </c>
      <c r="Z26" s="5">
        <v>39904744.05736842</v>
      </c>
      <c r="AA26" s="5">
        <v>39559368.931842104</v>
      </c>
      <c r="AB26" s="5">
        <v>415706.67947368423</v>
      </c>
      <c r="AC26" s="5">
        <v>431606.95223684213</v>
      </c>
      <c r="AD26" s="5">
        <v>459548.37934210524</v>
      </c>
      <c r="AE26" s="5">
        <v>446100.04776315793</v>
      </c>
      <c r="AF26" s="5">
        <v>437514.07526315795</v>
      </c>
      <c r="AG26" s="5">
        <v>430931.20894736843</v>
      </c>
    </row>
    <row r="27" spans="1:33" x14ac:dyDescent="0.25">
      <c r="A27" s="3" t="s">
        <v>45</v>
      </c>
      <c r="B27" s="4" t="s">
        <v>37</v>
      </c>
      <c r="C27" s="5">
        <v>9089.3684210526335</v>
      </c>
      <c r="D27" s="5">
        <v>8715.6315789473701</v>
      </c>
      <c r="E27" s="5">
        <v>8496.2443421052631</v>
      </c>
      <c r="F27" s="5">
        <v>9079.9263157894748</v>
      </c>
      <c r="G27" s="5">
        <v>7227.7894736842118</v>
      </c>
      <c r="H27" s="5">
        <v>8796.5486842105274</v>
      </c>
      <c r="I27" s="5">
        <v>6602.4842105263151</v>
      </c>
      <c r="J27" s="5">
        <v>6929.6140789473684</v>
      </c>
      <c r="K27" s="5">
        <v>7073.5722368421057</v>
      </c>
      <c r="L27" s="5">
        <v>8011.6500000000005</v>
      </c>
      <c r="M27" s="5">
        <v>7157.7894736842118</v>
      </c>
      <c r="N27" s="5">
        <v>7240.7526315789473</v>
      </c>
      <c r="O27" s="5">
        <v>7066.0526315789484</v>
      </c>
      <c r="P27" s="5">
        <v>4075.6905263157901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x14ac:dyDescent="0.25">
      <c r="A28" s="33" t="s">
        <v>46</v>
      </c>
      <c r="B28" s="4" t="s">
        <v>35</v>
      </c>
      <c r="C28" s="5">
        <v>166958.84210526315</v>
      </c>
      <c r="D28" s="5">
        <v>165729.91578947369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5">
        <v>30178.357894736841</v>
      </c>
      <c r="X28" s="5">
        <v>28722.505263157898</v>
      </c>
      <c r="Y28" s="5">
        <v>26301.694736842106</v>
      </c>
      <c r="Z28" s="5">
        <v>25127.242105263162</v>
      </c>
      <c r="AA28" s="5">
        <v>24585.347368421051</v>
      </c>
      <c r="AB28" s="5">
        <v>24138.284210526315</v>
      </c>
      <c r="AC28" s="5">
        <v>23828.778947368421</v>
      </c>
      <c r="AD28" s="5">
        <v>23700.600000000002</v>
      </c>
      <c r="AE28" s="5">
        <v>23759.921842105265</v>
      </c>
      <c r="AF28" s="5">
        <v>23980.665789473685</v>
      </c>
      <c r="AG28" s="5">
        <v>24359.106315789475</v>
      </c>
    </row>
    <row r="29" spans="1:33" x14ac:dyDescent="0.25">
      <c r="A29" s="33" t="s">
        <v>46</v>
      </c>
      <c r="B29" s="4" t="s">
        <v>37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5">
        <v>30968.789473684214</v>
      </c>
      <c r="W29" s="5">
        <v>29065.547368421052</v>
      </c>
      <c r="X29" s="5">
        <v>29888.875657894736</v>
      </c>
      <c r="Y29" s="5">
        <v>29689.843289473687</v>
      </c>
      <c r="Z29" s="5">
        <v>29609.336842105262</v>
      </c>
      <c r="AA29" s="5">
        <v>29599.957894736843</v>
      </c>
      <c r="AB29" s="5">
        <v>29654.121315789474</v>
      </c>
      <c r="AC29" s="5">
        <v>29663.070394736838</v>
      </c>
      <c r="AD29" s="6"/>
      <c r="AE29" s="6"/>
      <c r="AF29" s="6"/>
      <c r="AG29" s="6"/>
    </row>
    <row r="30" spans="1:33" x14ac:dyDescent="0.25">
      <c r="A30" s="33" t="s">
        <v>46</v>
      </c>
      <c r="B30" s="4" t="s">
        <v>38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5">
        <v>29663.22671052632</v>
      </c>
      <c r="AE30" s="5">
        <v>29666.353026315792</v>
      </c>
      <c r="AF30" s="5">
        <v>29665.610526315795</v>
      </c>
      <c r="AG30" s="5">
        <v>29653.105263157893</v>
      </c>
    </row>
    <row r="31" spans="1:33" x14ac:dyDescent="0.25">
      <c r="A31" s="33" t="s">
        <v>47</v>
      </c>
      <c r="B31" s="4" t="s">
        <v>35</v>
      </c>
      <c r="C31" s="5">
        <v>10384358.336631577</v>
      </c>
      <c r="D31" s="5">
        <v>10483052.014153948</v>
      </c>
      <c r="E31" s="5">
        <v>10759556.551989475</v>
      </c>
      <c r="F31" s="5">
        <v>10884668.803743422</v>
      </c>
      <c r="G31" s="5">
        <v>10971477.219247369</v>
      </c>
      <c r="H31" s="5">
        <v>11777902.088105263</v>
      </c>
      <c r="I31" s="5">
        <v>11899977.550015789</v>
      </c>
      <c r="J31" s="5">
        <v>12066440.14838421</v>
      </c>
      <c r="K31" s="5">
        <v>12741742.719884209</v>
      </c>
      <c r="L31" s="5">
        <v>12937983.676321052</v>
      </c>
      <c r="M31" s="5">
        <v>13091002.952736843</v>
      </c>
      <c r="N31" s="5">
        <v>13049889.375663158</v>
      </c>
      <c r="O31" s="5">
        <v>12922980.263368424</v>
      </c>
      <c r="P31" s="5">
        <v>14708000.902573684</v>
      </c>
      <c r="Q31" s="5">
        <v>14748339.232628949</v>
      </c>
      <c r="R31" s="5">
        <v>15106559.211292105</v>
      </c>
      <c r="S31" s="5">
        <v>14872756.122000001</v>
      </c>
      <c r="T31" s="5">
        <v>17180195.24861842</v>
      </c>
      <c r="U31" s="5">
        <v>17503374.765105262</v>
      </c>
      <c r="V31" s="5">
        <v>18417360.290763162</v>
      </c>
      <c r="W31" s="5">
        <v>18044096.27815789</v>
      </c>
      <c r="X31" s="5">
        <v>20691153.631315794</v>
      </c>
      <c r="Y31" s="5">
        <v>20085170.478315793</v>
      </c>
      <c r="Z31" s="5">
        <v>20961571.11134211</v>
      </c>
      <c r="AA31" s="5">
        <v>20941290.534263156</v>
      </c>
      <c r="AB31" s="5">
        <v>20884036.924763158</v>
      </c>
      <c r="AC31" s="5">
        <v>23015543.998000003</v>
      </c>
      <c r="AD31" s="5">
        <v>22949119.923578952</v>
      </c>
      <c r="AE31" s="5">
        <v>22863374.307342101</v>
      </c>
      <c r="AF31" s="5">
        <v>22780777.877052635</v>
      </c>
      <c r="AG31" s="5">
        <v>22700002.013999999</v>
      </c>
    </row>
    <row r="32" spans="1:33" x14ac:dyDescent="0.25">
      <c r="A32" s="33" t="s">
        <v>47</v>
      </c>
      <c r="B32" s="4" t="s">
        <v>37</v>
      </c>
      <c r="C32" s="5">
        <v>77147.621052631584</v>
      </c>
      <c r="D32" s="5">
        <v>78898.436052631587</v>
      </c>
      <c r="E32" s="5">
        <v>77949.259342105273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5">
        <v>14724.549928421055</v>
      </c>
      <c r="S32" s="5">
        <v>213958.16491831583</v>
      </c>
      <c r="T32" s="6"/>
      <c r="U32" s="5">
        <v>896285.52631578944</v>
      </c>
      <c r="V32" s="5">
        <v>160009.85263157895</v>
      </c>
      <c r="W32" s="6"/>
      <c r="X32" s="6"/>
      <c r="Y32" s="6"/>
      <c r="Z32" s="6"/>
      <c r="AA32" s="5">
        <v>278213.56657894736</v>
      </c>
      <c r="AB32" s="5">
        <v>280005.61210526316</v>
      </c>
      <c r="AC32" s="5">
        <v>283015.81947368424</v>
      </c>
      <c r="AD32" s="5">
        <v>286417.42355263163</v>
      </c>
      <c r="AE32" s="6"/>
      <c r="AF32" s="6"/>
      <c r="AG32" s="6"/>
    </row>
    <row r="33" spans="1:33" x14ac:dyDescent="0.25">
      <c r="A33" s="33" t="s">
        <v>47</v>
      </c>
      <c r="B33" s="4" t="s">
        <v>38</v>
      </c>
      <c r="C33" s="5">
        <v>185887.44210526315</v>
      </c>
      <c r="D33" s="5">
        <v>177799.51578947366</v>
      </c>
      <c r="E33" s="5">
        <v>178287.47289473686</v>
      </c>
      <c r="F33" s="5">
        <v>252247.43486842106</v>
      </c>
      <c r="G33" s="5">
        <v>252298.51447368419</v>
      </c>
      <c r="H33" s="5">
        <v>257525.69657894739</v>
      </c>
      <c r="I33" s="5">
        <v>431009.67394736852</v>
      </c>
      <c r="J33" s="5">
        <v>891465.98723684216</v>
      </c>
      <c r="K33" s="5">
        <v>873731.005131579</v>
      </c>
      <c r="L33" s="5">
        <v>705871.65447368426</v>
      </c>
      <c r="M33" s="5">
        <v>508004.28421052638</v>
      </c>
      <c r="N33" s="5">
        <v>415803.28421052633</v>
      </c>
      <c r="O33" s="5">
        <v>479914.70473684208</v>
      </c>
      <c r="P33" s="5">
        <v>1269962.0340789473</v>
      </c>
      <c r="Q33" s="5">
        <v>1183118.0421052631</v>
      </c>
      <c r="R33" s="5">
        <v>4605731.8292631581</v>
      </c>
      <c r="S33" s="5">
        <v>9198841.3036421053</v>
      </c>
      <c r="T33" s="5">
        <v>10381330.498157896</v>
      </c>
      <c r="U33" s="5">
        <v>9706217.4960526321</v>
      </c>
      <c r="V33" s="5">
        <v>7154165.6884210519</v>
      </c>
      <c r="W33" s="5">
        <v>9070831.5789473709</v>
      </c>
      <c r="X33" s="5">
        <v>11947449.716973685</v>
      </c>
      <c r="Y33" s="5">
        <v>12700792.141842106</v>
      </c>
      <c r="Z33" s="5">
        <v>11877146.489802632</v>
      </c>
      <c r="AA33" s="5">
        <v>11604889.917302631</v>
      </c>
      <c r="AB33" s="5">
        <v>11614621.482434209</v>
      </c>
      <c r="AC33" s="5">
        <v>9393912.3060526326</v>
      </c>
      <c r="AD33" s="5">
        <v>9380230.2252631579</v>
      </c>
      <c r="AE33" s="5">
        <v>9661130.0068421066</v>
      </c>
      <c r="AF33" s="5">
        <v>9685448.5409210548</v>
      </c>
      <c r="AG33" s="5">
        <v>9708542.1121710539</v>
      </c>
    </row>
    <row r="34" spans="1:33" x14ac:dyDescent="0.25">
      <c r="A34" s="33" t="s">
        <v>48</v>
      </c>
      <c r="B34" s="4" t="s">
        <v>35</v>
      </c>
      <c r="C34" s="5">
        <v>2407703.52</v>
      </c>
      <c r="D34" s="5">
        <v>2450357.2740000002</v>
      </c>
      <c r="E34" s="5">
        <v>2437018.4194210526</v>
      </c>
      <c r="F34" s="5">
        <v>2503752.4046842111</v>
      </c>
      <c r="G34" s="5">
        <v>2507370.8298947373</v>
      </c>
      <c r="H34" s="5">
        <v>2515769.288052632</v>
      </c>
      <c r="I34" s="5">
        <v>2546214.922263158</v>
      </c>
      <c r="J34" s="5">
        <v>2580895.8353684214</v>
      </c>
      <c r="K34" s="5">
        <v>2562868.56</v>
      </c>
      <c r="L34" s="5">
        <v>2485821.8589473683</v>
      </c>
      <c r="M34" s="5">
        <v>2449527.1136842109</v>
      </c>
      <c r="N34" s="5">
        <v>2454264.2623947375</v>
      </c>
      <c r="O34" s="5">
        <v>2417401.0610526316</v>
      </c>
      <c r="P34" s="5">
        <v>2431676.998052632</v>
      </c>
      <c r="Q34" s="5">
        <v>2441356.9891315792</v>
      </c>
      <c r="R34" s="5">
        <v>2445298.3399736844</v>
      </c>
      <c r="S34" s="5">
        <v>2439006.3915789477</v>
      </c>
      <c r="T34" s="5">
        <v>2392607.595789474</v>
      </c>
      <c r="U34" s="5">
        <v>2355516.2273684214</v>
      </c>
      <c r="V34" s="5">
        <v>2317006.6863157898</v>
      </c>
      <c r="W34" s="5">
        <v>2253566.2947368426</v>
      </c>
      <c r="X34" s="5">
        <v>2229094.5600000005</v>
      </c>
      <c r="Y34" s="5">
        <v>2281604.2746315794</v>
      </c>
      <c r="Z34" s="5">
        <v>2312482.9500263161</v>
      </c>
      <c r="AA34" s="5">
        <v>2326982.9807105265</v>
      </c>
      <c r="AB34" s="5">
        <v>2334495.6191052631</v>
      </c>
      <c r="AC34" s="5">
        <v>2346303.7190526319</v>
      </c>
      <c r="AD34" s="5">
        <v>2356567.1662105266</v>
      </c>
      <c r="AE34" s="5">
        <v>2368298.091157895</v>
      </c>
      <c r="AF34" s="5">
        <v>2378228.7612631577</v>
      </c>
      <c r="AG34" s="5">
        <v>2385352.0408421056</v>
      </c>
    </row>
    <row r="35" spans="1:33" x14ac:dyDescent="0.25">
      <c r="A35" s="33" t="s">
        <v>48</v>
      </c>
      <c r="B35" s="4" t="s">
        <v>37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5">
        <v>2951.3621052631579</v>
      </c>
      <c r="Q35" s="5">
        <v>7711.3550526315794</v>
      </c>
      <c r="R35" s="5">
        <v>6483.8105263157895</v>
      </c>
      <c r="S35" s="5">
        <v>6360.4947368421053</v>
      </c>
      <c r="T35" s="5">
        <v>6568.8376315789483</v>
      </c>
      <c r="U35" s="5">
        <v>6541.0676315789478</v>
      </c>
      <c r="V35" s="5">
        <v>6592.0261842105265</v>
      </c>
      <c r="W35" s="5">
        <v>6767.9521052631571</v>
      </c>
      <c r="X35" s="5">
        <v>6334.8842105263157</v>
      </c>
      <c r="Y35" s="5">
        <v>6472.9761842105272</v>
      </c>
      <c r="Z35" s="5">
        <v>6603.1151315789484</v>
      </c>
      <c r="AA35" s="5">
        <v>6727.6489473684214</v>
      </c>
      <c r="AB35" s="5">
        <v>6771.0826315789491</v>
      </c>
      <c r="AC35" s="5">
        <v>6837.5813157894736</v>
      </c>
      <c r="AD35" s="6"/>
      <c r="AE35" s="6"/>
      <c r="AF35" s="6"/>
      <c r="AG35" s="6"/>
    </row>
    <row r="36" spans="1:33" x14ac:dyDescent="0.25">
      <c r="A36" s="33" t="s">
        <v>48</v>
      </c>
      <c r="B36" s="4" t="s">
        <v>38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5">
        <v>6899.4505263157898</v>
      </c>
      <c r="AE36" s="5">
        <v>6962.2734210526323</v>
      </c>
      <c r="AF36" s="5">
        <v>6985.8221052631579</v>
      </c>
      <c r="AG36" s="5">
        <v>6987.9032894736847</v>
      </c>
    </row>
    <row r="37" spans="1:33" x14ac:dyDescent="0.25">
      <c r="A37" s="33" t="s">
        <v>49</v>
      </c>
      <c r="B37" s="4" t="s">
        <v>35</v>
      </c>
      <c r="C37" s="5">
        <v>2124117.8842105265</v>
      </c>
      <c r="D37" s="5">
        <v>2079776.1860526318</v>
      </c>
      <c r="E37" s="5">
        <v>2066605.5894736843</v>
      </c>
      <c r="F37" s="5">
        <v>2556263.5861842106</v>
      </c>
      <c r="G37" s="5">
        <v>433472.7161842105</v>
      </c>
      <c r="H37" s="5">
        <v>424260.08697368426</v>
      </c>
      <c r="I37" s="5">
        <v>110207.11499999999</v>
      </c>
      <c r="J37" s="5">
        <v>106585</v>
      </c>
      <c r="K37" s="5">
        <v>102978.99999999999</v>
      </c>
      <c r="L37" s="5">
        <v>120355.61052631578</v>
      </c>
      <c r="M37" s="5">
        <v>119514.76671052631</v>
      </c>
      <c r="N37" s="5">
        <v>120789.81881578948</v>
      </c>
      <c r="O37" s="5">
        <v>121734.40894736844</v>
      </c>
      <c r="P37" s="5">
        <v>791328.20052631584</v>
      </c>
      <c r="Q37" s="5">
        <v>779124.46657894738</v>
      </c>
      <c r="R37" s="5">
        <v>866515.26052631577</v>
      </c>
      <c r="S37" s="5">
        <v>755357.83223684214</v>
      </c>
      <c r="T37" s="5">
        <v>665387.24026315799</v>
      </c>
      <c r="U37" s="5">
        <v>677839.49802631582</v>
      </c>
      <c r="V37" s="5">
        <v>682488.07486842107</v>
      </c>
      <c r="W37" s="5">
        <v>681634.35789473681</v>
      </c>
      <c r="X37" s="5">
        <v>692874.50052631588</v>
      </c>
      <c r="Y37" s="5">
        <v>685136.08421052631</v>
      </c>
      <c r="Z37" s="5">
        <v>670789.61052631587</v>
      </c>
      <c r="AA37" s="5">
        <v>659099.27368421061</v>
      </c>
      <c r="AB37" s="5">
        <v>3919579.654736843</v>
      </c>
      <c r="AC37" s="5">
        <v>3873683.7757894737</v>
      </c>
      <c r="AD37" s="5">
        <v>3834518.7505263165</v>
      </c>
      <c r="AE37" s="5">
        <v>3801709.1084210528</v>
      </c>
      <c r="AF37" s="5">
        <v>3775441.1388157895</v>
      </c>
      <c r="AG37" s="5">
        <v>3753257.1406578948</v>
      </c>
    </row>
    <row r="38" spans="1:33" x14ac:dyDescent="0.25">
      <c r="A38" s="33" t="s">
        <v>49</v>
      </c>
      <c r="B38" s="4" t="s">
        <v>38</v>
      </c>
      <c r="C38" s="5">
        <v>56687.747368421056</v>
      </c>
      <c r="D38" s="5">
        <v>58370.017894736848</v>
      </c>
      <c r="E38" s="5">
        <v>59096.088421052635</v>
      </c>
      <c r="F38" s="5">
        <v>62795.03</v>
      </c>
      <c r="G38" s="5">
        <v>77079.431578947377</v>
      </c>
      <c r="H38" s="5">
        <v>75667.957894736843</v>
      </c>
      <c r="I38" s="5">
        <v>73722.472500000003</v>
      </c>
      <c r="J38" s="5">
        <v>68607.663157894727</v>
      </c>
      <c r="K38" s="5">
        <v>67761.45</v>
      </c>
      <c r="L38" s="5">
        <v>64807.305263157898</v>
      </c>
      <c r="M38" s="5">
        <v>3506714.7269736845</v>
      </c>
      <c r="N38" s="5">
        <v>3500885.9368421058</v>
      </c>
      <c r="O38" s="5">
        <v>60943.305263157898</v>
      </c>
      <c r="P38" s="5">
        <v>638003.85568421055</v>
      </c>
      <c r="Q38" s="5">
        <v>627160.36084210535</v>
      </c>
      <c r="R38" s="5">
        <v>1306608.020663158</v>
      </c>
      <c r="S38" s="5">
        <v>1161672.5286315789</v>
      </c>
      <c r="T38" s="5">
        <v>1906276.7134802632</v>
      </c>
      <c r="U38" s="5">
        <v>6114463.9436013168</v>
      </c>
      <c r="V38" s="5">
        <v>4681815.1484210538</v>
      </c>
      <c r="W38" s="5">
        <v>4177477.8852631585</v>
      </c>
      <c r="X38" s="5">
        <v>3595868.4126315792</v>
      </c>
      <c r="Y38" s="5">
        <v>3364466.9589473689</v>
      </c>
      <c r="Z38" s="5">
        <v>3329664.1863157894</v>
      </c>
      <c r="AA38" s="5">
        <v>3302080.3894736841</v>
      </c>
      <c r="AB38" s="6"/>
      <c r="AC38" s="6"/>
      <c r="AD38" s="6"/>
      <c r="AE38" s="6"/>
      <c r="AF38" s="6"/>
      <c r="AG38" s="6"/>
    </row>
    <row r="39" spans="1:33" x14ac:dyDescent="0.25">
      <c r="A39" s="33" t="s">
        <v>50</v>
      </c>
      <c r="B39" s="4" t="s">
        <v>35</v>
      </c>
      <c r="C39" s="5">
        <v>10918706.297052631</v>
      </c>
      <c r="D39" s="5">
        <v>11096836.258082893</v>
      </c>
      <c r="E39" s="5">
        <v>11069755.482457895</v>
      </c>
      <c r="F39" s="5">
        <v>11817033.520861844</v>
      </c>
      <c r="G39" s="5">
        <v>14050496.573594736</v>
      </c>
      <c r="H39" s="5">
        <v>14133435.550894737</v>
      </c>
      <c r="I39" s="5">
        <v>14675710.496721053</v>
      </c>
      <c r="J39" s="5">
        <v>14896973.83156316</v>
      </c>
      <c r="K39" s="5">
        <v>15083189.786457896</v>
      </c>
      <c r="L39" s="5">
        <v>15333261.701389473</v>
      </c>
      <c r="M39" s="5">
        <v>15285141.68081579</v>
      </c>
      <c r="N39" s="5">
        <v>15320404.29546842</v>
      </c>
      <c r="O39" s="5">
        <v>15259188.36668421</v>
      </c>
      <c r="P39" s="5">
        <v>15259521.35026842</v>
      </c>
      <c r="Q39" s="5">
        <v>15009108.456555262</v>
      </c>
      <c r="R39" s="5">
        <v>15033224.649760528</v>
      </c>
      <c r="S39" s="5">
        <v>16180118.708078947</v>
      </c>
      <c r="T39" s="5">
        <v>16216393.423092104</v>
      </c>
      <c r="U39" s="5">
        <v>14677144.955789473</v>
      </c>
      <c r="V39" s="5">
        <v>13719013.305657895</v>
      </c>
      <c r="W39" s="5">
        <v>13029564.188605264</v>
      </c>
      <c r="X39" s="5">
        <v>10784188.918105263</v>
      </c>
      <c r="Y39" s="5">
        <v>10921290.380355263</v>
      </c>
      <c r="Z39" s="5">
        <v>11058824.244342105</v>
      </c>
      <c r="AA39" s="5">
        <v>11105848.546421051</v>
      </c>
      <c r="AB39" s="5">
        <v>12769336.434394736</v>
      </c>
      <c r="AC39" s="5">
        <v>12841911.89376316</v>
      </c>
      <c r="AD39" s="5">
        <v>13093111.730052631</v>
      </c>
      <c r="AE39" s="5">
        <v>17793068.821657896</v>
      </c>
      <c r="AF39" s="5">
        <v>17761707.824368421</v>
      </c>
      <c r="AG39" s="5">
        <v>17711618.430631582</v>
      </c>
    </row>
    <row r="40" spans="1:33" x14ac:dyDescent="0.25">
      <c r="A40" s="33" t="s">
        <v>50</v>
      </c>
      <c r="B40" s="4" t="s">
        <v>37</v>
      </c>
      <c r="C40" s="6"/>
      <c r="D40" s="6"/>
      <c r="E40" s="6"/>
      <c r="F40" s="6"/>
      <c r="G40" s="6"/>
      <c r="H40" s="6"/>
      <c r="I40" s="5">
        <v>458159.49473684217</v>
      </c>
      <c r="J40" s="5">
        <v>794594.11894736835</v>
      </c>
      <c r="K40" s="5">
        <v>575027.1368421053</v>
      </c>
      <c r="L40" s="5">
        <v>488986.45263157896</v>
      </c>
      <c r="M40" s="5">
        <v>875476.69473684207</v>
      </c>
      <c r="N40" s="5">
        <v>866095.2786842105</v>
      </c>
      <c r="O40" s="5">
        <v>441027.38500000001</v>
      </c>
      <c r="P40" s="5">
        <v>407293.57999999996</v>
      </c>
      <c r="Q40" s="5">
        <v>307001.84210526315</v>
      </c>
      <c r="R40" s="5">
        <v>285645.7052631579</v>
      </c>
      <c r="S40" s="5">
        <v>187528.67368421052</v>
      </c>
      <c r="T40" s="6"/>
      <c r="U40" s="6"/>
      <c r="V40" s="6"/>
      <c r="W40" s="6"/>
      <c r="X40" s="6"/>
      <c r="Y40" s="6"/>
      <c r="Z40" s="6"/>
      <c r="AA40" s="5">
        <v>91558.421052631587</v>
      </c>
      <c r="AB40" s="5">
        <v>91777.185000000012</v>
      </c>
      <c r="AC40" s="5">
        <v>92382.360394736839</v>
      </c>
      <c r="AD40" s="5">
        <v>93389.324078947378</v>
      </c>
      <c r="AE40" s="6"/>
      <c r="AF40" s="6"/>
      <c r="AG40" s="6"/>
    </row>
    <row r="41" spans="1:33" x14ac:dyDescent="0.25">
      <c r="A41" s="33" t="s">
        <v>50</v>
      </c>
      <c r="B41" s="4" t="s">
        <v>38</v>
      </c>
      <c r="C41" s="5">
        <v>398155.07368421054</v>
      </c>
      <c r="D41" s="5">
        <v>401260.44315789471</v>
      </c>
      <c r="E41" s="5">
        <v>396554.4</v>
      </c>
      <c r="F41" s="5">
        <v>391773.22105263162</v>
      </c>
      <c r="G41" s="5">
        <v>389055.4105263158</v>
      </c>
      <c r="H41" s="5">
        <v>398216.76631578949</v>
      </c>
      <c r="I41" s="5">
        <v>5242785.2915789476</v>
      </c>
      <c r="J41" s="5">
        <v>5858318.9644736843</v>
      </c>
      <c r="K41" s="5">
        <v>6442761.6213157894</v>
      </c>
      <c r="L41" s="5">
        <v>7966776.1280263159</v>
      </c>
      <c r="M41" s="5">
        <v>8400049.472368421</v>
      </c>
      <c r="N41" s="5">
        <v>8323932.235657895</v>
      </c>
      <c r="O41" s="5">
        <v>23256953.529552639</v>
      </c>
      <c r="P41" s="5">
        <v>23711466.172046058</v>
      </c>
      <c r="Q41" s="5">
        <v>26368077.265930265</v>
      </c>
      <c r="R41" s="5">
        <v>23726349.626684211</v>
      </c>
      <c r="S41" s="5">
        <v>21687015.752015792</v>
      </c>
      <c r="T41" s="5">
        <v>19750409.162842106</v>
      </c>
      <c r="U41" s="5">
        <v>20792686.212105267</v>
      </c>
      <c r="V41" s="5">
        <v>17555235.246315788</v>
      </c>
      <c r="W41" s="5">
        <v>17053742.895789478</v>
      </c>
      <c r="X41" s="5">
        <v>15374170.767631579</v>
      </c>
      <c r="Y41" s="5">
        <v>14979991.042105265</v>
      </c>
      <c r="Z41" s="5">
        <v>14970042.655131578</v>
      </c>
      <c r="AA41" s="5">
        <v>14850884.718684208</v>
      </c>
      <c r="AB41" s="5">
        <v>13193170.699210526</v>
      </c>
      <c r="AC41" s="5">
        <v>13102008.475394737</v>
      </c>
      <c r="AD41" s="5">
        <v>12807383.053026317</v>
      </c>
      <c r="AE41" s="5">
        <v>8175393.4594736844</v>
      </c>
      <c r="AF41" s="5">
        <v>8227703.1057894761</v>
      </c>
      <c r="AG41" s="5">
        <v>8274488.3427631576</v>
      </c>
    </row>
    <row r="42" spans="1:33" x14ac:dyDescent="0.25">
      <c r="A42" s="33" t="s">
        <v>51</v>
      </c>
      <c r="B42" s="4" t="s">
        <v>35</v>
      </c>
      <c r="C42" s="5">
        <v>6904000.5578947365</v>
      </c>
      <c r="D42" s="5">
        <v>6915985.9603947364</v>
      </c>
      <c r="E42" s="5">
        <v>6939544.2219736846</v>
      </c>
      <c r="F42" s="5">
        <v>7064721.1577894734</v>
      </c>
      <c r="G42" s="5">
        <v>9831174.5499736834</v>
      </c>
      <c r="H42" s="5">
        <v>10080677.315736843</v>
      </c>
      <c r="I42" s="5">
        <v>10185456.458921053</v>
      </c>
      <c r="J42" s="5">
        <v>10199135.966947369</v>
      </c>
      <c r="K42" s="5">
        <v>10410235.547315791</v>
      </c>
      <c r="L42" s="5">
        <v>10623707.599473681</v>
      </c>
      <c r="M42" s="5">
        <v>10858298.880078949</v>
      </c>
      <c r="N42" s="5">
        <v>11034656.031421054</v>
      </c>
      <c r="O42" s="5">
        <v>15441978.973473683</v>
      </c>
      <c r="P42" s="5">
        <v>15284337.935789473</v>
      </c>
      <c r="Q42" s="5">
        <v>15296316.753000002</v>
      </c>
      <c r="R42" s="5">
        <v>15144835.360421054</v>
      </c>
      <c r="S42" s="5">
        <v>14824005.938078947</v>
      </c>
      <c r="T42" s="5">
        <v>14458812.864243422</v>
      </c>
      <c r="U42" s="5">
        <v>14096953.46886842</v>
      </c>
      <c r="V42" s="5">
        <v>11990811.826736841</v>
      </c>
      <c r="W42" s="5">
        <v>11699800.352763157</v>
      </c>
      <c r="X42" s="5">
        <v>11677157.538289474</v>
      </c>
      <c r="Y42" s="5">
        <v>11396664.053157896</v>
      </c>
      <c r="Z42" s="5">
        <v>11478759.056315789</v>
      </c>
      <c r="AA42" s="5">
        <v>11400000.19631579</v>
      </c>
      <c r="AB42" s="5">
        <v>11322970.028421054</v>
      </c>
      <c r="AC42" s="5">
        <v>11375719.603157897</v>
      </c>
      <c r="AD42" s="5">
        <v>11430459.68263158</v>
      </c>
      <c r="AE42" s="5">
        <v>12718397.887368422</v>
      </c>
      <c r="AF42" s="5">
        <v>12724808.848552631</v>
      </c>
      <c r="AG42" s="5">
        <v>12708293.497763159</v>
      </c>
    </row>
    <row r="43" spans="1:33" x14ac:dyDescent="0.25">
      <c r="A43" s="33" t="s">
        <v>51</v>
      </c>
      <c r="B43" s="4" t="s">
        <v>37</v>
      </c>
      <c r="C43" s="5">
        <v>26206.105263157897</v>
      </c>
      <c r="D43" s="5">
        <v>24765</v>
      </c>
      <c r="E43" s="5">
        <v>22718.652631578945</v>
      </c>
      <c r="F43" s="6"/>
      <c r="G43" s="6"/>
      <c r="H43" s="6"/>
      <c r="I43" s="6"/>
      <c r="J43" s="5">
        <v>66590.589473684217</v>
      </c>
      <c r="K43" s="5">
        <v>37361.684210526313</v>
      </c>
      <c r="L43" s="5">
        <v>35099.031578947375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33" t="s">
        <v>51</v>
      </c>
      <c r="B44" s="4" t="s">
        <v>38</v>
      </c>
      <c r="C44" s="6"/>
      <c r="D44" s="6"/>
      <c r="E44" s="6"/>
      <c r="F44" s="5">
        <v>20834.57894736842</v>
      </c>
      <c r="G44" s="5">
        <v>19650.547368421056</v>
      </c>
      <c r="H44" s="5">
        <v>19223.715789473685</v>
      </c>
      <c r="I44" s="5">
        <v>1339323.3781578948</v>
      </c>
      <c r="J44" s="5">
        <v>1570745.2301315791</v>
      </c>
      <c r="K44" s="5">
        <v>1489026.8417105263</v>
      </c>
      <c r="L44" s="5">
        <v>1370501.7684210525</v>
      </c>
      <c r="M44" s="5">
        <v>1477766.2407894735</v>
      </c>
      <c r="N44" s="5">
        <v>1477388.3132894738</v>
      </c>
      <c r="O44" s="5">
        <v>1536959.4786842107</v>
      </c>
      <c r="P44" s="5">
        <v>1557673.3934210525</v>
      </c>
      <c r="Q44" s="5">
        <v>1475548.6736842105</v>
      </c>
      <c r="R44" s="5">
        <v>1782887.83</v>
      </c>
      <c r="S44" s="5">
        <v>1682692.8976315791</v>
      </c>
      <c r="T44" s="5">
        <v>1654234.4893421053</v>
      </c>
      <c r="U44" s="5">
        <v>1712115.585263158</v>
      </c>
      <c r="V44" s="5">
        <v>1733873.9171052633</v>
      </c>
      <c r="W44" s="5">
        <v>1815043.899605263</v>
      </c>
      <c r="X44" s="5">
        <v>1653618.5430263157</v>
      </c>
      <c r="Y44" s="5">
        <v>1856924.417763158</v>
      </c>
      <c r="Z44" s="5">
        <v>1687287.4271052631</v>
      </c>
      <c r="AA44" s="5">
        <v>1656393.1473684213</v>
      </c>
      <c r="AB44" s="5">
        <v>1602407.3548684211</v>
      </c>
      <c r="AC44" s="5">
        <v>1492629.9738157897</v>
      </c>
      <c r="AD44" s="5">
        <v>1412118.9090789475</v>
      </c>
      <c r="AE44" s="5">
        <v>131460.8480263158</v>
      </c>
      <c r="AF44" s="5">
        <v>130526.64223684212</v>
      </c>
      <c r="AG44" s="5">
        <v>129709.70407894738</v>
      </c>
    </row>
    <row r="45" spans="1:33" x14ac:dyDescent="0.25">
      <c r="A45" s="33" t="s">
        <v>52</v>
      </c>
      <c r="B45" s="4" t="s">
        <v>34</v>
      </c>
      <c r="C45" s="5">
        <v>1135891.5980263157</v>
      </c>
      <c r="D45" s="5">
        <v>1191405.8259210526</v>
      </c>
      <c r="E45" s="5">
        <v>1237142.7693421054</v>
      </c>
      <c r="F45" s="5">
        <v>1166580.6703947368</v>
      </c>
      <c r="G45" s="5">
        <v>1145574.8052631579</v>
      </c>
      <c r="H45" s="5">
        <v>1146582.4435526314</v>
      </c>
      <c r="I45" s="5">
        <v>1120288.6753947369</v>
      </c>
      <c r="J45" s="5">
        <v>1138715.9474999998</v>
      </c>
      <c r="K45" s="5">
        <v>913084.91249999986</v>
      </c>
      <c r="L45" s="5">
        <v>955572.55499999993</v>
      </c>
      <c r="M45" s="5">
        <v>997336.95</v>
      </c>
      <c r="N45" s="5">
        <v>1050735.7199999997</v>
      </c>
      <c r="O45" s="5">
        <v>1075931.4300000002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1:33" x14ac:dyDescent="0.25">
      <c r="A46" s="33" t="s">
        <v>52</v>
      </c>
      <c r="B46" s="4" t="s">
        <v>35</v>
      </c>
      <c r="C46" s="5">
        <v>166928.1342105263</v>
      </c>
      <c r="D46" s="5">
        <v>180433.57092105265</v>
      </c>
      <c r="E46" s="5">
        <v>198035.81539473683</v>
      </c>
      <c r="F46" s="5">
        <v>74514.30921052632</v>
      </c>
      <c r="G46" s="5">
        <v>316342.68736842112</v>
      </c>
      <c r="H46" s="5">
        <v>75436.61710526314</v>
      </c>
      <c r="I46" s="5">
        <v>664254.95342105255</v>
      </c>
      <c r="J46" s="5">
        <v>669946.78973684227</v>
      </c>
      <c r="K46" s="5">
        <v>725544.90565789468</v>
      </c>
      <c r="L46" s="5">
        <v>874004.7063157896</v>
      </c>
      <c r="M46" s="5">
        <v>874825.79592105257</v>
      </c>
      <c r="N46" s="5">
        <v>2530216.7915789471</v>
      </c>
      <c r="O46" s="5">
        <v>2495078.676710526</v>
      </c>
      <c r="P46" s="5">
        <v>1756900.3631578949</v>
      </c>
      <c r="Q46" s="5">
        <v>7935884.0350877186</v>
      </c>
      <c r="R46" s="5">
        <v>8037118.3026315775</v>
      </c>
      <c r="S46" s="5">
        <v>8820151.4246491212</v>
      </c>
      <c r="T46" s="5">
        <v>1736291.7732894737</v>
      </c>
      <c r="U46" s="5">
        <v>1716509.4848684212</v>
      </c>
      <c r="V46" s="5">
        <v>2504049.8767105262</v>
      </c>
      <c r="W46" s="5">
        <v>1711881.5363947367</v>
      </c>
      <c r="X46" s="5">
        <v>1710829.0718947372</v>
      </c>
      <c r="Y46" s="5">
        <v>1688733.1541710529</v>
      </c>
      <c r="Z46" s="5">
        <v>1871386.2563684208</v>
      </c>
      <c r="AA46" s="5">
        <v>1811397.0705263158</v>
      </c>
      <c r="AB46" s="5">
        <v>1775394.8209210527</v>
      </c>
      <c r="AC46" s="5">
        <v>4619767.5843421053</v>
      </c>
      <c r="AD46" s="5">
        <v>4483829.9081578944</v>
      </c>
      <c r="AE46" s="5">
        <v>4529688.8823684203</v>
      </c>
      <c r="AF46" s="5">
        <v>4441449.7998684216</v>
      </c>
      <c r="AG46" s="5">
        <v>4366498.504999999</v>
      </c>
    </row>
    <row r="47" spans="1:33" x14ac:dyDescent="0.25">
      <c r="A47" s="33" t="s">
        <v>52</v>
      </c>
      <c r="B47" s="4" t="s">
        <v>36</v>
      </c>
      <c r="C47" s="5">
        <v>269754626.42690504</v>
      </c>
      <c r="D47" s="5">
        <v>223547622.24574625</v>
      </c>
      <c r="E47" s="5">
        <v>191536555.34619403</v>
      </c>
      <c r="F47" s="5">
        <v>174656853.79138064</v>
      </c>
      <c r="G47" s="5">
        <v>162830338.31638062</v>
      </c>
      <c r="H47" s="5">
        <v>148723008.26615673</v>
      </c>
      <c r="I47" s="5">
        <v>139222490.23988807</v>
      </c>
      <c r="J47" s="5">
        <v>124209924.36376867</v>
      </c>
      <c r="K47" s="5">
        <v>126407107.42462689</v>
      </c>
      <c r="L47" s="5">
        <v>4726272.0312686572</v>
      </c>
      <c r="M47" s="5">
        <v>5302588.0371268662</v>
      </c>
      <c r="N47" s="5">
        <v>2799844.9924999997</v>
      </c>
      <c r="O47" s="5">
        <v>2089676.9949999996</v>
      </c>
      <c r="P47" s="5">
        <v>1099248.7175</v>
      </c>
      <c r="Q47" s="5">
        <v>1116399.2625</v>
      </c>
      <c r="R47" s="5">
        <v>1057920.22</v>
      </c>
      <c r="S47" s="5">
        <v>1205402.5944999999</v>
      </c>
      <c r="T47" s="5">
        <v>1198261.27</v>
      </c>
      <c r="U47" s="5">
        <v>1203338.7675000001</v>
      </c>
      <c r="V47" s="5">
        <v>1488312.7849999997</v>
      </c>
      <c r="W47" s="5">
        <v>990784.96749999991</v>
      </c>
      <c r="X47" s="5">
        <v>1000720.1874999999</v>
      </c>
      <c r="Y47" s="5">
        <v>540136.75750000007</v>
      </c>
      <c r="Z47" s="5">
        <v>550198.34749999992</v>
      </c>
      <c r="AA47" s="5">
        <v>868326.12749999994</v>
      </c>
      <c r="AB47" s="5">
        <v>877675.33499999996</v>
      </c>
      <c r="AC47" s="5">
        <v>887468.01749999996</v>
      </c>
      <c r="AD47" s="5">
        <v>892701.99</v>
      </c>
      <c r="AE47" s="5">
        <v>902401.625</v>
      </c>
      <c r="AF47" s="5">
        <v>912272.00249999994</v>
      </c>
      <c r="AG47" s="5">
        <v>924903.77499999991</v>
      </c>
    </row>
    <row r="48" spans="1:33" x14ac:dyDescent="0.25">
      <c r="A48" s="33" t="s">
        <v>52</v>
      </c>
      <c r="B48" s="4" t="s">
        <v>37</v>
      </c>
      <c r="C48" s="5">
        <v>41844187.634722218</v>
      </c>
      <c r="D48" s="5">
        <v>91365590.344824553</v>
      </c>
      <c r="E48" s="5">
        <v>83561666.118932739</v>
      </c>
      <c r="F48" s="5">
        <v>88214605.986447364</v>
      </c>
      <c r="G48" s="5">
        <v>98298297.88811405</v>
      </c>
      <c r="H48" s="5">
        <v>108314996.66571635</v>
      </c>
      <c r="I48" s="5">
        <v>104114459.03776319</v>
      </c>
      <c r="J48" s="5">
        <v>103590867.09618419</v>
      </c>
      <c r="K48" s="5">
        <v>99538286.533157885</v>
      </c>
      <c r="L48" s="5">
        <v>228087261.23749989</v>
      </c>
      <c r="M48" s="5">
        <v>230025537.6221053</v>
      </c>
      <c r="N48" s="5">
        <v>230157675.3857128</v>
      </c>
      <c r="O48" s="5">
        <v>142328153.44223875</v>
      </c>
      <c r="P48" s="5">
        <v>141092568.07876864</v>
      </c>
      <c r="Q48" s="5">
        <v>137869608.6077612</v>
      </c>
      <c r="R48" s="5">
        <v>90250034.216380626</v>
      </c>
      <c r="S48" s="5">
        <v>63748764.346370772</v>
      </c>
      <c r="T48" s="5">
        <v>65432153.802983135</v>
      </c>
      <c r="U48" s="5">
        <v>65252370.69258444</v>
      </c>
      <c r="V48" s="5">
        <v>64388026.153094292</v>
      </c>
      <c r="W48" s="5">
        <v>60521191.290634327</v>
      </c>
      <c r="X48" s="5">
        <v>61053431.3312333</v>
      </c>
      <c r="Y48" s="5">
        <v>64873850.197580487</v>
      </c>
      <c r="Z48" s="5">
        <v>65291643.508521192</v>
      </c>
      <c r="AA48" s="5">
        <v>61084402.11719951</v>
      </c>
      <c r="AB48" s="5">
        <v>59641976.165131584</v>
      </c>
      <c r="AC48" s="5">
        <v>57111113.121710524</v>
      </c>
      <c r="AD48" s="5">
        <v>57225193.547499985</v>
      </c>
      <c r="AE48" s="5">
        <v>56990919.119999997</v>
      </c>
      <c r="AF48" s="5">
        <v>56836559.457499996</v>
      </c>
      <c r="AG48" s="5">
        <v>56671594.19749999</v>
      </c>
    </row>
    <row r="49" spans="1:33" x14ac:dyDescent="0.25">
      <c r="A49" s="33" t="s">
        <v>52</v>
      </c>
      <c r="B49" s="4" t="s">
        <v>38</v>
      </c>
      <c r="C49" s="5">
        <v>20648663.256578948</v>
      </c>
      <c r="D49" s="5">
        <v>16715425.214605263</v>
      </c>
      <c r="E49" s="5">
        <v>18732445.648157895</v>
      </c>
      <c r="F49" s="5">
        <v>12840643.93868421</v>
      </c>
      <c r="G49" s="5">
        <v>6570162.4065789469</v>
      </c>
      <c r="H49" s="5">
        <v>6497253.5243421048</v>
      </c>
      <c r="I49" s="5">
        <v>10537935.689634502</v>
      </c>
      <c r="J49" s="5">
        <v>10860327.454868421</v>
      </c>
      <c r="K49" s="5">
        <v>16043964.467836257</v>
      </c>
      <c r="L49" s="5">
        <v>16533687.43002924</v>
      </c>
      <c r="M49" s="5">
        <v>19072064.176783625</v>
      </c>
      <c r="N49" s="5">
        <v>24385753.614999998</v>
      </c>
      <c r="O49" s="5">
        <v>27323057.678552635</v>
      </c>
      <c r="P49" s="5">
        <v>26953045.575833332</v>
      </c>
      <c r="Q49" s="5">
        <v>23899214.305263154</v>
      </c>
      <c r="R49" s="5">
        <v>20237784.774999999</v>
      </c>
      <c r="S49" s="5">
        <v>19515648.212499999</v>
      </c>
      <c r="T49" s="5">
        <v>24617884.575333331</v>
      </c>
      <c r="U49" s="5">
        <v>25422202.040833332</v>
      </c>
      <c r="V49" s="5">
        <v>24692459.15411403</v>
      </c>
      <c r="W49" s="5">
        <v>24866431.859868422</v>
      </c>
      <c r="X49" s="5">
        <v>24537003.703128655</v>
      </c>
      <c r="Y49" s="5">
        <v>21247729.91397661</v>
      </c>
      <c r="Z49" s="5">
        <v>21248950.689736843</v>
      </c>
      <c r="AA49" s="5">
        <v>25695446.90486842</v>
      </c>
      <c r="AB49" s="5">
        <v>27410723.173439384</v>
      </c>
      <c r="AC49" s="5">
        <v>27474519.679093346</v>
      </c>
      <c r="AD49" s="5">
        <v>28064354.29039932</v>
      </c>
      <c r="AE49" s="5">
        <v>28144884.262393296</v>
      </c>
      <c r="AF49" s="5">
        <v>28359107.890706338</v>
      </c>
      <c r="AG49" s="5">
        <v>28451376.886823118</v>
      </c>
    </row>
    <row r="50" spans="1:33" x14ac:dyDescent="0.25">
      <c r="A50" s="33" t="s">
        <v>53</v>
      </c>
      <c r="B50" s="4" t="s">
        <v>35</v>
      </c>
      <c r="C50" s="5">
        <v>22643.905263157896</v>
      </c>
      <c r="D50" s="5">
        <v>22376.526315789473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5">
        <v>2048028.7113888888</v>
      </c>
      <c r="R50" s="5">
        <v>2078817.1849999998</v>
      </c>
      <c r="S50" s="5">
        <v>2061066.7777777775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spans="1:33" x14ac:dyDescent="0.25">
      <c r="A51" s="33" t="s">
        <v>53</v>
      </c>
      <c r="B51" s="4" t="s">
        <v>36</v>
      </c>
      <c r="C51" s="5">
        <v>4022337.3782894737</v>
      </c>
      <c r="D51" s="5">
        <v>9132802.9827631582</v>
      </c>
      <c r="E51" s="5">
        <v>32774906.225131582</v>
      </c>
      <c r="F51" s="5">
        <v>59966729.657499991</v>
      </c>
      <c r="G51" s="5">
        <v>74805231.966973707</v>
      </c>
      <c r="H51" s="5">
        <v>72923949.924605265</v>
      </c>
      <c r="I51" s="5">
        <v>79632872.581184193</v>
      </c>
      <c r="J51" s="5">
        <v>79699129.643684208</v>
      </c>
      <c r="K51" s="5">
        <v>74627085.790000007</v>
      </c>
      <c r="L51" s="5">
        <v>27533932.014999993</v>
      </c>
      <c r="M51" s="5">
        <v>4311581.6374999993</v>
      </c>
      <c r="N51" s="5">
        <v>4075044.55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33" t="s">
        <v>53</v>
      </c>
      <c r="B52" s="4" t="s">
        <v>37</v>
      </c>
      <c r="C52" s="5">
        <v>23024915.431286544</v>
      </c>
      <c r="D52" s="5">
        <v>21135403.74754386</v>
      </c>
      <c r="E52" s="5">
        <v>20282204.309035093</v>
      </c>
      <c r="F52" s="5">
        <v>18717846.684166666</v>
      </c>
      <c r="G52" s="5">
        <v>19067877.241345026</v>
      </c>
      <c r="H52" s="5">
        <v>39316459.245628655</v>
      </c>
      <c r="I52" s="5">
        <v>38266525.960131571</v>
      </c>
      <c r="J52" s="5">
        <v>39001297.885131575</v>
      </c>
      <c r="K52" s="5">
        <v>38257392.492368422</v>
      </c>
      <c r="L52" s="5">
        <v>35187107.415000007</v>
      </c>
      <c r="M52" s="5">
        <v>49160759.189999998</v>
      </c>
      <c r="N52" s="5">
        <v>47687538.332500003</v>
      </c>
      <c r="O52" s="5">
        <v>42390888.5</v>
      </c>
      <c r="P52" s="5">
        <v>32664572.579999998</v>
      </c>
      <c r="Q52" s="5">
        <v>9459058.5449999981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33" t="s">
        <v>53</v>
      </c>
      <c r="B53" s="4" t="s">
        <v>38</v>
      </c>
      <c r="C53" s="5">
        <v>2862519.8125</v>
      </c>
      <c r="D53" s="5">
        <v>2711290.4392105266</v>
      </c>
      <c r="E53" s="5">
        <v>912646.18500000006</v>
      </c>
      <c r="F53" s="5">
        <v>648955.77749999985</v>
      </c>
      <c r="G53" s="5">
        <v>776277.48499999999</v>
      </c>
      <c r="H53" s="5">
        <v>796534.67999999993</v>
      </c>
      <c r="I53" s="5">
        <v>2388438.7597222221</v>
      </c>
      <c r="J53" s="5">
        <v>2462037.0056578945</v>
      </c>
      <c r="K53" s="5">
        <v>2169870.0055555552</v>
      </c>
      <c r="L53" s="5">
        <v>2227907.7722222223</v>
      </c>
      <c r="M53" s="5">
        <v>2049142.4172222223</v>
      </c>
      <c r="N53" s="5">
        <v>1859034.5608333335</v>
      </c>
      <c r="O53" s="5">
        <v>5047852.4191666665</v>
      </c>
      <c r="P53" s="5">
        <v>5003952.0186111107</v>
      </c>
      <c r="Q53" s="5">
        <v>2875179.0374999996</v>
      </c>
      <c r="R53" s="5">
        <v>2791469.5874999999</v>
      </c>
      <c r="S53" s="5">
        <v>2800508.9249999998</v>
      </c>
      <c r="T53" s="5">
        <v>4657854.2277777772</v>
      </c>
      <c r="U53" s="5">
        <v>4328465.9944444438</v>
      </c>
      <c r="V53" s="5">
        <v>1666132.3555555553</v>
      </c>
      <c r="W53" s="5">
        <v>1560000</v>
      </c>
      <c r="X53" s="5">
        <v>1512580.2666666666</v>
      </c>
      <c r="Y53" s="5">
        <v>1500336.7222222222</v>
      </c>
      <c r="Z53" s="5">
        <v>1500421.7508333332</v>
      </c>
      <c r="AA53" s="5">
        <v>1478499.8666666665</v>
      </c>
      <c r="AB53" s="5">
        <v>1452492.8444444444</v>
      </c>
      <c r="AC53" s="5">
        <v>1427809.9111111111</v>
      </c>
      <c r="AD53" s="5">
        <v>1407661.111111111</v>
      </c>
      <c r="AE53" s="5">
        <v>1393783.222222222</v>
      </c>
      <c r="AF53" s="5">
        <v>1381366.6222222222</v>
      </c>
      <c r="AG53" s="5">
        <v>1371371.7111111111</v>
      </c>
    </row>
    <row r="54" spans="1:33" x14ac:dyDescent="0.25">
      <c r="A54" s="33" t="s">
        <v>54</v>
      </c>
      <c r="B54" s="4" t="s">
        <v>35</v>
      </c>
      <c r="C54" s="5">
        <v>1290978.6013157894</v>
      </c>
      <c r="D54" s="5">
        <v>1322687.5276315785</v>
      </c>
      <c r="E54" s="5">
        <v>1122367.9978947369</v>
      </c>
      <c r="F54" s="5">
        <v>1130198.7521052633</v>
      </c>
      <c r="G54" s="5">
        <v>1152884.7692105265</v>
      </c>
      <c r="H54" s="5">
        <v>405039.19526315795</v>
      </c>
      <c r="I54" s="5">
        <v>2174130.1414473685</v>
      </c>
      <c r="J54" s="5">
        <v>2317721.1673684209</v>
      </c>
      <c r="K54" s="5">
        <v>2462674.5638157893</v>
      </c>
      <c r="L54" s="5">
        <v>2714188.4532894739</v>
      </c>
      <c r="M54" s="5">
        <v>2790246.2823684216</v>
      </c>
      <c r="N54" s="5">
        <v>2816604.006052631</v>
      </c>
      <c r="O54" s="5">
        <v>2875364.1292105271</v>
      </c>
      <c r="P54" s="5">
        <v>3021365.9785526311</v>
      </c>
      <c r="Q54" s="5">
        <v>4161953.280263158</v>
      </c>
      <c r="R54" s="5">
        <v>3879959.6814473681</v>
      </c>
      <c r="S54" s="5">
        <v>9871550.4739473667</v>
      </c>
      <c r="T54" s="5">
        <v>3661006.9817105262</v>
      </c>
      <c r="U54" s="5">
        <v>3705073.0961842109</v>
      </c>
      <c r="V54" s="5">
        <v>3183172.6123684221</v>
      </c>
      <c r="W54" s="5">
        <v>711840.32</v>
      </c>
      <c r="X54" s="5">
        <v>674901.64421052625</v>
      </c>
      <c r="Y54" s="5">
        <v>655334.36236842116</v>
      </c>
      <c r="Z54" s="5">
        <v>644543.48</v>
      </c>
      <c r="AA54" s="5">
        <v>637574.4597368422</v>
      </c>
      <c r="AB54" s="5">
        <v>702947.55</v>
      </c>
      <c r="AC54" s="5">
        <v>4452550.6283513941</v>
      </c>
      <c r="AD54" s="5">
        <v>4371579.7217414854</v>
      </c>
      <c r="AE54" s="5">
        <v>4675828.7684674924</v>
      </c>
      <c r="AF54" s="5">
        <v>4623481.8853715174</v>
      </c>
      <c r="AG54" s="5">
        <v>4588112.7602708973</v>
      </c>
    </row>
    <row r="55" spans="1:33" x14ac:dyDescent="0.25">
      <c r="A55" s="33" t="s">
        <v>54</v>
      </c>
      <c r="B55" s="4" t="s">
        <v>36</v>
      </c>
      <c r="C55" s="5">
        <v>1268702.9947368423</v>
      </c>
      <c r="D55" s="5">
        <v>4305415.6622368414</v>
      </c>
      <c r="E55" s="5">
        <v>12713493.528026314</v>
      </c>
      <c r="F55" s="5">
        <v>13209616.475657895</v>
      </c>
      <c r="G55" s="5">
        <v>14428616.395789471</v>
      </c>
      <c r="H55" s="5">
        <v>20795853.8825</v>
      </c>
      <c r="I55" s="5">
        <v>23601783.076315787</v>
      </c>
      <c r="J55" s="5">
        <v>32989731.192368414</v>
      </c>
      <c r="K55" s="5">
        <v>47402128.780000001</v>
      </c>
      <c r="L55" s="5">
        <v>94686289.57631579</v>
      </c>
      <c r="M55" s="5">
        <v>86371467.437894732</v>
      </c>
      <c r="N55" s="5">
        <v>79360204.884473681</v>
      </c>
      <c r="O55" s="5">
        <v>78464864.165000007</v>
      </c>
      <c r="P55" s="5">
        <v>79671723.654473692</v>
      </c>
      <c r="Q55" s="5">
        <v>83288700.816447362</v>
      </c>
      <c r="R55" s="5">
        <v>82852505.231973678</v>
      </c>
      <c r="S55" s="5">
        <v>66992001.262500003</v>
      </c>
      <c r="T55" s="5">
        <v>69306693.805394739</v>
      </c>
      <c r="U55" s="5">
        <v>70472114.759868413</v>
      </c>
      <c r="V55" s="5">
        <v>76836516.196052626</v>
      </c>
      <c r="W55" s="5">
        <v>72833944.247763157</v>
      </c>
      <c r="X55" s="5">
        <v>65525120.75500001</v>
      </c>
      <c r="Y55" s="5">
        <v>67056768.823026322</v>
      </c>
      <c r="Z55" s="5">
        <v>71525747.251973659</v>
      </c>
      <c r="AA55" s="5">
        <v>71197100.628684193</v>
      </c>
      <c r="AB55" s="5">
        <v>72182552.137368426</v>
      </c>
      <c r="AC55" s="5">
        <v>67897098.338815793</v>
      </c>
      <c r="AD55" s="5">
        <v>63701819.331447363</v>
      </c>
      <c r="AE55" s="5">
        <v>65137550.969868414</v>
      </c>
      <c r="AF55" s="5">
        <v>66756002.766578928</v>
      </c>
      <c r="AG55" s="5">
        <v>68258991.188157901</v>
      </c>
    </row>
    <row r="56" spans="1:33" x14ac:dyDescent="0.25">
      <c r="A56" s="33" t="s">
        <v>54</v>
      </c>
      <c r="B56" s="4" t="s">
        <v>37</v>
      </c>
      <c r="C56" s="5">
        <v>4329681.2434210526</v>
      </c>
      <c r="D56" s="5">
        <v>7015866.3471052628</v>
      </c>
      <c r="E56" s="5">
        <v>9028693.1190789472</v>
      </c>
      <c r="F56" s="5">
        <v>10144468.909736842</v>
      </c>
      <c r="G56" s="5">
        <v>19885297.378157891</v>
      </c>
      <c r="H56" s="5">
        <v>23596036.012894735</v>
      </c>
      <c r="I56" s="5">
        <v>25566671.63763158</v>
      </c>
      <c r="J56" s="5">
        <v>28370794.13776315</v>
      </c>
      <c r="K56" s="5">
        <v>20860421.240394734</v>
      </c>
      <c r="L56" s="5">
        <v>27191372.557763159</v>
      </c>
      <c r="M56" s="5">
        <v>37361829.330043852</v>
      </c>
      <c r="N56" s="5">
        <v>50484936.934459068</v>
      </c>
      <c r="O56" s="5">
        <v>64341882.233684212</v>
      </c>
      <c r="P56" s="5">
        <v>71556823.689254373</v>
      </c>
      <c r="Q56" s="5">
        <v>92204377.737865493</v>
      </c>
      <c r="R56" s="5">
        <v>151280823.02263159</v>
      </c>
      <c r="S56" s="5">
        <v>194284328.20496494</v>
      </c>
      <c r="T56" s="5">
        <v>197450855.12873095</v>
      </c>
      <c r="U56" s="5">
        <v>204966817.68840346</v>
      </c>
      <c r="V56" s="5">
        <v>203325139.93729532</v>
      </c>
      <c r="W56" s="5">
        <v>196182649.43225142</v>
      </c>
      <c r="X56" s="5">
        <v>187256892.54894736</v>
      </c>
      <c r="Y56" s="5">
        <v>209126631.50186193</v>
      </c>
      <c r="Z56" s="5">
        <v>209242403.65922093</v>
      </c>
      <c r="AA56" s="5">
        <v>196652183.86894727</v>
      </c>
      <c r="AB56" s="5">
        <v>195946879.4206579</v>
      </c>
      <c r="AC56" s="5">
        <v>195903038.21539471</v>
      </c>
      <c r="AD56" s="5">
        <v>203139582.12539476</v>
      </c>
      <c r="AE56" s="5">
        <v>199242995.59302634</v>
      </c>
      <c r="AF56" s="5">
        <v>200870722.84105265</v>
      </c>
      <c r="AG56" s="5">
        <v>202310628.16776317</v>
      </c>
    </row>
    <row r="57" spans="1:33" x14ac:dyDescent="0.25">
      <c r="A57" s="33" t="s">
        <v>54</v>
      </c>
      <c r="B57" s="4" t="s">
        <v>38</v>
      </c>
      <c r="C57" s="5">
        <v>16738701.172368417</v>
      </c>
      <c r="D57" s="5">
        <v>16473050.254736843</v>
      </c>
      <c r="E57" s="5">
        <v>17987813.4575</v>
      </c>
      <c r="F57" s="5">
        <v>18231747.141315792</v>
      </c>
      <c r="G57" s="5">
        <v>8745612.3798684217</v>
      </c>
      <c r="H57" s="5">
        <v>9721598.9371052608</v>
      </c>
      <c r="I57" s="5">
        <v>7139206.3514473671</v>
      </c>
      <c r="J57" s="5">
        <v>6963619.2793421037</v>
      </c>
      <c r="K57" s="5">
        <v>17240282.518157896</v>
      </c>
      <c r="L57" s="5">
        <v>18424293.26328947</v>
      </c>
      <c r="M57" s="5">
        <v>24045407.611315791</v>
      </c>
      <c r="N57" s="5">
        <v>24621249.701578945</v>
      </c>
      <c r="O57" s="5">
        <v>26077638.066710524</v>
      </c>
      <c r="P57" s="5">
        <v>28106553.793289464</v>
      </c>
      <c r="Q57" s="5">
        <v>29548520.068421047</v>
      </c>
      <c r="R57" s="5">
        <v>34832538.165425695</v>
      </c>
      <c r="S57" s="5">
        <v>27095086.929868426</v>
      </c>
      <c r="T57" s="5">
        <v>31581672.707600616</v>
      </c>
      <c r="U57" s="5">
        <v>28917854.589342117</v>
      </c>
      <c r="V57" s="5">
        <v>31007841.197119191</v>
      </c>
      <c r="W57" s="5">
        <v>33254449.401574302</v>
      </c>
      <c r="X57" s="5">
        <v>44477780.889205366</v>
      </c>
      <c r="Y57" s="5">
        <v>26606247.928684216</v>
      </c>
      <c r="Z57" s="5">
        <v>26567262.433947373</v>
      </c>
      <c r="AA57" s="5">
        <v>43705954.472193837</v>
      </c>
      <c r="AB57" s="5">
        <v>47711323.775777429</v>
      </c>
      <c r="AC57" s="5">
        <v>53236247.996842094</v>
      </c>
      <c r="AD57" s="5">
        <v>54840875.22182747</v>
      </c>
      <c r="AE57" s="5">
        <v>60602749.264576018</v>
      </c>
      <c r="AF57" s="5">
        <v>61074884.471491218</v>
      </c>
      <c r="AG57" s="5">
        <v>61534344.793815792</v>
      </c>
    </row>
    <row r="58" spans="1:33" x14ac:dyDescent="0.25">
      <c r="A58" s="33" t="s">
        <v>55</v>
      </c>
      <c r="B58" s="4" t="s">
        <v>35</v>
      </c>
      <c r="C58" s="5">
        <v>1091161.9993421054</v>
      </c>
      <c r="D58" s="5">
        <v>1208609.5472368421</v>
      </c>
      <c r="E58" s="5">
        <v>1235044.6648684212</v>
      </c>
      <c r="F58" s="5">
        <v>284564.1831578947</v>
      </c>
      <c r="G58" s="5">
        <v>299976.33513157896</v>
      </c>
      <c r="H58" s="5">
        <v>315371.6518421052</v>
      </c>
      <c r="I58" s="5">
        <v>894265.0332894735</v>
      </c>
      <c r="J58" s="5">
        <v>940430.39684210531</v>
      </c>
      <c r="K58" s="5">
        <v>1036027.880131579</v>
      </c>
      <c r="L58" s="5">
        <v>1102488.3064473683</v>
      </c>
      <c r="M58" s="5">
        <v>1141386.6560526316</v>
      </c>
      <c r="N58" s="5">
        <v>1174550.9543421052</v>
      </c>
      <c r="O58" s="5">
        <v>1170892.7453947368</v>
      </c>
      <c r="P58" s="5">
        <v>511523.91986842104</v>
      </c>
      <c r="Q58" s="5">
        <v>507083.85986842104</v>
      </c>
      <c r="R58" s="5">
        <v>5900.6875</v>
      </c>
      <c r="S58" s="5">
        <v>6043.2924999999996</v>
      </c>
      <c r="T58" s="5">
        <v>5756.3249999999989</v>
      </c>
      <c r="U58" s="5">
        <v>5302.1249999999991</v>
      </c>
      <c r="V58" s="5">
        <v>99428.199999999983</v>
      </c>
      <c r="W58" s="5">
        <v>97881.4</v>
      </c>
      <c r="X58" s="5">
        <v>96554.05</v>
      </c>
      <c r="Y58" s="5">
        <v>4420.4775</v>
      </c>
      <c r="Z58" s="5">
        <v>98625.579999999973</v>
      </c>
      <c r="AA58" s="5">
        <v>98355.665000000008</v>
      </c>
      <c r="AB58" s="5">
        <v>98561.235000000001</v>
      </c>
      <c r="AC58" s="5">
        <v>98788.277499999982</v>
      </c>
      <c r="AD58" s="5">
        <v>98931.654999999999</v>
      </c>
      <c r="AE58" s="5">
        <v>99072.29250000001</v>
      </c>
      <c r="AF58" s="5">
        <v>99145.485000000001</v>
      </c>
      <c r="AG58" s="5">
        <v>99151.439999999988</v>
      </c>
    </row>
    <row r="59" spans="1:33" x14ac:dyDescent="0.25">
      <c r="A59" s="33" t="s">
        <v>55</v>
      </c>
      <c r="B59" s="4" t="s">
        <v>36</v>
      </c>
      <c r="C59" s="6"/>
      <c r="D59" s="6"/>
      <c r="E59" s="6"/>
      <c r="F59" s="6"/>
      <c r="G59" s="5">
        <v>1556935.0125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5">
        <v>2577182.4</v>
      </c>
      <c r="W59" s="5">
        <v>2545600.65</v>
      </c>
      <c r="X59" s="5">
        <v>3007587.12</v>
      </c>
      <c r="Y59" s="5">
        <v>3039919.5749999997</v>
      </c>
      <c r="Z59" s="5">
        <v>3128143.665</v>
      </c>
      <c r="AA59" s="5">
        <v>3222722.88</v>
      </c>
      <c r="AB59" s="5">
        <v>3317314.0199999996</v>
      </c>
      <c r="AC59" s="5">
        <v>3413368.8600000003</v>
      </c>
      <c r="AD59" s="5">
        <v>3509043.3224999998</v>
      </c>
      <c r="AE59" s="5">
        <v>3602125.6199999992</v>
      </c>
      <c r="AF59" s="5">
        <v>3694964.37</v>
      </c>
      <c r="AG59" s="5">
        <v>3781590.8850000007</v>
      </c>
    </row>
    <row r="60" spans="1:33" x14ac:dyDescent="0.25">
      <c r="A60" s="33" t="s">
        <v>55</v>
      </c>
      <c r="B60" s="4" t="s">
        <v>37</v>
      </c>
      <c r="C60" s="5">
        <v>4569986.5263157897</v>
      </c>
      <c r="D60" s="5">
        <v>2613786.0340789473</v>
      </c>
      <c r="E60" s="5">
        <v>2314794.7413157895</v>
      </c>
      <c r="F60" s="5">
        <v>4993056.5542105269</v>
      </c>
      <c r="G60" s="5">
        <v>5174614.5652631577</v>
      </c>
      <c r="H60" s="5">
        <v>5829500.5882894741</v>
      </c>
      <c r="I60" s="5">
        <v>2388879.1685526315</v>
      </c>
      <c r="J60" s="5">
        <v>2682333.9976315787</v>
      </c>
      <c r="K60" s="5">
        <v>5503855.038947368</v>
      </c>
      <c r="L60" s="5">
        <v>6149962.5543421051</v>
      </c>
      <c r="M60" s="5">
        <v>2755123.0750000002</v>
      </c>
      <c r="N60" s="5">
        <v>3016433.5149999997</v>
      </c>
      <c r="O60" s="5">
        <v>2770511.5999999996</v>
      </c>
      <c r="P60" s="5">
        <v>2616817.8899999997</v>
      </c>
      <c r="Q60" s="6"/>
      <c r="R60" s="6"/>
      <c r="S60" s="6"/>
      <c r="T60" s="6"/>
      <c r="U60" s="6"/>
      <c r="V60" s="6"/>
      <c r="W60" s="6"/>
      <c r="X60" s="5">
        <v>2818989.8105263161</v>
      </c>
      <c r="Y60" s="5">
        <v>2776716.8</v>
      </c>
      <c r="Z60" s="5">
        <v>2726441.210526316</v>
      </c>
      <c r="AA60" s="5">
        <v>2674099.115789474</v>
      </c>
      <c r="AB60" s="5">
        <v>2608856.5789473685</v>
      </c>
      <c r="AC60" s="5">
        <v>2540714.0315789473</v>
      </c>
      <c r="AD60" s="5">
        <v>2482740.1263157893</v>
      </c>
      <c r="AE60" s="5">
        <v>2432923.9578947364</v>
      </c>
      <c r="AF60" s="5">
        <v>2391715.8210526318</v>
      </c>
      <c r="AG60" s="5">
        <v>2364272.5157894739</v>
      </c>
    </row>
    <row r="61" spans="1:33" x14ac:dyDescent="0.25">
      <c r="A61" s="33" t="s">
        <v>55</v>
      </c>
      <c r="B61" s="4" t="s">
        <v>38</v>
      </c>
      <c r="C61" s="5">
        <v>10886415.734210527</v>
      </c>
      <c r="D61" s="5">
        <v>13862024.446447369</v>
      </c>
      <c r="E61" s="5">
        <v>16094026.731710531</v>
      </c>
      <c r="F61" s="5">
        <v>13436313.510789473</v>
      </c>
      <c r="G61" s="5">
        <v>13800674.530789476</v>
      </c>
      <c r="H61" s="5">
        <v>13334451.76236842</v>
      </c>
      <c r="I61" s="5">
        <v>16274895.693289476</v>
      </c>
      <c r="J61" s="5">
        <v>15939469.625000002</v>
      </c>
      <c r="K61" s="5">
        <v>16966726.831315793</v>
      </c>
      <c r="L61" s="5">
        <v>14712771.21986842</v>
      </c>
      <c r="M61" s="5">
        <v>13193735.294210527</v>
      </c>
      <c r="N61" s="5">
        <v>13698899.781842103</v>
      </c>
      <c r="O61" s="5">
        <v>4476396.054342106</v>
      </c>
      <c r="P61" s="5">
        <v>3725379.5888157897</v>
      </c>
      <c r="Q61" s="5">
        <v>5961284.1414473681</v>
      </c>
      <c r="R61" s="5">
        <v>6015207.1281578941</v>
      </c>
      <c r="S61" s="5">
        <v>4037247.6568421051</v>
      </c>
      <c r="T61" s="5">
        <v>4205799.0593421049</v>
      </c>
      <c r="U61" s="5">
        <v>3065839.8325</v>
      </c>
      <c r="V61" s="5">
        <v>2931975.3263157895</v>
      </c>
      <c r="W61" s="5">
        <v>2882322.231578947</v>
      </c>
      <c r="X61" s="6"/>
      <c r="Y61" s="5">
        <v>93292.862500000003</v>
      </c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33" t="s">
        <v>56</v>
      </c>
      <c r="B62" s="4" t="s">
        <v>35</v>
      </c>
      <c r="C62" s="5">
        <v>7371132.9684210531</v>
      </c>
      <c r="D62" s="5">
        <v>7545713.4028947363</v>
      </c>
      <c r="E62" s="5">
        <v>13884969.847105265</v>
      </c>
      <c r="F62" s="5">
        <v>16058108.244947372</v>
      </c>
      <c r="G62" s="5">
        <v>16306320.909210527</v>
      </c>
      <c r="H62" s="5">
        <v>16360448.759736842</v>
      </c>
      <c r="I62" s="5">
        <v>16404946.431578945</v>
      </c>
      <c r="J62" s="5">
        <v>16820160.729605265</v>
      </c>
      <c r="K62" s="5">
        <v>18486314.256447371</v>
      </c>
      <c r="L62" s="5">
        <v>18657891.536578946</v>
      </c>
      <c r="M62" s="5">
        <v>18886322.716973688</v>
      </c>
      <c r="N62" s="5">
        <v>18838791.368552633</v>
      </c>
      <c r="O62" s="5">
        <v>18723323.249868419</v>
      </c>
      <c r="P62" s="5">
        <v>18684434.666842107</v>
      </c>
      <c r="Q62" s="5">
        <v>18949975.394605264</v>
      </c>
      <c r="R62" s="5">
        <v>19836836.560263157</v>
      </c>
      <c r="S62" s="5">
        <v>20605569.399868425</v>
      </c>
      <c r="T62" s="5">
        <v>19744785.350263156</v>
      </c>
      <c r="U62" s="5">
        <v>19780017.431052633</v>
      </c>
      <c r="V62" s="5">
        <v>20383995.488289475</v>
      </c>
      <c r="W62" s="5">
        <v>19617900.355</v>
      </c>
      <c r="X62" s="5">
        <v>19342154.227236841</v>
      </c>
      <c r="Y62" s="5">
        <v>19214077.757236842</v>
      </c>
      <c r="Z62" s="5">
        <v>19552841.715131577</v>
      </c>
      <c r="AA62" s="5">
        <v>19561503.99947368</v>
      </c>
      <c r="AB62" s="5">
        <v>41717720.125131577</v>
      </c>
      <c r="AC62" s="5">
        <v>41652936.149999999</v>
      </c>
      <c r="AD62" s="5">
        <v>41349567.022631586</v>
      </c>
      <c r="AE62" s="5">
        <v>43424405.990000002</v>
      </c>
      <c r="AF62" s="5">
        <v>43010997.995263159</v>
      </c>
      <c r="AG62" s="5">
        <v>42709218.048947372</v>
      </c>
    </row>
    <row r="63" spans="1:33" x14ac:dyDescent="0.25">
      <c r="A63" s="33" t="s">
        <v>56</v>
      </c>
      <c r="B63" s="4" t="s">
        <v>37</v>
      </c>
      <c r="C63" s="6"/>
      <c r="D63" s="6"/>
      <c r="E63" s="6"/>
      <c r="F63" s="6"/>
      <c r="G63" s="6"/>
      <c r="H63" s="6"/>
      <c r="I63" s="6"/>
      <c r="J63" s="5">
        <v>32578086.610526316</v>
      </c>
      <c r="K63" s="5">
        <v>34704421.42842105</v>
      </c>
      <c r="L63" s="5">
        <v>36316013.068157896</v>
      </c>
      <c r="M63" s="5">
        <v>37006436.245263159</v>
      </c>
      <c r="N63" s="5">
        <v>37057848.03947369</v>
      </c>
      <c r="O63" s="6"/>
      <c r="P63" s="5">
        <v>136006.25263157894</v>
      </c>
      <c r="Q63" s="5">
        <v>146845.94500000001</v>
      </c>
      <c r="R63" s="5">
        <v>262336.16210526315</v>
      </c>
      <c r="S63" s="5">
        <v>26711.553684210525</v>
      </c>
      <c r="T63" s="5">
        <v>218793.48507894739</v>
      </c>
      <c r="U63" s="5">
        <v>434112.17499999999</v>
      </c>
      <c r="V63" s="5">
        <v>400028.23697368422</v>
      </c>
      <c r="W63" s="5">
        <v>755387.70407894731</v>
      </c>
      <c r="X63" s="5">
        <v>785739.99255263153</v>
      </c>
      <c r="Y63" s="5">
        <v>774968.55339473684</v>
      </c>
      <c r="Z63" s="5">
        <v>770200.5813157896</v>
      </c>
      <c r="AA63" s="5">
        <v>623461.03902631579</v>
      </c>
      <c r="AB63" s="5">
        <v>615718.705381579</v>
      </c>
      <c r="AC63" s="5">
        <v>608897.09909210529</v>
      </c>
      <c r="AD63" s="5">
        <v>602280.58921052632</v>
      </c>
      <c r="AE63" s="5">
        <v>596041.00826315791</v>
      </c>
      <c r="AF63" s="5">
        <v>590604.13457894733</v>
      </c>
      <c r="AG63" s="5">
        <v>585519.70234210533</v>
      </c>
    </row>
    <row r="64" spans="1:33" x14ac:dyDescent="0.25">
      <c r="A64" s="33" t="s">
        <v>56</v>
      </c>
      <c r="B64" s="4" t="s">
        <v>38</v>
      </c>
      <c r="C64" s="5">
        <v>256940.74736842106</v>
      </c>
      <c r="D64" s="5">
        <v>248052.88421052633</v>
      </c>
      <c r="E64" s="5">
        <v>241867</v>
      </c>
      <c r="F64" s="5">
        <v>242851.72434210527</v>
      </c>
      <c r="G64" s="5">
        <v>233639.47368421053</v>
      </c>
      <c r="H64" s="5">
        <v>792793.56210526312</v>
      </c>
      <c r="I64" s="5">
        <v>1112977.6976842105</v>
      </c>
      <c r="J64" s="5">
        <v>1065848.4542105263</v>
      </c>
      <c r="K64" s="5">
        <v>1200187.9989473685</v>
      </c>
      <c r="L64" s="5">
        <v>1853920.0821052631</v>
      </c>
      <c r="M64" s="5">
        <v>1915408.8134210529</v>
      </c>
      <c r="N64" s="5">
        <v>1949894.629868421</v>
      </c>
      <c r="O64" s="5">
        <v>41045856.073947363</v>
      </c>
      <c r="P64" s="5">
        <v>45936031.548947379</v>
      </c>
      <c r="Q64" s="5">
        <v>48437874.035000011</v>
      </c>
      <c r="R64" s="5">
        <v>48647290.648815781</v>
      </c>
      <c r="S64" s="5">
        <v>47344658.10986843</v>
      </c>
      <c r="T64" s="5">
        <v>46784165.490657896</v>
      </c>
      <c r="U64" s="5">
        <v>48615417.295526326</v>
      </c>
      <c r="V64" s="5">
        <v>43967582.00631579</v>
      </c>
      <c r="W64" s="5">
        <v>40465301.042105265</v>
      </c>
      <c r="X64" s="5">
        <v>36887215.528578945</v>
      </c>
      <c r="Y64" s="5">
        <v>33043395.137763161</v>
      </c>
      <c r="Z64" s="5">
        <v>31335788.773289476</v>
      </c>
      <c r="AA64" s="5">
        <v>31187218.439868424</v>
      </c>
      <c r="AB64" s="5">
        <v>8967169.3305263165</v>
      </c>
      <c r="AC64" s="5">
        <v>8919417.6006578952</v>
      </c>
      <c r="AD64" s="5">
        <v>8889637.1603947375</v>
      </c>
      <c r="AE64" s="5">
        <v>6385199.4905263176</v>
      </c>
      <c r="AF64" s="5">
        <v>6382045.6852631569</v>
      </c>
      <c r="AG64" s="5">
        <v>6391844.9436842091</v>
      </c>
    </row>
    <row r="65" spans="1:33" x14ac:dyDescent="0.25">
      <c r="A65" s="33" t="s">
        <v>57</v>
      </c>
      <c r="B65" s="4" t="s">
        <v>34</v>
      </c>
      <c r="C65" s="5">
        <v>316080.71578947373</v>
      </c>
      <c r="D65" s="5">
        <v>333868.49789473682</v>
      </c>
      <c r="E65" s="5">
        <v>349569.27184210526</v>
      </c>
      <c r="F65" s="5">
        <v>357221.52460526314</v>
      </c>
      <c r="G65" s="5">
        <v>337249.18947368418</v>
      </c>
      <c r="H65" s="5">
        <v>332197.86684210523</v>
      </c>
      <c r="I65" s="5">
        <v>309926.8842105263</v>
      </c>
      <c r="J65" s="5">
        <v>313561.87657894741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spans="1:33" x14ac:dyDescent="0.25">
      <c r="A66" s="33" t="s">
        <v>57</v>
      </c>
      <c r="B66" s="4" t="s">
        <v>35</v>
      </c>
      <c r="C66" s="5">
        <v>26229173.64105263</v>
      </c>
      <c r="D66" s="5">
        <v>26388366.881690793</v>
      </c>
      <c r="E66" s="5">
        <v>26252073.629289474</v>
      </c>
      <c r="F66" s="5">
        <v>28630639.167522371</v>
      </c>
      <c r="G66" s="5">
        <v>28986366.827755265</v>
      </c>
      <c r="H66" s="5">
        <v>29128820.294536844</v>
      </c>
      <c r="I66" s="5">
        <v>29934822.748823676</v>
      </c>
      <c r="J66" s="5">
        <v>30345115.093663156</v>
      </c>
      <c r="K66" s="5">
        <v>31324246.12271842</v>
      </c>
      <c r="L66" s="5">
        <v>31798340.982196055</v>
      </c>
      <c r="M66" s="5">
        <v>31968835.643160526</v>
      </c>
      <c r="N66" s="5">
        <v>33208899.454910532</v>
      </c>
      <c r="O66" s="5">
        <v>32903960.326956574</v>
      </c>
      <c r="P66" s="5">
        <v>32754654.735315792</v>
      </c>
      <c r="Q66" s="5">
        <v>39465071.417238161</v>
      </c>
      <c r="R66" s="5">
        <v>39112219.832248248</v>
      </c>
      <c r="S66" s="5">
        <v>40946615.517306134</v>
      </c>
      <c r="T66" s="5">
        <v>35275633.181348689</v>
      </c>
      <c r="U66" s="5">
        <v>34359159.129090786</v>
      </c>
      <c r="V66" s="5">
        <v>34785554.260657884</v>
      </c>
      <c r="W66" s="5">
        <v>34173156.569989473</v>
      </c>
      <c r="X66" s="5">
        <v>33984878.765763164</v>
      </c>
      <c r="Y66" s="5">
        <v>34115329.284334213</v>
      </c>
      <c r="Z66" s="5">
        <v>34736614.82303948</v>
      </c>
      <c r="AA66" s="5">
        <v>34770268.068073682</v>
      </c>
      <c r="AB66" s="5">
        <v>67684316.886159211</v>
      </c>
      <c r="AC66" s="5">
        <v>69430333.179696068</v>
      </c>
      <c r="AD66" s="5">
        <v>69175096.522006586</v>
      </c>
      <c r="AE66" s="5">
        <v>72217686.184276819</v>
      </c>
      <c r="AF66" s="5">
        <v>71616853.247921243</v>
      </c>
      <c r="AG66" s="5">
        <v>71135570.336828187</v>
      </c>
    </row>
    <row r="67" spans="1:33" x14ac:dyDescent="0.25">
      <c r="A67" s="33" t="s">
        <v>57</v>
      </c>
      <c r="B67" s="4" t="s">
        <v>36</v>
      </c>
      <c r="C67" s="5">
        <v>4331476.0763157904</v>
      </c>
      <c r="D67" s="5">
        <v>6232568.6062426902</v>
      </c>
      <c r="E67" s="5">
        <v>7573656.8875877187</v>
      </c>
      <c r="F67" s="5">
        <v>8589234.4676345028</v>
      </c>
      <c r="G67" s="5">
        <v>8337475.947026317</v>
      </c>
      <c r="H67" s="5">
        <v>5921398.0734999999</v>
      </c>
      <c r="I67" s="5">
        <v>7214281.6486315792</v>
      </c>
      <c r="J67" s="5">
        <v>7538299.5478684204</v>
      </c>
      <c r="K67" s="5">
        <v>26377575.185964912</v>
      </c>
      <c r="L67" s="5">
        <v>9809642.4482894745</v>
      </c>
      <c r="M67" s="5">
        <v>3487804.8003947367</v>
      </c>
      <c r="N67" s="5">
        <v>1299037.6022368423</v>
      </c>
      <c r="O67" s="5">
        <v>1181339.0163157894</v>
      </c>
      <c r="P67" s="5">
        <v>1318899.3436842107</v>
      </c>
      <c r="Q67" s="5">
        <v>2110042.0667105261</v>
      </c>
      <c r="R67" s="5">
        <v>2295045.3749736845</v>
      </c>
      <c r="S67" s="5">
        <v>2030761.8046052633</v>
      </c>
      <c r="T67" s="5">
        <v>2451159.5151578942</v>
      </c>
      <c r="U67" s="5">
        <v>2498551.1242105262</v>
      </c>
      <c r="V67" s="5">
        <v>3063972.9986842102</v>
      </c>
      <c r="W67" s="5">
        <v>2971735.8396052634</v>
      </c>
      <c r="X67" s="5">
        <v>2464479.4480263158</v>
      </c>
      <c r="Y67" s="5">
        <v>3343214.0053947368</v>
      </c>
      <c r="Z67" s="5">
        <v>7632520.7832894735</v>
      </c>
      <c r="AA67" s="5">
        <v>8361209.6399473678</v>
      </c>
      <c r="AB67" s="5">
        <v>8058386.7235526312</v>
      </c>
      <c r="AC67" s="5">
        <v>8258917.0631578956</v>
      </c>
      <c r="AD67" s="5">
        <v>8449841.8723684214</v>
      </c>
      <c r="AE67" s="5">
        <v>8610263.4413157888</v>
      </c>
      <c r="AF67" s="5">
        <v>8770774.6185526308</v>
      </c>
      <c r="AG67" s="5">
        <v>8918362.7869736832</v>
      </c>
    </row>
    <row r="68" spans="1:33" x14ac:dyDescent="0.25">
      <c r="A68" s="33" t="s">
        <v>57</v>
      </c>
      <c r="B68" s="4" t="s">
        <v>37</v>
      </c>
      <c r="C68" s="5">
        <v>16557281.441228069</v>
      </c>
      <c r="D68" s="5">
        <v>17213519.673143275</v>
      </c>
      <c r="E68" s="5">
        <v>60179505.783511803</v>
      </c>
      <c r="F68" s="5">
        <v>66234092.409022689</v>
      </c>
      <c r="G68" s="5">
        <v>73818949.300328076</v>
      </c>
      <c r="H68" s="5">
        <v>79797021.461419538</v>
      </c>
      <c r="I68" s="5">
        <v>76678121.258695811</v>
      </c>
      <c r="J68" s="5">
        <v>78350244.474165455</v>
      </c>
      <c r="K68" s="5">
        <v>76448046.948922664</v>
      </c>
      <c r="L68" s="5">
        <v>105304291.25249144</v>
      </c>
      <c r="M68" s="5">
        <v>107384995.50697598</v>
      </c>
      <c r="N68" s="5">
        <v>155951533.28377989</v>
      </c>
      <c r="O68" s="5">
        <v>122428129.00266632</v>
      </c>
      <c r="P68" s="5">
        <v>121801322.39131282</v>
      </c>
      <c r="Q68" s="5">
        <v>117593135.36944737</v>
      </c>
      <c r="R68" s="5">
        <v>70158224.174152017</v>
      </c>
      <c r="S68" s="5">
        <v>47608205.353649117</v>
      </c>
      <c r="T68" s="5">
        <v>49612877.973377198</v>
      </c>
      <c r="U68" s="5">
        <v>54400358.62172807</v>
      </c>
      <c r="V68" s="5">
        <v>56833893.108997077</v>
      </c>
      <c r="W68" s="5">
        <v>57301980.815447375</v>
      </c>
      <c r="X68" s="5">
        <v>57038072.696059935</v>
      </c>
      <c r="Y68" s="5">
        <v>63481542.293552622</v>
      </c>
      <c r="Z68" s="5">
        <v>63317108.046356723</v>
      </c>
      <c r="AA68" s="5">
        <v>58484917.884078942</v>
      </c>
      <c r="AB68" s="5">
        <v>57987735.830263153</v>
      </c>
      <c r="AC68" s="5">
        <v>56088060.509078935</v>
      </c>
      <c r="AD68" s="5">
        <v>56731241.55223684</v>
      </c>
      <c r="AE68" s="5">
        <v>55209696.521052629</v>
      </c>
      <c r="AF68" s="5">
        <v>55817446.861315772</v>
      </c>
      <c r="AG68" s="5">
        <v>56037443.403815791</v>
      </c>
    </row>
    <row r="69" spans="1:33" x14ac:dyDescent="0.25">
      <c r="A69" s="33" t="s">
        <v>57</v>
      </c>
      <c r="B69" s="4" t="s">
        <v>38</v>
      </c>
      <c r="C69" s="5">
        <v>19466420.685526315</v>
      </c>
      <c r="D69" s="5">
        <v>21187875.780263156</v>
      </c>
      <c r="E69" s="5">
        <v>24633406.222894739</v>
      </c>
      <c r="F69" s="5">
        <v>17191484.59513158</v>
      </c>
      <c r="G69" s="5">
        <v>13340894.218210528</v>
      </c>
      <c r="H69" s="5">
        <v>13279935.629999999</v>
      </c>
      <c r="I69" s="5">
        <v>22894756.868552629</v>
      </c>
      <c r="J69" s="5">
        <v>23658850.49763158</v>
      </c>
      <c r="K69" s="5">
        <v>28205204.545774855</v>
      </c>
      <c r="L69" s="5">
        <v>28164388.740219299</v>
      </c>
      <c r="M69" s="5">
        <v>32125330.025833331</v>
      </c>
      <c r="N69" s="5">
        <v>36499161.371447362</v>
      </c>
      <c r="O69" s="5">
        <v>96866253.22795324</v>
      </c>
      <c r="P69" s="5">
        <v>97630579.195521802</v>
      </c>
      <c r="Q69" s="5">
        <v>95604781.029367805</v>
      </c>
      <c r="R69" s="5">
        <v>88819304.047562674</v>
      </c>
      <c r="S69" s="5">
        <v>84310755.60748598</v>
      </c>
      <c r="T69" s="5">
        <v>91811482.875493556</v>
      </c>
      <c r="U69" s="5">
        <v>84584493.2570059</v>
      </c>
      <c r="V69" s="5">
        <v>76222381.176453501</v>
      </c>
      <c r="W69" s="5">
        <v>69089014.757713109</v>
      </c>
      <c r="X69" s="5">
        <v>60248339.662234746</v>
      </c>
      <c r="Y69" s="5">
        <v>52391546.425925076</v>
      </c>
      <c r="Z69" s="5">
        <v>52753047.446851186</v>
      </c>
      <c r="AA69" s="5">
        <v>58435166.403509676</v>
      </c>
      <c r="AB69" s="5">
        <v>26698100.53214509</v>
      </c>
      <c r="AC69" s="5">
        <v>27317645.640037306</v>
      </c>
      <c r="AD69" s="5">
        <v>27166405.224296231</v>
      </c>
      <c r="AE69" s="5">
        <v>25790266.761403508</v>
      </c>
      <c r="AF69" s="5">
        <v>25966473.697441526</v>
      </c>
      <c r="AG69" s="5">
        <v>26078721.471578948</v>
      </c>
    </row>
    <row r="70" spans="1:33" x14ac:dyDescent="0.25">
      <c r="A70" s="33" t="s">
        <v>58</v>
      </c>
      <c r="B70" s="4" t="s">
        <v>34</v>
      </c>
      <c r="C70" s="5">
        <v>183716.90526315791</v>
      </c>
      <c r="D70" s="5">
        <v>193291.80631578949</v>
      </c>
      <c r="E70" s="5">
        <v>204796.3523684211</v>
      </c>
      <c r="F70" s="5">
        <v>266574.74684210523</v>
      </c>
      <c r="G70" s="5">
        <v>239280.73815789475</v>
      </c>
      <c r="H70" s="5">
        <v>225097.70526315793</v>
      </c>
      <c r="I70" s="5">
        <v>196298.5263157895</v>
      </c>
      <c r="J70" s="5">
        <v>206140.06736842103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33" t="s">
        <v>58</v>
      </c>
      <c r="B71" s="4" t="s">
        <v>35</v>
      </c>
      <c r="C71" s="5">
        <v>4969761.1157894731</v>
      </c>
      <c r="D71" s="5">
        <v>5592342.5259210533</v>
      </c>
      <c r="E71" s="5">
        <v>5432320.5569736846</v>
      </c>
      <c r="F71" s="5">
        <v>7372256.3623684216</v>
      </c>
      <c r="G71" s="5">
        <v>7363063.2918421077</v>
      </c>
      <c r="H71" s="5">
        <v>7136710.6232894734</v>
      </c>
      <c r="I71" s="5">
        <v>7103388.0742105264</v>
      </c>
      <c r="J71" s="5">
        <v>7191032.9686842104</v>
      </c>
      <c r="K71" s="5">
        <v>7224842.3042105278</v>
      </c>
      <c r="L71" s="5">
        <v>7191686.3890789468</v>
      </c>
      <c r="M71" s="5">
        <v>7156901.7843421055</v>
      </c>
      <c r="N71" s="5">
        <v>8675697.0957894716</v>
      </c>
      <c r="O71" s="5">
        <v>8469447.9701315779</v>
      </c>
      <c r="P71" s="5">
        <v>8202562.0247368421</v>
      </c>
      <c r="Q71" s="5">
        <v>8086016.2200000007</v>
      </c>
      <c r="R71" s="5">
        <v>15834750.569868423</v>
      </c>
      <c r="S71" s="5">
        <v>15809589.94842105</v>
      </c>
      <c r="T71" s="5">
        <v>7747954.1126315799</v>
      </c>
      <c r="U71" s="5">
        <v>7585661.7473684214</v>
      </c>
      <c r="V71" s="5">
        <v>7297991.5186315794</v>
      </c>
      <c r="W71" s="5">
        <v>7067369.6407894744</v>
      </c>
      <c r="X71" s="5">
        <v>6995860.4326315792</v>
      </c>
      <c r="Y71" s="5">
        <v>7100127.2752631577</v>
      </c>
      <c r="Z71" s="5">
        <v>7253185.0627631582</v>
      </c>
      <c r="AA71" s="5">
        <v>7264196.1848684205</v>
      </c>
      <c r="AB71" s="5">
        <v>13729999.72407895</v>
      </c>
      <c r="AC71" s="5">
        <v>13602761.687894737</v>
      </c>
      <c r="AD71" s="5">
        <v>13513494.416315794</v>
      </c>
      <c r="AE71" s="5">
        <v>13427059.710526321</v>
      </c>
      <c r="AF71" s="5">
        <v>13357349.637631577</v>
      </c>
      <c r="AG71" s="5">
        <v>13285092.037631579</v>
      </c>
    </row>
    <row r="72" spans="1:33" x14ac:dyDescent="0.25">
      <c r="A72" s="33" t="s">
        <v>58</v>
      </c>
      <c r="B72" s="4" t="s">
        <v>36</v>
      </c>
      <c r="C72" s="6"/>
      <c r="D72" s="5">
        <v>396598.77894736838</v>
      </c>
      <c r="E72" s="5">
        <v>370781.45263157896</v>
      </c>
      <c r="F72" s="5">
        <v>377404.37026315794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spans="1:33" x14ac:dyDescent="0.25">
      <c r="A73" s="33" t="s">
        <v>58</v>
      </c>
      <c r="B73" s="4" t="s">
        <v>37</v>
      </c>
      <c r="C73" s="5">
        <v>804259.78947368416</v>
      </c>
      <c r="D73" s="5">
        <v>417810.78842105262</v>
      </c>
      <c r="E73" s="5">
        <v>420500.27526315796</v>
      </c>
      <c r="F73" s="5">
        <v>368275.49578947376</v>
      </c>
      <c r="G73" s="5">
        <v>797608.27776315797</v>
      </c>
      <c r="H73" s="5">
        <v>793505.3601315791</v>
      </c>
      <c r="I73" s="5">
        <v>807322.46184210526</v>
      </c>
      <c r="J73" s="5">
        <v>15497985.037631581</v>
      </c>
      <c r="K73" s="5">
        <v>23015253.727710523</v>
      </c>
      <c r="L73" s="5">
        <v>29554012.882236842</v>
      </c>
      <c r="M73" s="5">
        <v>28143333.279144734</v>
      </c>
      <c r="N73" s="5">
        <v>27963363.659868423</v>
      </c>
      <c r="O73" s="5">
        <v>287270.77894736844</v>
      </c>
      <c r="P73" s="5">
        <v>295912.22842105263</v>
      </c>
      <c r="Q73" s="5">
        <v>313516.50986842107</v>
      </c>
      <c r="R73" s="5">
        <v>300997.51578947366</v>
      </c>
      <c r="S73" s="5">
        <v>430151.70526315796</v>
      </c>
      <c r="T73" s="5">
        <v>1240330.3978947368</v>
      </c>
      <c r="U73" s="5">
        <v>1797781.6965789474</v>
      </c>
      <c r="V73" s="5">
        <v>1041960.3836842106</v>
      </c>
      <c r="W73" s="5">
        <v>903155.61315789458</v>
      </c>
      <c r="X73" s="5">
        <v>927637.83394736843</v>
      </c>
      <c r="Y73" s="5">
        <v>777066.97697368416</v>
      </c>
      <c r="Z73" s="5">
        <v>630153.08855263167</v>
      </c>
      <c r="AA73" s="5">
        <v>3543.6963157894734</v>
      </c>
      <c r="AB73" s="5">
        <v>3783.6457894736841</v>
      </c>
      <c r="AC73" s="5">
        <v>4031.9913157894744</v>
      </c>
      <c r="AD73" s="6"/>
      <c r="AE73" s="6"/>
      <c r="AF73" s="6"/>
      <c r="AG73" s="6"/>
    </row>
    <row r="74" spans="1:33" x14ac:dyDescent="0.25">
      <c r="A74" s="33" t="s">
        <v>58</v>
      </c>
      <c r="B74" s="4" t="s">
        <v>38</v>
      </c>
      <c r="C74" s="5">
        <v>2541816.884210526</v>
      </c>
      <c r="D74" s="5">
        <v>3311443.2694736845</v>
      </c>
      <c r="E74" s="5">
        <v>3719019.8231578944</v>
      </c>
      <c r="F74" s="5">
        <v>1457278.9894736842</v>
      </c>
      <c r="G74" s="5">
        <v>1446099.5368421054</v>
      </c>
      <c r="H74" s="5">
        <v>1388137.2631578948</v>
      </c>
      <c r="I74" s="5">
        <v>1623501.9473684211</v>
      </c>
      <c r="J74" s="5">
        <v>1640629.6673684211</v>
      </c>
      <c r="K74" s="5">
        <v>1937328.8573684213</v>
      </c>
      <c r="L74" s="5">
        <v>2051241.1965789474</v>
      </c>
      <c r="M74" s="5">
        <v>2256694.6097368421</v>
      </c>
      <c r="N74" s="5">
        <v>570081.77421052638</v>
      </c>
      <c r="O74" s="5">
        <v>40847248.515915789</v>
      </c>
      <c r="P74" s="5">
        <v>38974384.492907904</v>
      </c>
      <c r="Q74" s="5">
        <v>29887567.324605264</v>
      </c>
      <c r="R74" s="5">
        <v>20837704.203000002</v>
      </c>
      <c r="S74" s="5">
        <v>18916380.676263157</v>
      </c>
      <c r="T74" s="5">
        <v>24228545.598894741</v>
      </c>
      <c r="U74" s="5">
        <v>18905382.847578947</v>
      </c>
      <c r="V74" s="5">
        <v>16862693.919999998</v>
      </c>
      <c r="W74" s="5">
        <v>15503254.244210524</v>
      </c>
      <c r="X74" s="5">
        <v>14140472.008157894</v>
      </c>
      <c r="Y74" s="5">
        <v>13620855.391842108</v>
      </c>
      <c r="Z74" s="5">
        <v>13543333.73973684</v>
      </c>
      <c r="AA74" s="5">
        <v>14047665.786973683</v>
      </c>
      <c r="AB74" s="5">
        <v>7395309.0546052633</v>
      </c>
      <c r="AC74" s="5">
        <v>7344315.140394737</v>
      </c>
      <c r="AD74" s="5">
        <v>7295780.1138157891</v>
      </c>
      <c r="AE74" s="5">
        <v>7260497.9540789472</v>
      </c>
      <c r="AF74" s="5">
        <v>7230088.7596052643</v>
      </c>
      <c r="AG74" s="5">
        <v>7212690.1784210531</v>
      </c>
    </row>
    <row r="75" spans="1:33" x14ac:dyDescent="0.25">
      <c r="A75" s="33" t="s">
        <v>59</v>
      </c>
      <c r="B75" s="4" t="s">
        <v>35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5">
        <v>3297621.9505263157</v>
      </c>
      <c r="AC75" s="5">
        <v>3264309.8052631579</v>
      </c>
      <c r="AD75" s="5">
        <v>3225860.8105263161</v>
      </c>
      <c r="AE75" s="5">
        <v>3193876.098947369</v>
      </c>
      <c r="AF75" s="5">
        <v>3165801.7831578949</v>
      </c>
      <c r="AG75" s="5">
        <v>3143161.6294736844</v>
      </c>
    </row>
    <row r="76" spans="1:33" x14ac:dyDescent="0.25">
      <c r="A76" s="33" t="s">
        <v>59</v>
      </c>
      <c r="B76" s="4" t="s">
        <v>38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5">
        <v>5794352.4505263167</v>
      </c>
      <c r="R76" s="5">
        <v>5717947.1684210524</v>
      </c>
      <c r="S76" s="5">
        <v>5596995.6378947366</v>
      </c>
      <c r="T76" s="5">
        <v>5534706.922105263</v>
      </c>
      <c r="U76" s="5">
        <v>5726848.9501184206</v>
      </c>
      <c r="V76" s="5">
        <v>5261600.1031578956</v>
      </c>
      <c r="W76" s="5">
        <v>4675967.6873684209</v>
      </c>
      <c r="X76" s="5">
        <v>4172681.8042105264</v>
      </c>
      <c r="Y76" s="5">
        <v>3591155.4915789478</v>
      </c>
      <c r="Z76" s="5">
        <v>3359748.097894737</v>
      </c>
      <c r="AA76" s="5">
        <v>3325081.32</v>
      </c>
      <c r="AB76" s="6"/>
      <c r="AC76" s="6"/>
      <c r="AD76" s="6"/>
      <c r="AE76" s="6"/>
      <c r="AF76" s="6"/>
      <c r="AG76" s="6"/>
    </row>
    <row r="77" spans="1:33" x14ac:dyDescent="0.25">
      <c r="A77" s="3" t="s">
        <v>60</v>
      </c>
      <c r="B77" s="4" t="s">
        <v>35</v>
      </c>
      <c r="C77" s="5">
        <v>561124.80000000005</v>
      </c>
      <c r="D77" s="5">
        <v>532591.24210526317</v>
      </c>
      <c r="E77" s="5">
        <v>521294.16842105269</v>
      </c>
      <c r="F77" s="5">
        <v>543391.69789473689</v>
      </c>
      <c r="G77" s="5">
        <v>543596.40499999991</v>
      </c>
      <c r="H77" s="5">
        <v>556076.23342105269</v>
      </c>
      <c r="I77" s="5">
        <v>566978.11184210528</v>
      </c>
      <c r="J77" s="5">
        <v>570189.20684210537</v>
      </c>
      <c r="K77" s="5">
        <v>602608.78855263162</v>
      </c>
      <c r="L77" s="5">
        <v>658973.57605263148</v>
      </c>
      <c r="M77" s="5">
        <v>941084.36907894746</v>
      </c>
      <c r="N77" s="5">
        <v>1022305.0972894736</v>
      </c>
      <c r="O77" s="5">
        <v>1041747.5573684211</v>
      </c>
      <c r="P77" s="5">
        <v>1059806.2272368423</v>
      </c>
      <c r="Q77" s="5">
        <v>1058648.6705263159</v>
      </c>
      <c r="R77" s="5">
        <v>1047754.542631579</v>
      </c>
      <c r="S77" s="5">
        <v>1050083.1348684211</v>
      </c>
      <c r="T77" s="5">
        <v>1100255.8315789476</v>
      </c>
      <c r="U77" s="5">
        <v>1083750.1473684211</v>
      </c>
      <c r="V77" s="5">
        <v>744753.42105263169</v>
      </c>
      <c r="W77" s="5">
        <v>721917.85263157892</v>
      </c>
      <c r="X77" s="5">
        <v>695526.94736842113</v>
      </c>
      <c r="Y77" s="5">
        <v>687946.70671052625</v>
      </c>
      <c r="Z77" s="5">
        <v>694703.88789473707</v>
      </c>
      <c r="AA77" s="5">
        <v>702025.28184210532</v>
      </c>
      <c r="AB77" s="5">
        <v>700484.24605263153</v>
      </c>
      <c r="AC77" s="5">
        <v>698994.12631578953</v>
      </c>
      <c r="AD77" s="5">
        <v>698015.68421052629</v>
      </c>
      <c r="AE77" s="5">
        <v>697165.07368421066</v>
      </c>
      <c r="AF77" s="5">
        <v>695231.84210526326</v>
      </c>
      <c r="AG77" s="5">
        <v>694846.97368421056</v>
      </c>
    </row>
    <row r="78" spans="1:33" x14ac:dyDescent="0.25">
      <c r="A78" s="33" t="s">
        <v>61</v>
      </c>
      <c r="B78" s="4" t="s">
        <v>35</v>
      </c>
      <c r="C78" s="6"/>
      <c r="D78" s="6"/>
      <c r="E78" s="6"/>
      <c r="F78" s="6"/>
      <c r="G78" s="6"/>
      <c r="H78" s="6"/>
      <c r="I78" s="5">
        <v>446557.89473684214</v>
      </c>
      <c r="J78" s="5">
        <v>4296645.8376315804</v>
      </c>
      <c r="K78" s="5">
        <v>8653848.9332171045</v>
      </c>
      <c r="L78" s="5">
        <v>9472964.3432565778</v>
      </c>
      <c r="M78" s="5">
        <v>9969764.6401315778</v>
      </c>
      <c r="N78" s="5">
        <v>11421420.585131578</v>
      </c>
      <c r="O78" s="5">
        <v>14807000.41118421</v>
      </c>
      <c r="P78" s="5">
        <v>15355541.628466232</v>
      </c>
      <c r="Q78" s="5">
        <v>15629578.287899122</v>
      </c>
      <c r="R78" s="5">
        <v>14768211.476780705</v>
      </c>
      <c r="S78" s="5">
        <v>15882486.800500002</v>
      </c>
      <c r="T78" s="5">
        <v>15872935.05982895</v>
      </c>
      <c r="U78" s="5">
        <v>12754482.661513159</v>
      </c>
      <c r="V78" s="5">
        <v>14658507.579157896</v>
      </c>
      <c r="W78" s="5">
        <v>14391994.754564211</v>
      </c>
      <c r="X78" s="5">
        <v>15591236.735908311</v>
      </c>
      <c r="Y78" s="5">
        <v>16348175.240884371</v>
      </c>
      <c r="Z78" s="5">
        <v>15564931.569401925</v>
      </c>
      <c r="AA78" s="5">
        <v>15660219.465642683</v>
      </c>
      <c r="AB78" s="5">
        <v>28554096.370062895</v>
      </c>
      <c r="AC78" s="5">
        <v>33718494.137045115</v>
      </c>
      <c r="AD78" s="5">
        <v>32942413.26698659</v>
      </c>
      <c r="AE78" s="5">
        <v>34755971.267729878</v>
      </c>
      <c r="AF78" s="5">
        <v>33157158.944332317</v>
      </c>
      <c r="AG78" s="5">
        <v>31169164.653893046</v>
      </c>
    </row>
    <row r="79" spans="1:33" x14ac:dyDescent="0.25">
      <c r="A79" s="33" t="s">
        <v>61</v>
      </c>
      <c r="B79" s="4" t="s">
        <v>36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5">
        <v>139870.96016120209</v>
      </c>
      <c r="R79" s="5">
        <v>377461.87214871135</v>
      </c>
      <c r="S79" s="5">
        <v>634814.46449504711</v>
      </c>
      <c r="T79" s="5">
        <v>1033940.0555859049</v>
      </c>
      <c r="U79" s="5">
        <v>5003730.1057063155</v>
      </c>
      <c r="V79" s="5">
        <v>5393319.6600022521</v>
      </c>
      <c r="W79" s="5">
        <v>5003570.7643318735</v>
      </c>
      <c r="X79" s="5">
        <v>8445039.9039260466</v>
      </c>
      <c r="Y79" s="5">
        <v>8068490.5486219293</v>
      </c>
      <c r="Z79" s="5">
        <v>8697353.9788537379</v>
      </c>
      <c r="AA79" s="5">
        <v>8639301.968057204</v>
      </c>
      <c r="AB79" s="5">
        <v>8865939.5842496864</v>
      </c>
      <c r="AC79" s="5">
        <v>13281006.095277458</v>
      </c>
      <c r="AD79" s="5">
        <v>15657630.555437675</v>
      </c>
      <c r="AE79" s="5">
        <v>14215990.148257401</v>
      </c>
      <c r="AF79" s="5">
        <v>7927817.931441986</v>
      </c>
      <c r="AG79" s="5">
        <v>9024207.2250826061</v>
      </c>
    </row>
    <row r="80" spans="1:33" x14ac:dyDescent="0.25">
      <c r="A80" s="33" t="s">
        <v>61</v>
      </c>
      <c r="B80" s="4" t="s">
        <v>37</v>
      </c>
      <c r="C80" s="6"/>
      <c r="D80" s="6"/>
      <c r="E80" s="6"/>
      <c r="F80" s="6"/>
      <c r="G80" s="6"/>
      <c r="H80" s="6"/>
      <c r="I80" s="6"/>
      <c r="J80" s="6"/>
      <c r="K80" s="5">
        <v>9436.6315789473701</v>
      </c>
      <c r="L80" s="5">
        <v>15032.895438596493</v>
      </c>
      <c r="M80" s="5">
        <v>7007.8355259009822</v>
      </c>
      <c r="N80" s="5">
        <v>15317.590603642133</v>
      </c>
      <c r="O80" s="5">
        <v>60837.389938961685</v>
      </c>
      <c r="P80" s="5">
        <v>181340.93608095459</v>
      </c>
      <c r="Q80" s="5">
        <v>210053.61214095791</v>
      </c>
      <c r="R80" s="5">
        <v>137191.64856855388</v>
      </c>
      <c r="S80" s="5">
        <v>910842.80655662459</v>
      </c>
      <c r="T80" s="5">
        <v>1453860.7833781394</v>
      </c>
      <c r="U80" s="5">
        <v>1955986.5923506632</v>
      </c>
      <c r="V80" s="5">
        <v>4882640.8411827162</v>
      </c>
      <c r="W80" s="5">
        <v>7008411.0878719818</v>
      </c>
      <c r="X80" s="5">
        <v>10543169.817411173</v>
      </c>
      <c r="Y80" s="5">
        <v>10711344.3137183</v>
      </c>
      <c r="Z80" s="5">
        <v>18762622.634339523</v>
      </c>
      <c r="AA80" s="5">
        <v>64210185.424088508</v>
      </c>
      <c r="AB80" s="5">
        <v>83804665.617757857</v>
      </c>
      <c r="AC80" s="5">
        <v>51422767.638681434</v>
      </c>
      <c r="AD80" s="5">
        <v>26579344.119758602</v>
      </c>
      <c r="AE80" s="5">
        <v>28152444.048961874</v>
      </c>
      <c r="AF80" s="5">
        <v>25802648.935285345</v>
      </c>
      <c r="AG80" s="5">
        <v>26014337.772836529</v>
      </c>
    </row>
    <row r="81" spans="1:33" x14ac:dyDescent="0.25">
      <c r="A81" s="33" t="s">
        <v>61</v>
      </c>
      <c r="B81" s="4" t="s">
        <v>38</v>
      </c>
      <c r="C81" s="6"/>
      <c r="D81" s="6"/>
      <c r="E81" s="6"/>
      <c r="F81" s="6"/>
      <c r="G81" s="6"/>
      <c r="H81" s="6"/>
      <c r="I81" s="6"/>
      <c r="J81" s="6"/>
      <c r="K81" s="5">
        <v>17468.640000000003</v>
      </c>
      <c r="L81" s="5">
        <v>269662.28947368427</v>
      </c>
      <c r="M81" s="5">
        <v>861907.65159210528</v>
      </c>
      <c r="N81" s="5">
        <v>1530496.215394737</v>
      </c>
      <c r="O81" s="5">
        <v>3653356.0327368416</v>
      </c>
      <c r="P81" s="5">
        <v>4548949.1269473685</v>
      </c>
      <c r="Q81" s="5">
        <v>8128504.222752193</v>
      </c>
      <c r="R81" s="5">
        <v>9860624.6670482457</v>
      </c>
      <c r="S81" s="5">
        <v>9083598.0927105267</v>
      </c>
      <c r="T81" s="5">
        <v>12091056.636588642</v>
      </c>
      <c r="U81" s="5">
        <v>12235508.641478872</v>
      </c>
      <c r="V81" s="5">
        <v>11498979.700948404</v>
      </c>
      <c r="W81" s="5">
        <v>14555427.730167415</v>
      </c>
      <c r="X81" s="5">
        <v>14992957.873918848</v>
      </c>
      <c r="Y81" s="5">
        <v>14515697.776637636</v>
      </c>
      <c r="Z81" s="5">
        <v>15274861.438457089</v>
      </c>
      <c r="AA81" s="5">
        <v>19450738.65157653</v>
      </c>
      <c r="AB81" s="5">
        <v>20205254.095708884</v>
      </c>
      <c r="AC81" s="5">
        <v>24108466.596648775</v>
      </c>
      <c r="AD81" s="5">
        <v>21060275.464883566</v>
      </c>
      <c r="AE81" s="5">
        <v>21621711.183778867</v>
      </c>
      <c r="AF81" s="5">
        <v>21528955.833815135</v>
      </c>
      <c r="AG81" s="5">
        <v>21218834.523721006</v>
      </c>
    </row>
    <row r="82" spans="1:33" x14ac:dyDescent="0.25">
      <c r="A82" s="33" t="s">
        <v>62</v>
      </c>
      <c r="B82" s="4" t="s">
        <v>35</v>
      </c>
      <c r="C82" s="5">
        <v>55518.378947368423</v>
      </c>
      <c r="D82" s="5">
        <v>56910.60552631579</v>
      </c>
      <c r="E82" s="5">
        <v>57783.395526315784</v>
      </c>
      <c r="F82" s="5">
        <v>395332.38631578948</v>
      </c>
      <c r="G82" s="5">
        <v>506468.16336842102</v>
      </c>
      <c r="H82" s="5">
        <v>495253.11263157893</v>
      </c>
      <c r="I82" s="5">
        <v>509710.24000000011</v>
      </c>
      <c r="J82" s="5">
        <v>524309.71697368426</v>
      </c>
      <c r="K82" s="5">
        <v>543013.24644736841</v>
      </c>
      <c r="L82" s="5">
        <v>562661.59342105268</v>
      </c>
      <c r="M82" s="5">
        <v>776791.3835526316</v>
      </c>
      <c r="N82" s="5">
        <v>813972.63573684206</v>
      </c>
      <c r="O82" s="5">
        <v>791760.32697368413</v>
      </c>
      <c r="P82" s="5">
        <v>800477.0222368422</v>
      </c>
      <c r="Q82" s="5">
        <v>4887115.855488304</v>
      </c>
      <c r="R82" s="5">
        <v>4838427.2984356722</v>
      </c>
      <c r="S82" s="5">
        <v>7111810.0572716855</v>
      </c>
      <c r="T82" s="5">
        <v>1139786.4496016083</v>
      </c>
      <c r="U82" s="5">
        <v>1031556.8994473685</v>
      </c>
      <c r="V82" s="5">
        <v>3444169.042412281</v>
      </c>
      <c r="W82" s="5">
        <v>1017643.1884064327</v>
      </c>
      <c r="X82" s="5">
        <v>1226599.1622368421</v>
      </c>
      <c r="Y82" s="5">
        <v>1324225.6030263158</v>
      </c>
      <c r="Z82" s="5">
        <v>1312382.8061286549</v>
      </c>
      <c r="AA82" s="5">
        <v>1294761.9757514622</v>
      </c>
      <c r="AB82" s="5">
        <v>23117258.169137426</v>
      </c>
      <c r="AC82" s="5">
        <v>25089409.035687134</v>
      </c>
      <c r="AD82" s="5">
        <v>24819659.477748543</v>
      </c>
      <c r="AE82" s="5">
        <v>24831660.574736845</v>
      </c>
      <c r="AF82" s="5">
        <v>24640745.64824561</v>
      </c>
      <c r="AG82" s="5">
        <v>24485113.215146199</v>
      </c>
    </row>
    <row r="83" spans="1:33" x14ac:dyDescent="0.25">
      <c r="A83" s="33" t="s">
        <v>62</v>
      </c>
      <c r="B83" s="4" t="s">
        <v>36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5">
        <v>182557.13333333333</v>
      </c>
      <c r="R83" s="5">
        <v>5620505.9978278894</v>
      </c>
      <c r="S83" s="5">
        <v>11783969.180088207</v>
      </c>
      <c r="T83" s="5">
        <v>13589576.469758771</v>
      </c>
      <c r="U83" s="5">
        <v>17163411.37971082</v>
      </c>
      <c r="V83" s="5">
        <v>30497092.228841811</v>
      </c>
      <c r="W83" s="5">
        <v>28965671.401765205</v>
      </c>
      <c r="X83" s="5">
        <v>21892027.229093567</v>
      </c>
      <c r="Y83" s="5">
        <v>35370385.876893371</v>
      </c>
      <c r="Z83" s="5">
        <v>43383048.320546925</v>
      </c>
      <c r="AA83" s="5">
        <v>44168092.629186407</v>
      </c>
      <c r="AB83" s="5">
        <v>44456827.613713443</v>
      </c>
      <c r="AC83" s="5">
        <v>42173052.10508772</v>
      </c>
      <c r="AD83" s="5">
        <v>39813928.575233921</v>
      </c>
      <c r="AE83" s="5">
        <v>40842161.270321637</v>
      </c>
      <c r="AF83" s="5">
        <v>41967858.645906433</v>
      </c>
      <c r="AG83" s="5">
        <v>42986086.185204685</v>
      </c>
    </row>
    <row r="84" spans="1:33" x14ac:dyDescent="0.25">
      <c r="A84" s="33" t="s">
        <v>62</v>
      </c>
      <c r="B84" s="4" t="s">
        <v>37</v>
      </c>
      <c r="C84" s="6"/>
      <c r="D84" s="6"/>
      <c r="E84" s="6"/>
      <c r="F84" s="6"/>
      <c r="G84" s="6"/>
      <c r="H84" s="6"/>
      <c r="I84" s="5">
        <v>538568.79999999993</v>
      </c>
      <c r="J84" s="5">
        <v>572237.67999999993</v>
      </c>
      <c r="K84" s="5">
        <v>1564054.0750000002</v>
      </c>
      <c r="L84" s="5">
        <v>1802422.5724999998</v>
      </c>
      <c r="M84" s="5">
        <v>1596326.35</v>
      </c>
      <c r="N84" s="5">
        <v>1432203.1749999998</v>
      </c>
      <c r="O84" s="5">
        <v>1193206.3599999999</v>
      </c>
      <c r="P84" s="5">
        <v>1051750.0339473682</v>
      </c>
      <c r="Q84" s="5">
        <v>655606.60476973676</v>
      </c>
      <c r="R84" s="5">
        <v>8514221.2337691579</v>
      </c>
      <c r="S84" s="5">
        <v>33776311.026784837</v>
      </c>
      <c r="T84" s="5">
        <v>38078979.373506568</v>
      </c>
      <c r="U84" s="5">
        <v>47893109.394889772</v>
      </c>
      <c r="V84" s="5">
        <v>51577086.674560592</v>
      </c>
      <c r="W84" s="5">
        <v>50891906.879412338</v>
      </c>
      <c r="X84" s="5">
        <v>61887019.618393153</v>
      </c>
      <c r="Y84" s="5">
        <v>76540581.274003521</v>
      </c>
      <c r="Z84" s="5">
        <v>87435209.820910603</v>
      </c>
      <c r="AA84" s="5">
        <v>86151311.958397955</v>
      </c>
      <c r="AB84" s="5">
        <v>85634774.521221012</v>
      </c>
      <c r="AC84" s="5">
        <v>86020716.870259404</v>
      </c>
      <c r="AD84" s="5">
        <v>90723780.496778741</v>
      </c>
      <c r="AE84" s="5">
        <v>87674087.28501597</v>
      </c>
      <c r="AF84" s="5">
        <v>88839418.959161595</v>
      </c>
      <c r="AG84" s="5">
        <v>89969889.638869569</v>
      </c>
    </row>
    <row r="85" spans="1:33" x14ac:dyDescent="0.25">
      <c r="A85" s="33" t="s">
        <v>62</v>
      </c>
      <c r="B85" s="4" t="s">
        <v>38</v>
      </c>
      <c r="C85" s="5">
        <v>105222.15789473685</v>
      </c>
      <c r="D85" s="5">
        <v>105085.37960526315</v>
      </c>
      <c r="E85" s="5">
        <v>106146.59</v>
      </c>
      <c r="F85" s="5">
        <v>104415.89605263158</v>
      </c>
      <c r="G85" s="5">
        <v>105743.27500000001</v>
      </c>
      <c r="H85" s="5">
        <v>102945.34736842105</v>
      </c>
      <c r="I85" s="5">
        <v>97843</v>
      </c>
      <c r="J85" s="5">
        <v>94981.389473684219</v>
      </c>
      <c r="K85" s="5">
        <v>3161613.5915789483</v>
      </c>
      <c r="L85" s="5">
        <v>4258341.0902894735</v>
      </c>
      <c r="M85" s="5">
        <v>3868170.2736842111</v>
      </c>
      <c r="N85" s="5">
        <v>3992841.5323684216</v>
      </c>
      <c r="O85" s="5">
        <v>9214307.6935731005</v>
      </c>
      <c r="P85" s="5">
        <v>11307389.241052631</v>
      </c>
      <c r="Q85" s="5">
        <v>9527038.9172631595</v>
      </c>
      <c r="R85" s="5">
        <v>28504386.496518761</v>
      </c>
      <c r="S85" s="5">
        <v>33372505.330993675</v>
      </c>
      <c r="T85" s="5">
        <v>40238751.832298979</v>
      </c>
      <c r="U85" s="5">
        <v>37634609.165202782</v>
      </c>
      <c r="V85" s="5">
        <v>36346521.48611635</v>
      </c>
      <c r="W85" s="5">
        <v>49096057.185464919</v>
      </c>
      <c r="X85" s="5">
        <v>50672488.046997085</v>
      </c>
      <c r="Y85" s="5">
        <v>43786713.82157895</v>
      </c>
      <c r="Z85" s="5">
        <v>44048834.602488309</v>
      </c>
      <c r="AA85" s="5">
        <v>52421959.98148866</v>
      </c>
      <c r="AB85" s="5">
        <v>34387698.018916056</v>
      </c>
      <c r="AC85" s="5">
        <v>37520795.787243783</v>
      </c>
      <c r="AD85" s="5">
        <v>37932097.460748538</v>
      </c>
      <c r="AE85" s="5">
        <v>42482033.02948831</v>
      </c>
      <c r="AF85" s="5">
        <v>42788148.036552623</v>
      </c>
      <c r="AG85" s="5">
        <v>43092807.72445029</v>
      </c>
    </row>
    <row r="86" spans="1:33" x14ac:dyDescent="0.25">
      <c r="A86" s="33" t="s">
        <v>63</v>
      </c>
      <c r="B86" s="4" t="s">
        <v>35</v>
      </c>
      <c r="C86" s="5">
        <v>3590994.1894736839</v>
      </c>
      <c r="D86" s="5">
        <v>3674480.16</v>
      </c>
      <c r="E86" s="5">
        <v>3629796.2105263164</v>
      </c>
      <c r="F86" s="5">
        <v>6746545.3745356053</v>
      </c>
      <c r="G86" s="5">
        <v>6772647.1199845197</v>
      </c>
      <c r="H86" s="5">
        <v>6640265.9328482961</v>
      </c>
      <c r="I86" s="5">
        <v>6458114.823529413</v>
      </c>
      <c r="J86" s="5">
        <v>6292860.9455108372</v>
      </c>
      <c r="K86" s="5">
        <v>6155760.4001393188</v>
      </c>
      <c r="L86" s="5">
        <v>6071956.6753173368</v>
      </c>
      <c r="M86" s="5">
        <v>6041098.6623993805</v>
      </c>
      <c r="N86" s="5">
        <v>6016512.5324922595</v>
      </c>
      <c r="O86" s="5">
        <v>5982624.6297058817</v>
      </c>
      <c r="P86" s="5">
        <v>5804832.8988235295</v>
      </c>
      <c r="Q86" s="5">
        <v>5827429.504047988</v>
      </c>
      <c r="R86" s="5">
        <v>5641743.1616099076</v>
      </c>
      <c r="S86" s="5">
        <v>5586289.3005572753</v>
      </c>
      <c r="T86" s="5">
        <v>5535339.7459907122</v>
      </c>
      <c r="U86" s="5">
        <v>5381773.6792879254</v>
      </c>
      <c r="V86" s="5">
        <v>5172764.9574071215</v>
      </c>
      <c r="W86" s="5">
        <v>5042284.1718885452</v>
      </c>
      <c r="X86" s="5">
        <v>4830577.5702786371</v>
      </c>
      <c r="Y86" s="5">
        <v>4712713.6593111465</v>
      </c>
      <c r="Z86" s="5">
        <v>4672687.7501160996</v>
      </c>
      <c r="AA86" s="5">
        <v>4596422.1545975236</v>
      </c>
      <c r="AB86" s="5">
        <v>26502605.993599072</v>
      </c>
      <c r="AC86" s="5">
        <v>27173589.7351548</v>
      </c>
      <c r="AD86" s="5">
        <v>26907560.51889319</v>
      </c>
      <c r="AE86" s="5">
        <v>26642508.558366872</v>
      </c>
      <c r="AF86" s="5">
        <v>26409411.517647061</v>
      </c>
      <c r="AG86" s="5">
        <v>26223826.190433443</v>
      </c>
    </row>
    <row r="87" spans="1:33" x14ac:dyDescent="0.25">
      <c r="A87" s="33" t="s">
        <v>63</v>
      </c>
      <c r="B87" s="4" t="s">
        <v>36</v>
      </c>
      <c r="C87" s="5">
        <v>33075889.888888892</v>
      </c>
      <c r="D87" s="6"/>
      <c r="E87" s="6"/>
      <c r="F87" s="6"/>
      <c r="G87" s="6"/>
      <c r="H87" s="6"/>
      <c r="I87" s="5">
        <v>10831104.10111111</v>
      </c>
      <c r="J87" s="5">
        <v>14480308.44607516</v>
      </c>
      <c r="K87" s="5">
        <v>15950535.835264711</v>
      </c>
      <c r="L87" s="5">
        <v>431241.69466911769</v>
      </c>
      <c r="M87" s="5">
        <v>396213.9388235294</v>
      </c>
      <c r="N87" s="5">
        <v>400525.81705882354</v>
      </c>
      <c r="O87" s="5">
        <v>387669.78823529411</v>
      </c>
      <c r="P87" s="5">
        <v>398330.28223529411</v>
      </c>
      <c r="Q87" s="5">
        <v>397084.51135294116</v>
      </c>
      <c r="R87" s="5">
        <v>384054.45000000007</v>
      </c>
      <c r="S87" s="5">
        <v>14806394.531142456</v>
      </c>
      <c r="T87" s="5">
        <v>659696.90835294116</v>
      </c>
      <c r="U87" s="5">
        <v>630157.3125</v>
      </c>
      <c r="V87" s="5">
        <v>634033.90514705889</v>
      </c>
      <c r="W87" s="5">
        <v>600649.02352941176</v>
      </c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33" t="s">
        <v>63</v>
      </c>
      <c r="B88" s="4" t="s">
        <v>37</v>
      </c>
      <c r="C88" s="6"/>
      <c r="D88" s="5">
        <v>32257172.638888888</v>
      </c>
      <c r="E88" s="5">
        <v>31243423.000000004</v>
      </c>
      <c r="F88" s="5">
        <v>30175206.722222224</v>
      </c>
      <c r="G88" s="5">
        <v>29127337.583333336</v>
      </c>
      <c r="H88" s="5">
        <v>28002579.333333336</v>
      </c>
      <c r="I88" s="5">
        <v>27137676.416666668</v>
      </c>
      <c r="J88" s="5">
        <v>26672576.361111112</v>
      </c>
      <c r="K88" s="5">
        <v>34086826.652631581</v>
      </c>
      <c r="L88" s="5">
        <v>55535781.067570359</v>
      </c>
      <c r="M88" s="5">
        <v>59896679.202161342</v>
      </c>
      <c r="N88" s="5">
        <v>57112130.630972147</v>
      </c>
      <c r="O88" s="5">
        <v>19527092.401110295</v>
      </c>
      <c r="P88" s="5">
        <v>23192962.707016349</v>
      </c>
      <c r="Q88" s="5">
        <v>24426281.234383173</v>
      </c>
      <c r="R88" s="5">
        <v>27287406.170332022</v>
      </c>
      <c r="S88" s="5">
        <v>38271712.763941988</v>
      </c>
      <c r="T88" s="5">
        <v>55690775.024539083</v>
      </c>
      <c r="U88" s="5">
        <v>41640481.36732173</v>
      </c>
      <c r="V88" s="5">
        <v>46566632.927516848</v>
      </c>
      <c r="W88" s="5">
        <v>42238536.939629555</v>
      </c>
      <c r="X88" s="5">
        <v>41808660.28264612</v>
      </c>
      <c r="Y88" s="5">
        <v>52213126.513709977</v>
      </c>
      <c r="Z88" s="5">
        <v>42543993.798452042</v>
      </c>
      <c r="AA88" s="5">
        <v>42706383.259538174</v>
      </c>
      <c r="AB88" s="5">
        <v>63597569.223447792</v>
      </c>
      <c r="AC88" s="5">
        <v>40711273.447253115</v>
      </c>
      <c r="AD88" s="5">
        <v>40812995.545628145</v>
      </c>
      <c r="AE88" s="5">
        <v>38756276.293801516</v>
      </c>
      <c r="AF88" s="5">
        <v>39099694.456401616</v>
      </c>
      <c r="AG88" s="5">
        <v>38913109.206510134</v>
      </c>
    </row>
    <row r="89" spans="1:33" x14ac:dyDescent="0.25">
      <c r="A89" s="33" t="s">
        <v>63</v>
      </c>
      <c r="B89" s="4" t="s">
        <v>38</v>
      </c>
      <c r="C89" s="5">
        <v>1394824.2538699692</v>
      </c>
      <c r="D89" s="5">
        <v>2585231.6863931888</v>
      </c>
      <c r="E89" s="5">
        <v>3472336.2039705887</v>
      </c>
      <c r="F89" s="6"/>
      <c r="G89" s="6"/>
      <c r="H89" s="6"/>
      <c r="I89" s="6"/>
      <c r="J89" s="6"/>
      <c r="K89" s="6"/>
      <c r="L89" s="6"/>
      <c r="M89" s="6"/>
      <c r="N89" s="6"/>
      <c r="O89" s="5">
        <v>37789325.848421052</v>
      </c>
      <c r="P89" s="5">
        <v>37947813.607763164</v>
      </c>
      <c r="Q89" s="5">
        <v>39881295.550092116</v>
      </c>
      <c r="R89" s="5">
        <v>39815869.390263163</v>
      </c>
      <c r="S89" s="5">
        <v>40362339.917210527</v>
      </c>
      <c r="T89" s="5">
        <v>40329119.253157891</v>
      </c>
      <c r="U89" s="5">
        <v>38392797.14434211</v>
      </c>
      <c r="V89" s="5">
        <v>36787278.371842109</v>
      </c>
      <c r="W89" s="5">
        <v>34079637.084210522</v>
      </c>
      <c r="X89" s="5">
        <v>29879068.391973689</v>
      </c>
      <c r="Y89" s="5">
        <v>27359730.041578945</v>
      </c>
      <c r="Z89" s="5">
        <v>25296329.037368424</v>
      </c>
      <c r="AA89" s="5">
        <v>24495184.306368422</v>
      </c>
      <c r="AB89" s="5">
        <v>7008198.675042104</v>
      </c>
      <c r="AC89" s="5">
        <v>6003831.432826316</v>
      </c>
      <c r="AD89" s="5">
        <v>6332230.5975091327</v>
      </c>
      <c r="AE89" s="5">
        <v>8268308.0332235293</v>
      </c>
      <c r="AF89" s="5">
        <v>8294942.8078565011</v>
      </c>
      <c r="AG89" s="5">
        <v>8318128.2670879252</v>
      </c>
    </row>
    <row r="90" spans="1:33" x14ac:dyDescent="0.25">
      <c r="A90" s="34" t="s">
        <v>64</v>
      </c>
      <c r="B90" s="4" t="s">
        <v>34</v>
      </c>
      <c r="C90" s="5">
        <v>325963.7</v>
      </c>
      <c r="D90" s="5">
        <v>337312.59000000008</v>
      </c>
      <c r="E90" s="5">
        <v>346581.58</v>
      </c>
      <c r="F90" s="5">
        <v>320118.86499999999</v>
      </c>
      <c r="G90" s="5">
        <v>321394.82500000007</v>
      </c>
      <c r="H90" s="5">
        <v>322705.45333333331</v>
      </c>
      <c r="I90" s="5">
        <v>323674.3066666667</v>
      </c>
      <c r="J90" s="5">
        <v>329833.59333333332</v>
      </c>
      <c r="K90" s="5">
        <v>344012.94166666665</v>
      </c>
      <c r="L90" s="5">
        <v>359926.22333333339</v>
      </c>
      <c r="M90" s="5">
        <v>375681.76666666666</v>
      </c>
      <c r="N90" s="5">
        <v>395653.82666666666</v>
      </c>
      <c r="O90" s="5">
        <v>398956.74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35" t="s">
        <v>64</v>
      </c>
      <c r="B91" s="4" t="s">
        <v>35</v>
      </c>
      <c r="C91" s="6"/>
      <c r="D91" s="6"/>
      <c r="E91" s="6"/>
      <c r="F91" s="6"/>
      <c r="G91" s="6"/>
      <c r="H91" s="6"/>
      <c r="I91" s="5">
        <v>562295</v>
      </c>
      <c r="J91" s="5">
        <v>601719.39223684208</v>
      </c>
      <c r="K91" s="5">
        <v>625670.500263158</v>
      </c>
      <c r="L91" s="5">
        <v>833880.01941520465</v>
      </c>
      <c r="M91" s="5">
        <v>684114.94807017548</v>
      </c>
      <c r="N91" s="5">
        <v>696266.80157894734</v>
      </c>
      <c r="O91" s="5">
        <v>892936.02760233928</v>
      </c>
      <c r="P91" s="5">
        <v>705536.03302631585</v>
      </c>
      <c r="Q91" s="5">
        <v>704388.12666666671</v>
      </c>
      <c r="R91" s="5">
        <v>695782.89649122814</v>
      </c>
      <c r="S91" s="5">
        <v>890776.09650584799</v>
      </c>
      <c r="T91" s="5">
        <v>640773.72631578939</v>
      </c>
      <c r="U91" s="5">
        <v>670467.96868421056</v>
      </c>
      <c r="V91" s="5">
        <v>652126</v>
      </c>
      <c r="W91" s="5">
        <v>661870.07499999995</v>
      </c>
      <c r="X91" s="5">
        <v>657848.21052631584</v>
      </c>
      <c r="Y91" s="5">
        <v>638321.45263157901</v>
      </c>
      <c r="Z91" s="5">
        <v>627877.74736842106</v>
      </c>
      <c r="AA91" s="5">
        <v>620308.02105263155</v>
      </c>
      <c r="AB91" s="5">
        <v>613473.81052631582</v>
      </c>
      <c r="AC91" s="5">
        <v>606713.87368421047</v>
      </c>
      <c r="AD91" s="5">
        <v>602194.52631578955</v>
      </c>
      <c r="AE91" s="5">
        <v>598622.16842105263</v>
      </c>
      <c r="AF91" s="5">
        <v>595441.81052631582</v>
      </c>
      <c r="AG91" s="5">
        <v>593298.1894736843</v>
      </c>
    </row>
    <row r="92" spans="1:33" x14ac:dyDescent="0.25">
      <c r="A92" s="35" t="s">
        <v>64</v>
      </c>
      <c r="B92" s="4" t="s">
        <v>36</v>
      </c>
      <c r="C92" s="5">
        <v>63561707.965789467</v>
      </c>
      <c r="D92" s="5">
        <v>65863053.273893073</v>
      </c>
      <c r="E92" s="5">
        <v>66234989.922550134</v>
      </c>
      <c r="F92" s="5">
        <v>70545807.873809546</v>
      </c>
      <c r="G92" s="5">
        <v>74569462.843809545</v>
      </c>
      <c r="H92" s="5">
        <v>72218159.419714302</v>
      </c>
      <c r="I92" s="5">
        <v>75752536.050555557</v>
      </c>
      <c r="J92" s="5">
        <v>75573263.437190473</v>
      </c>
      <c r="K92" s="5">
        <v>99140522.213690475</v>
      </c>
      <c r="L92" s="5">
        <v>58385336.67638889</v>
      </c>
      <c r="M92" s="5">
        <v>46905841.042500004</v>
      </c>
      <c r="N92" s="5">
        <v>37625576.465833336</v>
      </c>
      <c r="O92" s="5">
        <v>38086070.625833333</v>
      </c>
      <c r="P92" s="5">
        <v>38514086.284999996</v>
      </c>
      <c r="Q92" s="5">
        <v>34224620.659388885</v>
      </c>
      <c r="R92" s="5">
        <v>59441116.366972223</v>
      </c>
      <c r="S92" s="5">
        <v>76295809.639027774</v>
      </c>
      <c r="T92" s="5">
        <v>51515829.43805556</v>
      </c>
      <c r="U92" s="5">
        <v>36648358.946309522</v>
      </c>
      <c r="V92" s="5">
        <v>50476128.047555558</v>
      </c>
      <c r="W92" s="5">
        <v>43812590.749904767</v>
      </c>
      <c r="X92" s="5">
        <v>29085303.184087306</v>
      </c>
      <c r="Y92" s="5">
        <v>55790516.942974597</v>
      </c>
      <c r="Z92" s="5">
        <v>71801071.94883801</v>
      </c>
      <c r="AA92" s="7">
        <v>32068650.697210319</v>
      </c>
      <c r="AB92" s="7">
        <v>48376248.114642859</v>
      </c>
      <c r="AC92" s="7">
        <v>11006234.9114444</v>
      </c>
      <c r="AD92" s="7">
        <v>5751303.3239285704</v>
      </c>
      <c r="AE92" s="7">
        <v>829582.93499999994</v>
      </c>
      <c r="AF92" s="7">
        <v>854456.60285714292</v>
      </c>
      <c r="AG92" s="7">
        <v>882693.01642857143</v>
      </c>
    </row>
    <row r="93" spans="1:33" x14ac:dyDescent="0.25">
      <c r="A93" s="35" t="s">
        <v>64</v>
      </c>
      <c r="B93" s="4" t="s">
        <v>37</v>
      </c>
      <c r="C93" s="5">
        <v>15018551.081432749</v>
      </c>
      <c r="D93" s="5">
        <v>15818268.085837509</v>
      </c>
      <c r="E93" s="5">
        <v>13031762.687301587</v>
      </c>
      <c r="F93" s="5">
        <v>16078056.871171679</v>
      </c>
      <c r="G93" s="5">
        <v>11582615.925975878</v>
      </c>
      <c r="H93" s="5">
        <v>17930763.596502192</v>
      </c>
      <c r="I93" s="5">
        <v>15664408.557</v>
      </c>
      <c r="J93" s="5">
        <v>19852278.953000002</v>
      </c>
      <c r="K93" s="5">
        <v>21254444.125666667</v>
      </c>
      <c r="L93" s="5">
        <v>51794488.757761911</v>
      </c>
      <c r="M93" s="5">
        <v>77873446.426769823</v>
      </c>
      <c r="N93" s="5">
        <v>108785929.12947619</v>
      </c>
      <c r="O93" s="5">
        <v>87849289.707380965</v>
      </c>
      <c r="P93" s="5">
        <v>108896399.27525696</v>
      </c>
      <c r="Q93" s="5">
        <v>91757360.208877981</v>
      </c>
      <c r="R93" s="5">
        <v>153585859.93655854</v>
      </c>
      <c r="S93" s="5">
        <v>120839231.11287402</v>
      </c>
      <c r="T93" s="5">
        <v>142537503.40782541</v>
      </c>
      <c r="U93" s="5">
        <v>115561116.06258729</v>
      </c>
      <c r="V93" s="5">
        <v>70545562.309468254</v>
      </c>
      <c r="W93" s="5">
        <v>34562150.773580551</v>
      </c>
      <c r="X93" s="5">
        <v>33680395.710144445</v>
      </c>
      <c r="Y93" s="5">
        <v>48814949.765555553</v>
      </c>
      <c r="Z93" s="5">
        <v>18409145.217500001</v>
      </c>
      <c r="AA93" s="5">
        <v>37130706.397341274</v>
      </c>
      <c r="AB93" s="5">
        <v>37845517.91190476</v>
      </c>
      <c r="AC93" s="5">
        <v>9937258.7055952381</v>
      </c>
      <c r="AD93" s="5">
        <v>6686267.018571429</v>
      </c>
      <c r="AE93" s="5">
        <v>70126.46666666666</v>
      </c>
      <c r="AF93" s="5">
        <v>69021.516666666677</v>
      </c>
      <c r="AG93" s="5">
        <v>68866.200000000012</v>
      </c>
    </row>
    <row r="94" spans="1:33" x14ac:dyDescent="0.25">
      <c r="A94" s="36" t="s">
        <v>64</v>
      </c>
      <c r="B94" s="4" t="s">
        <v>38</v>
      </c>
      <c r="C94" s="5">
        <v>2008557.9429824562</v>
      </c>
      <c r="D94" s="5">
        <v>2183673.2371929823</v>
      </c>
      <c r="E94" s="5">
        <v>4397460.5139035089</v>
      </c>
      <c r="F94" s="5">
        <v>735387.05684210535</v>
      </c>
      <c r="G94" s="5">
        <v>742574.29855263163</v>
      </c>
      <c r="H94" s="5">
        <v>744802.72359649127</v>
      </c>
      <c r="I94" s="5">
        <v>1811085.3882236844</v>
      </c>
      <c r="J94" s="5">
        <v>1995710.8644444444</v>
      </c>
      <c r="K94" s="5">
        <v>2031051.1835416667</v>
      </c>
      <c r="L94" s="5">
        <v>2243097.3744846494</v>
      </c>
      <c r="M94" s="5">
        <v>4440585.3858771939</v>
      </c>
      <c r="N94" s="5">
        <v>4625763.3683442986</v>
      </c>
      <c r="O94" s="5">
        <v>5134087.3332456145</v>
      </c>
      <c r="P94" s="5">
        <v>6297681.9771198835</v>
      </c>
      <c r="Q94" s="5">
        <v>7953633.9973026318</v>
      </c>
      <c r="R94" s="5">
        <v>10306021.102850879</v>
      </c>
      <c r="S94" s="5">
        <v>8638185.6196140368</v>
      </c>
      <c r="T94" s="5">
        <v>11710584.125138888</v>
      </c>
      <c r="U94" s="5">
        <v>4080170.0152083337</v>
      </c>
      <c r="V94" s="5">
        <v>6375677.2498574574</v>
      </c>
      <c r="W94" s="5">
        <v>4484053.1977777779</v>
      </c>
      <c r="X94" s="5">
        <v>10222643.776964284</v>
      </c>
      <c r="Y94" s="5">
        <v>6104607.2813304085</v>
      </c>
      <c r="Z94" s="5">
        <v>4705717.4614682542</v>
      </c>
      <c r="AA94" s="5">
        <v>4469390.840119048</v>
      </c>
      <c r="AB94" s="5">
        <v>13908265.073760442</v>
      </c>
      <c r="AC94" s="5">
        <v>6883393.9590972234</v>
      </c>
      <c r="AD94" s="5">
        <v>6767920.4044742063</v>
      </c>
      <c r="AE94" s="5">
        <v>10915801.070745613</v>
      </c>
      <c r="AF94" s="5">
        <v>15041022.458750002</v>
      </c>
      <c r="AG94" s="5">
        <v>9727462.9341666661</v>
      </c>
    </row>
    <row r="95" spans="1:33" x14ac:dyDescent="0.25">
      <c r="A95" s="33" t="s">
        <v>65</v>
      </c>
      <c r="B95" s="4" t="s">
        <v>34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5">
        <v>500000</v>
      </c>
      <c r="X95" s="5">
        <v>500000</v>
      </c>
      <c r="Y95" s="5">
        <v>500000</v>
      </c>
      <c r="Z95" s="5">
        <v>500000</v>
      </c>
      <c r="AA95" s="5">
        <v>500000</v>
      </c>
      <c r="AB95" s="5">
        <v>500000</v>
      </c>
      <c r="AC95" s="5">
        <v>500000</v>
      </c>
      <c r="AD95" s="5">
        <v>500000</v>
      </c>
      <c r="AE95" s="5">
        <v>500000</v>
      </c>
      <c r="AF95" s="5">
        <v>500000</v>
      </c>
      <c r="AG95" s="5">
        <v>500000</v>
      </c>
    </row>
    <row r="96" spans="1:33" x14ac:dyDescent="0.25">
      <c r="A96" s="33" t="s">
        <v>65</v>
      </c>
      <c r="B96" s="4" t="s">
        <v>36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5">
        <v>17696390.555555556</v>
      </c>
      <c r="N96" s="5">
        <v>17721467.777777776</v>
      </c>
      <c r="O96" s="5">
        <v>8703411.1111111119</v>
      </c>
      <c r="P96" s="5">
        <v>26868697.555555556</v>
      </c>
      <c r="Q96" s="5">
        <v>28597586.077777781</v>
      </c>
      <c r="R96" s="5">
        <v>29271307.78888889</v>
      </c>
      <c r="S96" s="5">
        <v>17003415.622222222</v>
      </c>
      <c r="T96" s="5">
        <v>34173431.612777777</v>
      </c>
      <c r="U96" s="5">
        <v>16035781.65878889</v>
      </c>
      <c r="V96" s="5">
        <v>13212896.608072221</v>
      </c>
      <c r="W96" s="5">
        <v>4524175.2193333339</v>
      </c>
      <c r="X96" s="5">
        <v>9417144.9027500004</v>
      </c>
      <c r="Y96" s="5">
        <v>32523384.59963889</v>
      </c>
      <c r="Z96" s="5">
        <v>12049152.879866667</v>
      </c>
      <c r="AA96" s="5">
        <v>15734433.594845831</v>
      </c>
      <c r="AB96" s="5">
        <v>16705978.954457501</v>
      </c>
      <c r="AC96" s="5">
        <v>15233959.885500001</v>
      </c>
      <c r="AD96" s="5">
        <v>14095696.515500002</v>
      </c>
      <c r="AE96" s="5">
        <v>14966724.106666666</v>
      </c>
      <c r="AF96" s="5">
        <v>15964292.077666666</v>
      </c>
      <c r="AG96" s="5">
        <v>16995032.578833334</v>
      </c>
    </row>
    <row r="97" spans="1:33" x14ac:dyDescent="0.25">
      <c r="A97" s="33" t="s">
        <v>65</v>
      </c>
      <c r="B97" s="4" t="s">
        <v>37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5">
        <v>22294487.888888888</v>
      </c>
      <c r="O97" s="5">
        <v>57843249.944444433</v>
      </c>
      <c r="P97" s="5">
        <v>35462151.277777776</v>
      </c>
      <c r="Q97" s="5">
        <v>29298551.44444444</v>
      </c>
      <c r="R97" s="5">
        <v>9592523.6111111101</v>
      </c>
      <c r="S97" s="5">
        <v>4900303.848888889</v>
      </c>
      <c r="T97" s="5">
        <v>5910871.7121388894</v>
      </c>
      <c r="U97" s="5">
        <v>4545528.0216388889</v>
      </c>
      <c r="V97" s="5">
        <v>41444863.375652775</v>
      </c>
      <c r="W97" s="5">
        <v>12760672.004191667</v>
      </c>
      <c r="X97" s="5">
        <v>9193454.5433708336</v>
      </c>
      <c r="Y97" s="5">
        <v>15718123.355</v>
      </c>
      <c r="Z97" s="5">
        <v>12544163.755300002</v>
      </c>
      <c r="AA97" s="5">
        <v>14335307.682145001</v>
      </c>
      <c r="AB97" s="5">
        <v>15396919.73501</v>
      </c>
      <c r="AC97" s="5">
        <v>18304087.210833333</v>
      </c>
      <c r="AD97" s="5">
        <v>20993779.795000002</v>
      </c>
      <c r="AE97" s="5">
        <v>21572972.484166667</v>
      </c>
      <c r="AF97" s="5">
        <v>22073223.619166665</v>
      </c>
      <c r="AG97" s="5">
        <v>22529845.132500004</v>
      </c>
    </row>
    <row r="98" spans="1:33" x14ac:dyDescent="0.25">
      <c r="A98" s="33" t="s">
        <v>66</v>
      </c>
      <c r="B98" s="4" t="s">
        <v>35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5">
        <v>12177298.164705882</v>
      </c>
      <c r="AC98" s="5">
        <v>12033614.223529411</v>
      </c>
      <c r="AD98" s="5">
        <v>11914031.541176472</v>
      </c>
      <c r="AE98" s="5">
        <v>11809033.305882353</v>
      </c>
      <c r="AF98" s="5">
        <v>11724328.905882353</v>
      </c>
      <c r="AG98" s="5">
        <v>11652763.552941177</v>
      </c>
    </row>
    <row r="99" spans="1:33" x14ac:dyDescent="0.25">
      <c r="A99" s="33" t="s">
        <v>66</v>
      </c>
      <c r="B99" s="4" t="s">
        <v>37</v>
      </c>
      <c r="C99" s="6"/>
      <c r="D99" s="6"/>
      <c r="E99" s="6"/>
      <c r="F99" s="6"/>
      <c r="G99" s="6"/>
      <c r="H99" s="6"/>
      <c r="I99" s="6"/>
      <c r="J99" s="6"/>
      <c r="K99" s="5">
        <v>19724255.02352941</v>
      </c>
      <c r="L99" s="5">
        <v>20802362.037058823</v>
      </c>
      <c r="M99" s="5">
        <v>20749789.34470588</v>
      </c>
      <c r="N99" s="5">
        <v>20597672.117647059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spans="1:33" x14ac:dyDescent="0.25">
      <c r="A100" s="33" t="s">
        <v>66</v>
      </c>
      <c r="B100" s="4" t="s">
        <v>38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5">
        <v>21524124.367058821</v>
      </c>
      <c r="P100" s="5">
        <v>21681133.868382353</v>
      </c>
      <c r="Q100" s="5">
        <v>21337789.129411768</v>
      </c>
      <c r="R100" s="5">
        <v>20884056.988235295</v>
      </c>
      <c r="S100" s="5">
        <v>20649842.788235296</v>
      </c>
      <c r="T100" s="5">
        <v>21351206.36647059</v>
      </c>
      <c r="U100" s="5">
        <v>19629810.847058825</v>
      </c>
      <c r="V100" s="5">
        <v>17442056.435294118</v>
      </c>
      <c r="W100" s="5">
        <v>15563152.905882355</v>
      </c>
      <c r="X100" s="5">
        <v>13396372.51764706</v>
      </c>
      <c r="Y100" s="5">
        <v>12534288.670588234</v>
      </c>
      <c r="Z100" s="5">
        <v>12404631.282352941</v>
      </c>
      <c r="AA100" s="5">
        <v>12301868.117647059</v>
      </c>
      <c r="AB100" s="6"/>
      <c r="AC100" s="6"/>
      <c r="AD100" s="6"/>
      <c r="AE100" s="6"/>
      <c r="AF100" s="6"/>
      <c r="AG100" s="6"/>
    </row>
    <row r="101" spans="1:33" x14ac:dyDescent="0.25">
      <c r="A101" s="33" t="s">
        <v>67</v>
      </c>
      <c r="B101" s="4" t="s">
        <v>35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5">
        <v>927.89750000000004</v>
      </c>
      <c r="V101" s="5">
        <v>918.85</v>
      </c>
      <c r="W101" s="5">
        <v>830.93649999999991</v>
      </c>
      <c r="X101" s="5">
        <v>753.43349999999987</v>
      </c>
      <c r="Y101" s="5">
        <v>812.78429999999992</v>
      </c>
      <c r="Z101" s="5">
        <v>878.15109999999993</v>
      </c>
      <c r="AA101" s="5">
        <v>927.26580000000001</v>
      </c>
      <c r="AB101" s="5">
        <v>3269610.5096789468</v>
      </c>
      <c r="AC101" s="5">
        <v>3231087.9161421051</v>
      </c>
      <c r="AD101" s="5">
        <v>3199040.7661184212</v>
      </c>
      <c r="AE101" s="5">
        <v>3170923.9037763164</v>
      </c>
      <c r="AF101" s="5">
        <v>3148263.0856657894</v>
      </c>
      <c r="AG101" s="5">
        <v>3129137.4496973683</v>
      </c>
    </row>
    <row r="102" spans="1:33" x14ac:dyDescent="0.25">
      <c r="A102" s="33" t="s">
        <v>67</v>
      </c>
      <c r="B102" s="4" t="s">
        <v>37</v>
      </c>
      <c r="C102" s="6"/>
      <c r="D102" s="6"/>
      <c r="E102" s="6"/>
      <c r="F102" s="6"/>
      <c r="G102" s="6"/>
      <c r="H102" s="6"/>
      <c r="I102" s="6"/>
      <c r="J102" s="5">
        <v>4973016.0931578949</v>
      </c>
      <c r="K102" s="5">
        <v>5370735.2314144736</v>
      </c>
      <c r="L102" s="5">
        <v>5589758.6496315785</v>
      </c>
      <c r="M102" s="5">
        <v>5570435.0529473685</v>
      </c>
      <c r="N102" s="5">
        <v>5528848.8315789476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spans="1:33" x14ac:dyDescent="0.25">
      <c r="A103" s="33" t="s">
        <v>67</v>
      </c>
      <c r="B103" s="4" t="s">
        <v>38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5">
        <v>5782655.5275789481</v>
      </c>
      <c r="P103" s="5">
        <v>5821440.3550657891</v>
      </c>
      <c r="Q103" s="5">
        <v>5727511.8189473692</v>
      </c>
      <c r="R103" s="5">
        <v>5605720.5600000005</v>
      </c>
      <c r="S103" s="5">
        <v>5708088.0536842104</v>
      </c>
      <c r="T103" s="5">
        <v>5734994.9527894733</v>
      </c>
      <c r="U103" s="5">
        <v>5269054.4905263158</v>
      </c>
      <c r="V103" s="5">
        <v>4681815.1484210528</v>
      </c>
      <c r="W103" s="5">
        <v>4177477.885263158</v>
      </c>
      <c r="X103" s="5">
        <v>3595868.4126315792</v>
      </c>
      <c r="Y103" s="5">
        <v>3364466.958947368</v>
      </c>
      <c r="Z103" s="5">
        <v>3329664.1863157894</v>
      </c>
      <c r="AA103" s="5">
        <v>3302080.3894736846</v>
      </c>
      <c r="AB103" s="6"/>
      <c r="AC103" s="6"/>
      <c r="AD103" s="6"/>
      <c r="AE103" s="6"/>
      <c r="AF103" s="6"/>
      <c r="AG103" s="6"/>
    </row>
    <row r="104" spans="1:33" x14ac:dyDescent="0.25">
      <c r="A104" s="33" t="s">
        <v>68</v>
      </c>
      <c r="B104" s="4" t="s">
        <v>35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5">
        <v>24065986.907368422</v>
      </c>
      <c r="AC104" s="5">
        <v>22452734.804210529</v>
      </c>
      <c r="AD104" s="5">
        <v>20628020.26421053</v>
      </c>
      <c r="AE104" s="5">
        <v>19835375.409473687</v>
      </c>
      <c r="AF104" s="5">
        <v>19616783.09684211</v>
      </c>
      <c r="AG104" s="5">
        <v>19439134.578947369</v>
      </c>
    </row>
    <row r="105" spans="1:33" x14ac:dyDescent="0.25">
      <c r="A105" s="33" t="s">
        <v>68</v>
      </c>
      <c r="B105" s="4" t="s">
        <v>37</v>
      </c>
      <c r="C105" s="6"/>
      <c r="D105" s="6"/>
      <c r="E105" s="6"/>
      <c r="F105" s="6"/>
      <c r="G105" s="6"/>
      <c r="H105" s="6"/>
      <c r="I105" s="5">
        <v>9170092.0599999987</v>
      </c>
      <c r="J105" s="5">
        <v>11288241.527999999</v>
      </c>
      <c r="K105" s="5">
        <v>39629370.627499998</v>
      </c>
      <c r="L105" s="5">
        <v>41074787.942644745</v>
      </c>
      <c r="M105" s="5">
        <v>41887951.410513163</v>
      </c>
      <c r="N105" s="5">
        <v>40645173.747302629</v>
      </c>
      <c r="O105" s="5">
        <v>8875230.8000000007</v>
      </c>
      <c r="P105" s="5">
        <v>9559450.1599999983</v>
      </c>
      <c r="Q105" s="5">
        <v>9374050.1625000015</v>
      </c>
      <c r="R105" s="5">
        <v>9520342.192499999</v>
      </c>
      <c r="S105" s="5">
        <v>10321750.989999998</v>
      </c>
      <c r="T105" s="5">
        <v>10299975.965</v>
      </c>
      <c r="U105" s="5">
        <v>10606919.109999999</v>
      </c>
      <c r="V105" s="5">
        <v>10876025.599999998</v>
      </c>
      <c r="W105" s="5">
        <v>10994578.164999999</v>
      </c>
      <c r="X105" s="5">
        <v>11329210.734999999</v>
      </c>
      <c r="Y105" s="5">
        <v>11506455.48</v>
      </c>
      <c r="Z105" s="5">
        <v>11655407.629999999</v>
      </c>
      <c r="AA105" s="5">
        <v>11948697.609999999</v>
      </c>
      <c r="AB105" s="5">
        <v>12132929.407499999</v>
      </c>
      <c r="AC105" s="6"/>
      <c r="AD105" s="6"/>
      <c r="AE105" s="6"/>
      <c r="AF105" s="6"/>
      <c r="AG105" s="6"/>
    </row>
    <row r="106" spans="1:33" x14ac:dyDescent="0.25">
      <c r="A106" s="33" t="s">
        <v>68</v>
      </c>
      <c r="B106" s="4" t="s">
        <v>38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5">
        <v>1893727.6874999998</v>
      </c>
      <c r="O106" s="5">
        <v>33738971.422421053</v>
      </c>
      <c r="P106" s="5">
        <v>33930368.628842101</v>
      </c>
      <c r="Q106" s="5">
        <v>34171542.829000004</v>
      </c>
      <c r="R106" s="5">
        <v>35287674.71243421</v>
      </c>
      <c r="S106" s="5">
        <v>35424336.585342109</v>
      </c>
      <c r="T106" s="5">
        <v>35014876.5881579</v>
      </c>
      <c r="U106" s="5">
        <v>35403749.244460531</v>
      </c>
      <c r="V106" s="5">
        <v>33594753.031342104</v>
      </c>
      <c r="W106" s="5">
        <v>34319250.184855267</v>
      </c>
      <c r="X106" s="5">
        <v>32526764.403157897</v>
      </c>
      <c r="Y106" s="5">
        <v>30585334.490526319</v>
      </c>
      <c r="Z106" s="5">
        <v>29651352.040894739</v>
      </c>
      <c r="AA106" s="5">
        <v>26514667.809473686</v>
      </c>
      <c r="AB106" s="6"/>
      <c r="AC106" s="5">
        <v>12283029.247499999</v>
      </c>
      <c r="AD106" s="5">
        <v>12442802.129999999</v>
      </c>
      <c r="AE106" s="5">
        <v>12435722.887499999</v>
      </c>
      <c r="AF106" s="5">
        <v>12375428.422499999</v>
      </c>
      <c r="AG106" s="5">
        <v>12278482.1775</v>
      </c>
    </row>
    <row r="107" spans="1:33" x14ac:dyDescent="0.25">
      <c r="A107" s="33" t="s">
        <v>69</v>
      </c>
      <c r="B107" s="4" t="s">
        <v>34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5">
        <v>600000</v>
      </c>
      <c r="X107" s="5">
        <v>600000</v>
      </c>
      <c r="Y107" s="5">
        <v>600000</v>
      </c>
      <c r="Z107" s="5">
        <v>600000</v>
      </c>
      <c r="AA107" s="5">
        <v>600000</v>
      </c>
      <c r="AB107" s="5">
        <v>600000</v>
      </c>
      <c r="AC107" s="5">
        <v>600000</v>
      </c>
      <c r="AD107" s="5">
        <v>600000</v>
      </c>
      <c r="AE107" s="5">
        <v>600000</v>
      </c>
      <c r="AF107" s="5">
        <v>600000</v>
      </c>
      <c r="AG107" s="5">
        <v>600000</v>
      </c>
    </row>
    <row r="108" spans="1:33" x14ac:dyDescent="0.25">
      <c r="A108" s="33" t="s">
        <v>69</v>
      </c>
      <c r="B108" s="4" t="s">
        <v>36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5">
        <v>285368.40000000008</v>
      </c>
      <c r="W108" s="5">
        <v>251712.06315789477</v>
      </c>
      <c r="X108" s="5">
        <v>221931.64210526316</v>
      </c>
      <c r="Y108" s="5">
        <v>217901.89473684214</v>
      </c>
      <c r="Z108" s="5">
        <v>229090.4969736842</v>
      </c>
      <c r="AA108" s="5">
        <v>246311.38013157898</v>
      </c>
      <c r="AB108" s="5">
        <v>271308.89</v>
      </c>
      <c r="AC108" s="5">
        <v>307087.79973684211</v>
      </c>
      <c r="AD108" s="5">
        <v>340790.72815789469</v>
      </c>
      <c r="AE108" s="5">
        <v>361778.57236842101</v>
      </c>
      <c r="AF108" s="5">
        <v>392867.25157894741</v>
      </c>
      <c r="AG108" s="5">
        <v>428081.60342105263</v>
      </c>
    </row>
    <row r="109" spans="1:33" x14ac:dyDescent="0.25">
      <c r="A109" s="33" t="s">
        <v>69</v>
      </c>
      <c r="B109" s="4" t="s">
        <v>37</v>
      </c>
      <c r="C109" s="6"/>
      <c r="D109" s="6"/>
      <c r="E109" s="6"/>
      <c r="F109" s="6"/>
      <c r="G109" s="5">
        <v>324860.17684210528</v>
      </c>
      <c r="H109" s="5">
        <v>426483.22352631582</v>
      </c>
      <c r="I109" s="5">
        <v>416814.69197368424</v>
      </c>
      <c r="J109" s="5">
        <v>433964.92855263164</v>
      </c>
      <c r="K109" s="5">
        <v>448579.76921052637</v>
      </c>
      <c r="L109" s="5">
        <v>464164.71394736844</v>
      </c>
      <c r="M109" s="5">
        <v>474761.75500000006</v>
      </c>
      <c r="N109" s="5">
        <v>419073.38947368419</v>
      </c>
      <c r="O109" s="5">
        <v>318651.62105263164</v>
      </c>
      <c r="P109" s="5">
        <v>313893.72631578945</v>
      </c>
      <c r="Q109" s="5">
        <v>311356.31578947371</v>
      </c>
      <c r="R109" s="5">
        <v>295698.27368421055</v>
      </c>
      <c r="S109" s="5">
        <v>318139.48947368428</v>
      </c>
      <c r="T109" s="5">
        <v>349437.58776315785</v>
      </c>
      <c r="U109" s="5">
        <v>301017.03157894738</v>
      </c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spans="1:33" x14ac:dyDescent="0.25">
      <c r="A110" s="33" t="s">
        <v>70</v>
      </c>
      <c r="B110" s="4" t="s">
        <v>34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5">
        <v>300000</v>
      </c>
      <c r="X110" s="5">
        <v>300000</v>
      </c>
      <c r="Y110" s="5">
        <v>300000</v>
      </c>
      <c r="Z110" s="5">
        <v>300000</v>
      </c>
      <c r="AA110" s="5">
        <v>300000</v>
      </c>
      <c r="AB110" s="5">
        <v>300000</v>
      </c>
      <c r="AC110" s="5">
        <v>300000</v>
      </c>
      <c r="AD110" s="5">
        <v>300000</v>
      </c>
      <c r="AE110" s="5">
        <v>300000</v>
      </c>
      <c r="AF110" s="5">
        <v>300000</v>
      </c>
      <c r="AG110" s="5">
        <v>300000</v>
      </c>
    </row>
    <row r="111" spans="1:33" x14ac:dyDescent="0.25">
      <c r="A111" s="33" t="s">
        <v>70</v>
      </c>
      <c r="B111" s="4" t="s">
        <v>35</v>
      </c>
      <c r="C111" s="5">
        <v>3714201.1578947371</v>
      </c>
      <c r="D111" s="5">
        <v>3913356.357631579</v>
      </c>
      <c r="E111" s="5">
        <v>3924895.2904736842</v>
      </c>
      <c r="F111" s="5">
        <v>3891254.1427368419</v>
      </c>
      <c r="G111" s="5">
        <v>3884228.7713710526</v>
      </c>
      <c r="H111" s="5">
        <v>3866142.0552105266</v>
      </c>
      <c r="I111" s="5">
        <v>3855388.7611052636</v>
      </c>
      <c r="J111" s="5">
        <v>3843530.7035486847</v>
      </c>
      <c r="K111" s="5">
        <v>3882275.6812315797</v>
      </c>
      <c r="L111" s="5">
        <v>4030349.7052671057</v>
      </c>
      <c r="M111" s="5">
        <v>4140567.4549592105</v>
      </c>
      <c r="N111" s="5">
        <v>4246758.7738947365</v>
      </c>
      <c r="O111" s="5">
        <v>4284336.9601526326</v>
      </c>
      <c r="P111" s="5">
        <v>5208516.9409539485</v>
      </c>
      <c r="Q111" s="5">
        <v>6027438.3285881579</v>
      </c>
      <c r="R111" s="5">
        <v>10883229.069513159</v>
      </c>
      <c r="S111" s="5">
        <v>12669632.358378947</v>
      </c>
      <c r="T111" s="5">
        <v>12339754.340049999</v>
      </c>
      <c r="U111" s="5">
        <v>12539486.651180264</v>
      </c>
      <c r="V111" s="5">
        <v>15407105.821639473</v>
      </c>
      <c r="W111" s="5">
        <v>14220541.626992105</v>
      </c>
      <c r="X111" s="5">
        <v>13238882.002515789</v>
      </c>
      <c r="Y111" s="5">
        <v>13215898.866542106</v>
      </c>
      <c r="Z111" s="5">
        <v>13263195.999497369</v>
      </c>
      <c r="AA111" s="5">
        <v>13205555.838196054</v>
      </c>
      <c r="AB111" s="5">
        <v>13945131.41484342</v>
      </c>
      <c r="AC111" s="5">
        <v>16130782.810382895</v>
      </c>
      <c r="AD111" s="5">
        <v>16034854.608598683</v>
      </c>
      <c r="AE111" s="5">
        <v>15954731.438693419</v>
      </c>
      <c r="AF111" s="5">
        <v>15906286.9267</v>
      </c>
      <c r="AG111" s="5">
        <v>15938780.685739476</v>
      </c>
    </row>
    <row r="112" spans="1:33" x14ac:dyDescent="0.25">
      <c r="A112" s="33" t="s">
        <v>70</v>
      </c>
      <c r="B112" s="4" t="s">
        <v>37</v>
      </c>
      <c r="C112" s="6"/>
      <c r="D112" s="6"/>
      <c r="E112" s="6"/>
      <c r="F112" s="6"/>
      <c r="G112" s="5">
        <v>1442364.9389473684</v>
      </c>
      <c r="H112" s="5">
        <v>1532245.477282895</v>
      </c>
      <c r="I112" s="5">
        <v>1673168.6921578946</v>
      </c>
      <c r="J112" s="5">
        <v>2831071.5534868417</v>
      </c>
      <c r="K112" s="5">
        <v>2960239.86075</v>
      </c>
      <c r="L112" s="5">
        <v>3110731.2547828951</v>
      </c>
      <c r="M112" s="5">
        <v>3154750.0539210527</v>
      </c>
      <c r="N112" s="5">
        <v>1597721.3762763159</v>
      </c>
      <c r="O112" s="5">
        <v>338181.01052631577</v>
      </c>
      <c r="P112" s="5">
        <v>297338.36050000001</v>
      </c>
      <c r="Q112" s="5">
        <v>1461.319947368421</v>
      </c>
      <c r="R112" s="5">
        <v>1208.8374263157896</v>
      </c>
      <c r="S112" s="5">
        <v>263.33809736842107</v>
      </c>
      <c r="T112" s="5">
        <v>0</v>
      </c>
      <c r="U112" s="5">
        <v>15392.336842105264</v>
      </c>
      <c r="V112" s="6"/>
      <c r="W112" s="6"/>
      <c r="X112" s="6"/>
      <c r="Y112" s="5">
        <v>2187713.6460526315</v>
      </c>
      <c r="Z112" s="5">
        <v>2204153.7007894744</v>
      </c>
      <c r="AA112" s="5">
        <v>188921.26618421054</v>
      </c>
      <c r="AB112" s="5">
        <v>191568.10736842107</v>
      </c>
      <c r="AC112" s="5">
        <v>194957.61473684214</v>
      </c>
      <c r="AD112" s="5">
        <v>199482.88447368424</v>
      </c>
      <c r="AE112" s="5">
        <v>6878.5272828947363</v>
      </c>
      <c r="AF112" s="5">
        <v>7089.4966184210534</v>
      </c>
      <c r="AG112" s="5">
        <v>7463.7629999999999</v>
      </c>
    </row>
    <row r="113" spans="1:33" x14ac:dyDescent="0.25">
      <c r="A113" s="33" t="s">
        <v>70</v>
      </c>
      <c r="B113" s="4" t="s">
        <v>38</v>
      </c>
      <c r="C113" s="6"/>
      <c r="D113" s="6"/>
      <c r="E113" s="6"/>
      <c r="F113" s="6"/>
      <c r="G113" s="5">
        <v>204338.59368421056</v>
      </c>
      <c r="H113" s="5">
        <v>314675.89926315792</v>
      </c>
      <c r="I113" s="5">
        <v>315064.06405921059</v>
      </c>
      <c r="J113" s="5">
        <v>320207.22396052629</v>
      </c>
      <c r="K113" s="5">
        <v>325352.5578618421</v>
      </c>
      <c r="L113" s="5">
        <v>280271.24736842106</v>
      </c>
      <c r="M113" s="5">
        <v>284314.56368421053</v>
      </c>
      <c r="N113" s="5">
        <v>1902248.7636842106</v>
      </c>
      <c r="O113" s="5">
        <v>3135303.633019737</v>
      </c>
      <c r="P113" s="5">
        <v>3080014.3963355264</v>
      </c>
      <c r="Q113" s="5">
        <v>3432377.7063355264</v>
      </c>
      <c r="R113" s="5">
        <v>3553434.7442907896</v>
      </c>
      <c r="S113" s="5">
        <v>3393964.6414868422</v>
      </c>
      <c r="T113" s="5">
        <v>4659646.761272369</v>
      </c>
      <c r="U113" s="5">
        <v>5617543.9960513152</v>
      </c>
      <c r="V113" s="5">
        <v>4176407.5298289475</v>
      </c>
      <c r="W113" s="5">
        <v>5509968.388792106</v>
      </c>
      <c r="X113" s="5">
        <v>6562720.5574447373</v>
      </c>
      <c r="Y113" s="5">
        <v>4532484.4283144735</v>
      </c>
      <c r="Z113" s="5">
        <v>4562635.1666289475</v>
      </c>
      <c r="AA113" s="5">
        <v>6701016.6452118419</v>
      </c>
      <c r="AB113" s="5">
        <v>7197641.1014092099</v>
      </c>
      <c r="AC113" s="5">
        <v>5461578.688510526</v>
      </c>
      <c r="AD113" s="5">
        <v>5489066.4245486846</v>
      </c>
      <c r="AE113" s="5">
        <v>5844111.6225328958</v>
      </c>
      <c r="AF113" s="5">
        <v>6019725.6071539475</v>
      </c>
      <c r="AG113" s="5">
        <v>6024488.8079210529</v>
      </c>
    </row>
    <row r="114" spans="1:33" x14ac:dyDescent="0.25">
      <c r="A114" s="33" t="s">
        <v>71</v>
      </c>
      <c r="B114" s="4" t="s">
        <v>34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5">
        <v>540000</v>
      </c>
      <c r="X114" s="5">
        <v>540000</v>
      </c>
      <c r="Y114" s="5">
        <v>540000</v>
      </c>
      <c r="Z114" s="5">
        <v>540000</v>
      </c>
      <c r="AA114" s="5">
        <v>540000</v>
      </c>
      <c r="AB114" s="5">
        <v>540000</v>
      </c>
      <c r="AC114" s="5">
        <v>540000</v>
      </c>
      <c r="AD114" s="5">
        <v>540000</v>
      </c>
      <c r="AE114" s="5">
        <v>540000</v>
      </c>
      <c r="AF114" s="5">
        <v>540000</v>
      </c>
      <c r="AG114" s="5">
        <v>540000</v>
      </c>
    </row>
    <row r="115" spans="1:33" x14ac:dyDescent="0.25">
      <c r="A115" s="33" t="s">
        <v>71</v>
      </c>
      <c r="B115" s="4" t="s">
        <v>35</v>
      </c>
      <c r="C115" s="6"/>
      <c r="D115" s="6"/>
      <c r="E115" s="6"/>
      <c r="F115" s="6"/>
      <c r="G115" s="5">
        <v>42243.18</v>
      </c>
      <c r="H115" s="5">
        <v>48252.821999999986</v>
      </c>
      <c r="I115" s="5">
        <v>61088.769</v>
      </c>
      <c r="J115" s="5">
        <v>84386.34</v>
      </c>
      <c r="K115" s="5">
        <v>108395.19899999999</v>
      </c>
      <c r="L115" s="5">
        <v>129455.19749999999</v>
      </c>
      <c r="M115" s="5">
        <v>174706.39409210524</v>
      </c>
      <c r="N115" s="5">
        <v>183197.81952631578</v>
      </c>
      <c r="O115" s="5">
        <v>179630.77973684209</v>
      </c>
      <c r="P115" s="5">
        <v>178273.68631578947</v>
      </c>
      <c r="Q115" s="5">
        <v>164631.40980263156</v>
      </c>
      <c r="R115" s="5">
        <v>168361.58</v>
      </c>
      <c r="S115" s="5">
        <v>161835.39828947367</v>
      </c>
      <c r="T115" s="5">
        <v>254363.97059210524</v>
      </c>
      <c r="U115" s="5">
        <v>243147.54845394735</v>
      </c>
      <c r="V115" s="5">
        <v>230266.22921052627</v>
      </c>
      <c r="W115" s="5">
        <v>207888.04950657894</v>
      </c>
      <c r="X115" s="5">
        <v>189985.42032894734</v>
      </c>
      <c r="Y115" s="5">
        <v>182518.854375</v>
      </c>
      <c r="Z115" s="5">
        <v>178029.88221710527</v>
      </c>
      <c r="AA115" s="5">
        <v>169663.9041118421</v>
      </c>
      <c r="AB115" s="5">
        <v>3525476.9297039476</v>
      </c>
      <c r="AC115" s="5">
        <v>3483338.8935197373</v>
      </c>
      <c r="AD115" s="5">
        <v>3450030.0732236844</v>
      </c>
      <c r="AE115" s="5">
        <v>3416471.929894737</v>
      </c>
      <c r="AF115" s="5">
        <v>3383521.8699671053</v>
      </c>
      <c r="AG115" s="5">
        <v>3357564.5291447369</v>
      </c>
    </row>
    <row r="116" spans="1:33" x14ac:dyDescent="0.25">
      <c r="A116" s="33" t="s">
        <v>71</v>
      </c>
      <c r="B116" s="4" t="s">
        <v>36</v>
      </c>
      <c r="C116" s="6"/>
      <c r="D116" s="6"/>
      <c r="E116" s="6"/>
      <c r="F116" s="6"/>
      <c r="G116" s="6"/>
      <c r="H116" s="6"/>
      <c r="I116" s="6"/>
      <c r="J116" s="6"/>
      <c r="K116" s="5">
        <v>4912.7605263157902</v>
      </c>
      <c r="L116" s="6"/>
      <c r="M116" s="6"/>
      <c r="N116" s="6"/>
      <c r="O116" s="6"/>
      <c r="P116" s="6"/>
      <c r="Q116" s="6"/>
      <c r="R116" s="6"/>
      <c r="S116" s="5">
        <v>664654</v>
      </c>
      <c r="T116" s="6"/>
      <c r="U116" s="6"/>
      <c r="V116" s="5">
        <v>78137.356973684218</v>
      </c>
      <c r="W116" s="5">
        <v>88579.667368421055</v>
      </c>
      <c r="X116" s="5">
        <v>106512.16760526315</v>
      </c>
      <c r="Y116" s="5">
        <v>129205.4708631579</v>
      </c>
      <c r="Z116" s="5">
        <v>155926.85738815789</v>
      </c>
      <c r="AA116" s="5">
        <v>183108.8330644737</v>
      </c>
      <c r="AB116" s="5">
        <v>208717.54211973687</v>
      </c>
      <c r="AC116" s="5">
        <v>233979.57949868421</v>
      </c>
      <c r="AD116" s="5">
        <v>256246.32387763157</v>
      </c>
      <c r="AE116" s="5">
        <v>264775.50847763161</v>
      </c>
      <c r="AF116" s="5">
        <v>272301.47593815794</v>
      </c>
      <c r="AG116" s="5">
        <v>277375.88714868418</v>
      </c>
    </row>
    <row r="117" spans="1:33" x14ac:dyDescent="0.25">
      <c r="A117" s="33" t="s">
        <v>71</v>
      </c>
      <c r="B117" s="4" t="s">
        <v>37</v>
      </c>
      <c r="C117" s="6"/>
      <c r="D117" s="6"/>
      <c r="E117" s="6"/>
      <c r="F117" s="6"/>
      <c r="G117" s="5">
        <v>0</v>
      </c>
      <c r="H117" s="5">
        <v>0</v>
      </c>
      <c r="I117" s="5">
        <v>714104.29999999993</v>
      </c>
      <c r="J117" s="5">
        <v>5359565.7998947361</v>
      </c>
      <c r="K117" s="5">
        <v>5839202.190342105</v>
      </c>
      <c r="L117" s="5">
        <v>6103122.0000749994</v>
      </c>
      <c r="M117" s="5">
        <v>6274119.5562868426</v>
      </c>
      <c r="N117" s="5">
        <v>6402988.1357105272</v>
      </c>
      <c r="O117" s="5">
        <v>913316.83210526325</v>
      </c>
      <c r="P117" s="5">
        <v>949477.91463157884</v>
      </c>
      <c r="Q117" s="5">
        <v>893912.01915657904</v>
      </c>
      <c r="R117" s="5">
        <v>897788.72782894736</v>
      </c>
      <c r="S117" s="5">
        <v>934649.81366578944</v>
      </c>
      <c r="T117" s="5">
        <v>905826.87909210532</v>
      </c>
      <c r="U117" s="5">
        <v>891937.59418421052</v>
      </c>
      <c r="V117" s="5">
        <v>824291.63610526314</v>
      </c>
      <c r="W117" s="5">
        <v>822167.20715789462</v>
      </c>
      <c r="X117" s="5">
        <v>877463.39908771927</v>
      </c>
      <c r="Y117" s="5">
        <v>889300.67936842109</v>
      </c>
      <c r="Z117" s="5">
        <v>910855.39100877196</v>
      </c>
      <c r="AA117" s="5">
        <v>930483.12529824569</v>
      </c>
      <c r="AB117" s="5">
        <v>936486.46771052631</v>
      </c>
      <c r="AC117" s="5">
        <v>40271.290256140353</v>
      </c>
      <c r="AD117" s="5">
        <v>41306.294978070182</v>
      </c>
      <c r="AE117" s="5">
        <v>43175.603210526329</v>
      </c>
      <c r="AF117" s="5">
        <v>45757.907667105268</v>
      </c>
      <c r="AG117" s="5">
        <v>48463.652665350877</v>
      </c>
    </row>
    <row r="118" spans="1:33" x14ac:dyDescent="0.25">
      <c r="A118" s="33" t="s">
        <v>71</v>
      </c>
      <c r="B118" s="4" t="s">
        <v>38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5">
        <v>5542257.2482894734</v>
      </c>
      <c r="P118" s="5">
        <v>5550719.1378157893</v>
      </c>
      <c r="Q118" s="5">
        <v>5521358.6272368422</v>
      </c>
      <c r="R118" s="5">
        <v>5778645.8125184216</v>
      </c>
      <c r="S118" s="5">
        <v>6063639.8102368433</v>
      </c>
      <c r="T118" s="5">
        <v>5771538.2277192976</v>
      </c>
      <c r="U118" s="5">
        <v>5641278.1974999988</v>
      </c>
      <c r="V118" s="5">
        <v>5522266.1059210524</v>
      </c>
      <c r="W118" s="5">
        <v>5782827.6930657886</v>
      </c>
      <c r="X118" s="5">
        <v>5263547.5634210529</v>
      </c>
      <c r="Y118" s="5">
        <v>4678520.0767105268</v>
      </c>
      <c r="Z118" s="5">
        <v>4175194.6847368418</v>
      </c>
      <c r="AA118" s="5">
        <v>3594171.2009210531</v>
      </c>
      <c r="AB118" s="6"/>
      <c r="AC118" s="5">
        <v>910416.57300000009</v>
      </c>
      <c r="AD118" s="5">
        <v>922816.42200000002</v>
      </c>
      <c r="AE118" s="5">
        <v>935610.88500000013</v>
      </c>
      <c r="AF118" s="5">
        <v>947618.6939999999</v>
      </c>
      <c r="AG118" s="5">
        <v>962589.57300000009</v>
      </c>
    </row>
    <row r="119" spans="1:33" x14ac:dyDescent="0.25">
      <c r="A119" s="3" t="s">
        <v>72</v>
      </c>
      <c r="B119" s="4" t="s">
        <v>35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5">
        <v>4368.2627368421054</v>
      </c>
      <c r="R119" s="5">
        <v>1680323.3443736844</v>
      </c>
      <c r="S119" s="5">
        <v>1757216.25</v>
      </c>
      <c r="T119" s="5">
        <v>3898726.2098157899</v>
      </c>
      <c r="U119" s="5">
        <v>4522913.1330526303</v>
      </c>
      <c r="V119" s="5">
        <v>4443276.0169578958</v>
      </c>
      <c r="W119" s="5">
        <v>4383350.8695394741</v>
      </c>
      <c r="X119" s="5">
        <v>4334311.3369105272</v>
      </c>
      <c r="Y119" s="5">
        <v>4370664.0540605271</v>
      </c>
      <c r="Z119" s="5">
        <v>4379391.231628947</v>
      </c>
      <c r="AA119" s="5">
        <v>4370203.035188159</v>
      </c>
      <c r="AB119" s="5">
        <v>4322443.0218644748</v>
      </c>
      <c r="AC119" s="5">
        <v>4271621.4440421062</v>
      </c>
      <c r="AD119" s="5">
        <v>4235292.502884211</v>
      </c>
      <c r="AE119" s="5">
        <v>4212692.4101368422</v>
      </c>
      <c r="AF119" s="5">
        <v>4200956.5881000003</v>
      </c>
      <c r="AG119" s="5">
        <v>4199871.1182460524</v>
      </c>
    </row>
    <row r="120" spans="1:33" x14ac:dyDescent="0.25">
      <c r="A120" s="33" t="s">
        <v>73</v>
      </c>
      <c r="B120" s="4" t="s">
        <v>35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5">
        <v>5794.2723473684218</v>
      </c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spans="1:33" x14ac:dyDescent="0.25">
      <c r="A121" s="33" t="s">
        <v>73</v>
      </c>
      <c r="B121" s="4" t="s">
        <v>37</v>
      </c>
      <c r="C121" s="6"/>
      <c r="D121" s="6"/>
      <c r="E121" s="6"/>
      <c r="F121" s="6"/>
      <c r="G121" s="6"/>
      <c r="H121" s="6"/>
      <c r="I121" s="5">
        <v>207773.20421052631</v>
      </c>
      <c r="J121" s="5">
        <v>262440.53005263163</v>
      </c>
      <c r="K121" s="5">
        <v>249604.04210526316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5">
        <v>4284.9957289473687</v>
      </c>
      <c r="AB121" s="5">
        <v>4886.5071789473686</v>
      </c>
      <c r="AC121" s="5">
        <v>5511.6149368421056</v>
      </c>
      <c r="AD121" s="5">
        <v>6156.3098052631594</v>
      </c>
      <c r="AE121" s="5">
        <v>6801.3187578947363</v>
      </c>
      <c r="AF121" s="5">
        <v>7421.600068421053</v>
      </c>
      <c r="AG121" s="5">
        <v>8001.5255263157915</v>
      </c>
    </row>
    <row r="122" spans="1:33" x14ac:dyDescent="0.25">
      <c r="A122" s="33" t="s">
        <v>73</v>
      </c>
      <c r="B122" s="4" t="s">
        <v>38</v>
      </c>
      <c r="C122" s="6"/>
      <c r="D122" s="6"/>
      <c r="E122" s="6"/>
      <c r="F122" s="6"/>
      <c r="G122" s="6"/>
      <c r="H122" s="6"/>
      <c r="I122" s="6"/>
      <c r="J122" s="6"/>
      <c r="K122" s="6"/>
      <c r="L122" s="5">
        <v>261265.46052631579</v>
      </c>
      <c r="M122" s="5">
        <v>258337.0105263158</v>
      </c>
      <c r="N122" s="5">
        <v>274269.88815789478</v>
      </c>
      <c r="O122" s="5">
        <v>271649.21936842107</v>
      </c>
      <c r="P122" s="5">
        <v>265912.37883157894</v>
      </c>
      <c r="Q122" s="5">
        <v>263867.48875263159</v>
      </c>
      <c r="R122" s="5">
        <v>262325.48474210524</v>
      </c>
      <c r="S122" s="5">
        <v>250688.84210526317</v>
      </c>
      <c r="T122" s="5">
        <v>247643.8228631579</v>
      </c>
      <c r="U122" s="5">
        <v>244981.89094736843</v>
      </c>
      <c r="V122" s="5">
        <v>237101.93010526316</v>
      </c>
      <c r="W122" s="5">
        <v>226517.54102105263</v>
      </c>
      <c r="X122" s="5">
        <v>216785.88531578949</v>
      </c>
      <c r="Y122" s="5">
        <v>210849.60747368421</v>
      </c>
      <c r="Z122" s="5">
        <v>209815.12985</v>
      </c>
      <c r="AA122" s="5">
        <v>204106.73684210525</v>
      </c>
      <c r="AB122" s="5">
        <v>202139.24210526317</v>
      </c>
      <c r="AC122" s="5">
        <v>200651.1157894737</v>
      </c>
      <c r="AD122" s="5">
        <v>199269.28421052633</v>
      </c>
      <c r="AE122" s="5">
        <v>198025.0105263158</v>
      </c>
      <c r="AF122" s="5">
        <v>197095.45263157896</v>
      </c>
      <c r="AG122" s="5">
        <v>196251.34736842106</v>
      </c>
    </row>
    <row r="123" spans="1:33" x14ac:dyDescent="0.25">
      <c r="A123" s="33" t="s">
        <v>74</v>
      </c>
      <c r="B123" s="4" t="s">
        <v>34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5">
        <v>300000</v>
      </c>
      <c r="X123" s="5">
        <v>300000</v>
      </c>
      <c r="Y123" s="5">
        <v>300000</v>
      </c>
      <c r="Z123" s="5">
        <v>300000</v>
      </c>
      <c r="AA123" s="5">
        <v>300000</v>
      </c>
      <c r="AB123" s="5">
        <v>300000</v>
      </c>
      <c r="AC123" s="5">
        <v>300000</v>
      </c>
      <c r="AD123" s="5">
        <v>300000</v>
      </c>
      <c r="AE123" s="5">
        <v>300000</v>
      </c>
      <c r="AF123" s="5">
        <v>300000</v>
      </c>
      <c r="AG123" s="5">
        <v>300000</v>
      </c>
    </row>
    <row r="124" spans="1:33" x14ac:dyDescent="0.25">
      <c r="A124" s="33" t="s">
        <v>74</v>
      </c>
      <c r="B124" s="4" t="s">
        <v>35</v>
      </c>
      <c r="C124" s="5">
        <v>1318624.6105263159</v>
      </c>
      <c r="D124" s="5">
        <v>1304626.2957894737</v>
      </c>
      <c r="E124" s="5">
        <v>2719013.6665789476</v>
      </c>
      <c r="F124" s="5">
        <v>3276172.1370789474</v>
      </c>
      <c r="G124" s="5">
        <v>3537099.590131579</v>
      </c>
      <c r="H124" s="5">
        <v>4322727.77868421</v>
      </c>
      <c r="I124" s="5">
        <v>4671737.6398736844</v>
      </c>
      <c r="J124" s="5">
        <v>4720347.875552631</v>
      </c>
      <c r="K124" s="5">
        <v>4851751.6589473691</v>
      </c>
      <c r="L124" s="5">
        <v>4902378.9305000007</v>
      </c>
      <c r="M124" s="5">
        <v>5466931.5414473685</v>
      </c>
      <c r="N124" s="5">
        <v>5629795.1046315785</v>
      </c>
      <c r="O124" s="5">
        <v>5585047.086052632</v>
      </c>
      <c r="P124" s="5">
        <v>5456783.2290789485</v>
      </c>
      <c r="Q124" s="5">
        <v>5674875.3915263154</v>
      </c>
      <c r="R124" s="5">
        <v>5661320.12481579</v>
      </c>
      <c r="S124" s="5">
        <v>4907533.7562263161</v>
      </c>
      <c r="T124" s="5">
        <v>5191251.2748552635</v>
      </c>
      <c r="U124" s="5">
        <v>4531805.0308105266</v>
      </c>
      <c r="V124" s="5">
        <v>4295145.7663789475</v>
      </c>
      <c r="W124" s="5">
        <v>4171316.4945263159</v>
      </c>
      <c r="X124" s="5">
        <v>4082593.8285105266</v>
      </c>
      <c r="Y124" s="5">
        <v>4086834.6670000004</v>
      </c>
      <c r="Z124" s="5">
        <v>4084108.9594999999</v>
      </c>
      <c r="AA124" s="5">
        <v>4080043.5761421057</v>
      </c>
      <c r="AB124" s="5">
        <v>4061998.9638815792</v>
      </c>
      <c r="AC124" s="5">
        <v>4046963.0314473687</v>
      </c>
      <c r="AD124" s="5">
        <v>4039818.9141842099</v>
      </c>
      <c r="AE124" s="5">
        <v>4021082.2578684217</v>
      </c>
      <c r="AF124" s="5">
        <v>4001249.1780421045</v>
      </c>
      <c r="AG124" s="5">
        <v>3969424.3796421057</v>
      </c>
    </row>
    <row r="125" spans="1:33" x14ac:dyDescent="0.25">
      <c r="A125" s="33" t="s">
        <v>74</v>
      </c>
      <c r="B125" s="4" t="s">
        <v>38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5">
        <v>7516651.9073684216</v>
      </c>
      <c r="N125" s="5">
        <v>9804115.2929210532</v>
      </c>
      <c r="O125" s="5">
        <v>9303579.1894736849</v>
      </c>
      <c r="P125" s="5">
        <v>9114872.7157894727</v>
      </c>
      <c r="Q125" s="5">
        <v>9101505.6963157896</v>
      </c>
      <c r="R125" s="5">
        <v>9073847.6421052627</v>
      </c>
      <c r="S125" s="5">
        <v>23517331.787368424</v>
      </c>
      <c r="T125" s="5">
        <v>11778706.397078948</v>
      </c>
      <c r="U125" s="5">
        <v>10508652.884210527</v>
      </c>
      <c r="V125" s="5">
        <v>8993240.1894736849</v>
      </c>
      <c r="W125" s="5">
        <v>9425811.9515789468</v>
      </c>
      <c r="X125" s="5">
        <v>7919547.5992105268</v>
      </c>
      <c r="Y125" s="5">
        <v>8009502.8732894752</v>
      </c>
      <c r="Z125" s="5">
        <v>8519452.9084210545</v>
      </c>
      <c r="AA125" s="5">
        <v>8230709.5803947374</v>
      </c>
      <c r="AB125" s="5">
        <v>8339144.5688157901</v>
      </c>
      <c r="AC125" s="5">
        <v>8492381.5831578951</v>
      </c>
      <c r="AD125" s="5">
        <v>8648211.7565789483</v>
      </c>
      <c r="AE125" s="5">
        <v>8717228.2375000007</v>
      </c>
      <c r="AF125" s="5">
        <v>8808127.5696052648</v>
      </c>
      <c r="AG125" s="5">
        <v>8895367.3138157893</v>
      </c>
    </row>
    <row r="126" spans="1:33" x14ac:dyDescent="0.25">
      <c r="A126" s="33" t="s">
        <v>75</v>
      </c>
      <c r="B126" s="4" t="s">
        <v>35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5">
        <v>3657382.4240789474</v>
      </c>
      <c r="R126" s="5">
        <v>3693493.9564473685</v>
      </c>
      <c r="S126" s="5">
        <v>3703941.3634210527</v>
      </c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spans="1:33" x14ac:dyDescent="0.25">
      <c r="A127" s="33" t="s">
        <v>75</v>
      </c>
      <c r="B127" s="4" t="s">
        <v>36</v>
      </c>
      <c r="C127" s="5">
        <v>358710.48421052628</v>
      </c>
      <c r="D127" s="5">
        <v>1553355.3257894737</v>
      </c>
      <c r="E127" s="5">
        <v>1242509.2210526315</v>
      </c>
      <c r="F127" s="5">
        <v>1235360.9009210528</v>
      </c>
      <c r="G127" s="5">
        <v>1119268.5894736843</v>
      </c>
      <c r="H127" s="5">
        <v>997455.15144736844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spans="1:33" x14ac:dyDescent="0.25">
      <c r="A128" s="33" t="s">
        <v>75</v>
      </c>
      <c r="B128" s="4" t="s">
        <v>37</v>
      </c>
      <c r="C128" s="5">
        <v>4799434.8736842107</v>
      </c>
      <c r="D128" s="5">
        <v>3158012.5157894739</v>
      </c>
      <c r="E128" s="5">
        <v>3348919.8348684208</v>
      </c>
      <c r="F128" s="5">
        <v>3392055.1338157896</v>
      </c>
      <c r="G128" s="5">
        <v>3009040.1484210528</v>
      </c>
      <c r="H128" s="5">
        <v>3071474.6453947369</v>
      </c>
      <c r="I128" s="5">
        <v>212858.46710526315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spans="1:33" x14ac:dyDescent="0.25">
      <c r="A129" s="33" t="s">
        <v>75</v>
      </c>
      <c r="B129" s="4" t="s">
        <v>38</v>
      </c>
      <c r="C129" s="6"/>
      <c r="D129" s="6"/>
      <c r="E129" s="6"/>
      <c r="F129" s="6"/>
      <c r="G129" s="6"/>
      <c r="H129" s="6"/>
      <c r="I129" s="5">
        <v>2854762.6651315792</v>
      </c>
      <c r="J129" s="5">
        <v>2876829.0703947367</v>
      </c>
      <c r="K129" s="5">
        <v>3004783.8034210526</v>
      </c>
      <c r="L129" s="5">
        <v>3196790.2768421052</v>
      </c>
      <c r="M129" s="5">
        <v>3272685.2276315796</v>
      </c>
      <c r="N129" s="5">
        <v>3222025.7894736845</v>
      </c>
      <c r="O129" s="5">
        <v>3284831.0739473687</v>
      </c>
      <c r="P129" s="5">
        <v>3499430.7350000003</v>
      </c>
      <c r="Q129" s="6"/>
      <c r="R129" s="6"/>
      <c r="S129" s="6"/>
      <c r="T129" s="5">
        <v>3754433.9089473686</v>
      </c>
      <c r="U129" s="5">
        <v>3764401.235657895</v>
      </c>
      <c r="V129" s="5">
        <v>3655272.7003947366</v>
      </c>
      <c r="W129" s="5">
        <v>3513369.4526315788</v>
      </c>
      <c r="X129" s="5">
        <v>3461123.9684210527</v>
      </c>
      <c r="Y129" s="6"/>
      <c r="Z129" s="6"/>
      <c r="AA129" s="6"/>
      <c r="AB129" s="6"/>
      <c r="AC129" s="6"/>
      <c r="AD129" s="6"/>
      <c r="AE129" s="6"/>
      <c r="AF129" s="6"/>
      <c r="AG129" s="6"/>
    </row>
    <row r="130" spans="1:33" x14ac:dyDescent="0.25">
      <c r="A130" s="33" t="s">
        <v>76</v>
      </c>
      <c r="B130" s="4" t="s">
        <v>34</v>
      </c>
      <c r="C130" s="5">
        <v>148825.60000000003</v>
      </c>
      <c r="D130" s="5">
        <v>152394.66289473686</v>
      </c>
      <c r="E130" s="5">
        <v>162761.70157894737</v>
      </c>
      <c r="F130" s="5">
        <v>183444.63236842107</v>
      </c>
      <c r="G130" s="5">
        <v>177053.38736842107</v>
      </c>
      <c r="H130" s="5">
        <v>167628.04710526316</v>
      </c>
      <c r="I130" s="5">
        <v>141670.52631578947</v>
      </c>
      <c r="J130" s="5">
        <v>155265.6231578947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spans="1:33" x14ac:dyDescent="0.25">
      <c r="A131" s="33" t="s">
        <v>76</v>
      </c>
      <c r="B131" s="4" t="s">
        <v>35</v>
      </c>
      <c r="C131" s="5">
        <v>14783202.900818715</v>
      </c>
      <c r="D131" s="5">
        <v>14930017.525964912</v>
      </c>
      <c r="E131" s="5">
        <v>15618714.728128655</v>
      </c>
      <c r="F131" s="5">
        <v>16333119.618567251</v>
      </c>
      <c r="G131" s="5">
        <v>17152862.828347951</v>
      </c>
      <c r="H131" s="5">
        <v>16372634.234480994</v>
      </c>
      <c r="I131" s="5">
        <v>16398425.879605263</v>
      </c>
      <c r="J131" s="5">
        <v>16214195.585887428</v>
      </c>
      <c r="K131" s="5">
        <v>16772533.15861696</v>
      </c>
      <c r="L131" s="5">
        <v>17248455.759207603</v>
      </c>
      <c r="M131" s="5">
        <v>17588138.003602341</v>
      </c>
      <c r="N131" s="5">
        <v>18544779.32113158</v>
      </c>
      <c r="O131" s="5">
        <v>18643287.529391814</v>
      </c>
      <c r="P131" s="5">
        <v>18116080.373635963</v>
      </c>
      <c r="Q131" s="5">
        <v>18620845.002982456</v>
      </c>
      <c r="R131" s="5">
        <v>18573108.659508772</v>
      </c>
      <c r="S131" s="5">
        <v>20920704.370842732</v>
      </c>
      <c r="T131" s="5">
        <v>18320057.951406434</v>
      </c>
      <c r="U131" s="5">
        <v>17850633.412163742</v>
      </c>
      <c r="V131" s="5">
        <v>19165205.230836257</v>
      </c>
      <c r="W131" s="5">
        <v>18994824.062222224</v>
      </c>
      <c r="X131" s="5">
        <v>17691027.239444446</v>
      </c>
      <c r="Y131" s="5">
        <v>17072434.94155848</v>
      </c>
      <c r="Z131" s="5">
        <v>18047574.990731724</v>
      </c>
      <c r="AA131" s="5">
        <v>18858679.213736847</v>
      </c>
      <c r="AB131" s="5">
        <v>39371936.96675586</v>
      </c>
      <c r="AC131" s="5">
        <v>43443032.482649118</v>
      </c>
      <c r="AD131" s="5">
        <v>42370314.071938604</v>
      </c>
      <c r="AE131" s="5">
        <v>46543538.902824566</v>
      </c>
      <c r="AF131" s="5">
        <v>44896447.375507526</v>
      </c>
      <c r="AG131" s="5">
        <v>44666553.82686425</v>
      </c>
    </row>
    <row r="132" spans="1:33" x14ac:dyDescent="0.25">
      <c r="A132" s="33" t="s">
        <v>76</v>
      </c>
      <c r="B132" s="4" t="s">
        <v>36</v>
      </c>
      <c r="C132" s="5">
        <v>494428.57894736843</v>
      </c>
      <c r="D132" s="5">
        <v>1252693.3602485377</v>
      </c>
      <c r="E132" s="5">
        <v>1431844.1679532165</v>
      </c>
      <c r="F132" s="5">
        <v>1643920.5639920635</v>
      </c>
      <c r="G132" s="5">
        <v>735200.85337928147</v>
      </c>
      <c r="H132" s="5">
        <v>473640.31171261484</v>
      </c>
      <c r="I132" s="5">
        <v>1876588.8400626564</v>
      </c>
      <c r="J132" s="5">
        <v>1433166.0954761903</v>
      </c>
      <c r="K132" s="5">
        <v>1334602.8671428575</v>
      </c>
      <c r="L132" s="5">
        <v>1208205.2014285715</v>
      </c>
      <c r="M132" s="5">
        <v>1747397.4123809524</v>
      </c>
      <c r="N132" s="5">
        <v>201954.98321428575</v>
      </c>
      <c r="O132" s="5">
        <v>214970.91250000003</v>
      </c>
      <c r="P132" s="5">
        <v>224150.07285714286</v>
      </c>
      <c r="Q132" s="5">
        <v>219907.20000000001</v>
      </c>
      <c r="R132" s="6"/>
      <c r="S132" s="6"/>
      <c r="T132" s="6"/>
      <c r="U132" s="6"/>
      <c r="V132" s="5">
        <v>702827.93333333335</v>
      </c>
      <c r="W132" s="5">
        <v>1095366.395</v>
      </c>
      <c r="X132" s="5">
        <v>1621323.575</v>
      </c>
      <c r="Y132" s="5">
        <v>837918.02</v>
      </c>
      <c r="Z132" s="5">
        <v>938540.61333333328</v>
      </c>
      <c r="AA132" s="5">
        <v>1767344.7616666667</v>
      </c>
      <c r="AB132" s="5">
        <v>1722886.3421428574</v>
      </c>
      <c r="AC132" s="5">
        <v>1846729.1200000003</v>
      </c>
      <c r="AD132" s="5">
        <v>1948070.2285714287</v>
      </c>
      <c r="AE132" s="5">
        <v>2019683.895714286</v>
      </c>
      <c r="AF132" s="5">
        <v>2086697.63</v>
      </c>
      <c r="AG132" s="5">
        <v>2148068.0935714287</v>
      </c>
    </row>
    <row r="133" spans="1:33" x14ac:dyDescent="0.25">
      <c r="A133" s="33" t="s">
        <v>76</v>
      </c>
      <c r="B133" s="4" t="s">
        <v>37</v>
      </c>
      <c r="C133" s="5">
        <v>14401118.086265666</v>
      </c>
      <c r="D133" s="5">
        <v>14664243.399583962</v>
      </c>
      <c r="E133" s="5">
        <v>15008458.144576021</v>
      </c>
      <c r="F133" s="5">
        <v>15407873.74051128</v>
      </c>
      <c r="G133" s="5">
        <v>25017920.620110694</v>
      </c>
      <c r="H133" s="5">
        <v>26042844.888605267</v>
      </c>
      <c r="I133" s="5">
        <v>26177247.480910607</v>
      </c>
      <c r="J133" s="5">
        <v>26530701.20079574</v>
      </c>
      <c r="K133" s="5">
        <v>38119785.888636179</v>
      </c>
      <c r="L133" s="5">
        <v>40004903.790446945</v>
      </c>
      <c r="M133" s="5">
        <v>41179347.878682122</v>
      </c>
      <c r="N133" s="5">
        <v>42683231.73034253</v>
      </c>
      <c r="O133" s="5">
        <v>21933811.582967836</v>
      </c>
      <c r="P133" s="5">
        <v>21881492.075229742</v>
      </c>
      <c r="Q133" s="5">
        <v>19617869.742030077</v>
      </c>
      <c r="R133" s="5">
        <v>26434484.64704261</v>
      </c>
      <c r="S133" s="5">
        <v>20737738.80000627</v>
      </c>
      <c r="T133" s="5">
        <v>20303125.537451964</v>
      </c>
      <c r="U133" s="5">
        <v>23934204.520910822</v>
      </c>
      <c r="V133" s="5">
        <v>21090144.40933438</v>
      </c>
      <c r="W133" s="5">
        <v>17599593.231677111</v>
      </c>
      <c r="X133" s="5">
        <v>24430832.401207186</v>
      </c>
      <c r="Y133" s="5">
        <v>25788480.659317039</v>
      </c>
      <c r="Z133" s="5">
        <v>24846884.387188803</v>
      </c>
      <c r="AA133" s="5">
        <v>23500755.779774435</v>
      </c>
      <c r="AB133" s="5">
        <v>21813354.759983294</v>
      </c>
      <c r="AC133" s="5">
        <v>14358686.862412281</v>
      </c>
      <c r="AD133" s="5">
        <v>16702359.393130742</v>
      </c>
      <c r="AE133" s="5">
        <v>6889945.557349625</v>
      </c>
      <c r="AF133" s="5">
        <v>8631762.238076441</v>
      </c>
      <c r="AG133" s="5">
        <v>10829590.64130117</v>
      </c>
    </row>
    <row r="134" spans="1:33" x14ac:dyDescent="0.25">
      <c r="A134" s="33" t="s">
        <v>76</v>
      </c>
      <c r="B134" s="4" t="s">
        <v>38</v>
      </c>
      <c r="C134" s="5">
        <v>17289606.097456139</v>
      </c>
      <c r="D134" s="5">
        <v>17667949.781812865</v>
      </c>
      <c r="E134" s="5">
        <v>18710863.98406224</v>
      </c>
      <c r="F134" s="5">
        <v>18359752.887608603</v>
      </c>
      <c r="G134" s="5">
        <v>15108629.058041355</v>
      </c>
      <c r="H134" s="5">
        <v>14983552.22631328</v>
      </c>
      <c r="I134" s="5">
        <v>15688774.135972431</v>
      </c>
      <c r="J134" s="5">
        <v>16040156.310622388</v>
      </c>
      <c r="K134" s="5">
        <v>22141117.439880531</v>
      </c>
      <c r="L134" s="5">
        <v>21995567.716898501</v>
      </c>
      <c r="M134" s="5">
        <v>24529221.744845029</v>
      </c>
      <c r="N134" s="5">
        <v>28025729.87560568</v>
      </c>
      <c r="O134" s="5">
        <v>48426118.368335411</v>
      </c>
      <c r="P134" s="5">
        <v>48710482.053932756</v>
      </c>
      <c r="Q134" s="5">
        <v>69552225.211002514</v>
      </c>
      <c r="R134" s="5">
        <v>50668669.565866053</v>
      </c>
      <c r="S134" s="5">
        <v>48073822.547784045</v>
      </c>
      <c r="T134" s="5">
        <v>53223592.123857558</v>
      </c>
      <c r="U134" s="5">
        <v>91300557.622450814</v>
      </c>
      <c r="V134" s="5">
        <v>53321049.678629905</v>
      </c>
      <c r="W134" s="5">
        <v>65462995.713402264</v>
      </c>
      <c r="X134" s="5">
        <v>56916804.633182943</v>
      </c>
      <c r="Y134" s="5">
        <v>66023591.080292396</v>
      </c>
      <c r="Z134" s="5">
        <v>57604484.053381361</v>
      </c>
      <c r="AA134" s="5">
        <v>70415621.33272557</v>
      </c>
      <c r="AB134" s="5">
        <v>37795756.615167081</v>
      </c>
      <c r="AC134" s="5">
        <v>38007996.831526741</v>
      </c>
      <c r="AD134" s="5">
        <v>59650641.219530068</v>
      </c>
      <c r="AE134" s="5">
        <v>39945379.111516282</v>
      </c>
      <c r="AF134" s="5">
        <v>47279267.168569341</v>
      </c>
      <c r="AG134" s="5">
        <v>53816727.563368849</v>
      </c>
    </row>
    <row r="135" spans="1:33" x14ac:dyDescent="0.25">
      <c r="A135" s="33" t="s">
        <v>77</v>
      </c>
      <c r="B135" s="4" t="s">
        <v>35</v>
      </c>
      <c r="C135" s="5">
        <v>279195.48631578946</v>
      </c>
      <c r="D135" s="5">
        <v>273424.00000000006</v>
      </c>
      <c r="E135" s="5">
        <v>268776</v>
      </c>
      <c r="F135" s="5">
        <v>900449.75789473683</v>
      </c>
      <c r="G135" s="5">
        <v>939678.53934210539</v>
      </c>
      <c r="H135" s="5">
        <v>1968267.9506842105</v>
      </c>
      <c r="I135" s="5">
        <v>4136464.9831894734</v>
      </c>
      <c r="J135" s="5">
        <v>4247176.4801508775</v>
      </c>
      <c r="K135" s="5">
        <v>4317206.9464736851</v>
      </c>
      <c r="L135" s="5">
        <v>4411976.1661842111</v>
      </c>
      <c r="M135" s="5">
        <v>4428175.7150964914</v>
      </c>
      <c r="N135" s="5">
        <v>4466396.2309736842</v>
      </c>
      <c r="O135" s="5">
        <v>5064896.7317105262</v>
      </c>
      <c r="P135" s="5">
        <v>5225590.3503157906</v>
      </c>
      <c r="Q135" s="5">
        <v>5209219.0215000007</v>
      </c>
      <c r="R135" s="5">
        <v>5229057.3492631586</v>
      </c>
      <c r="S135" s="5">
        <v>5291965.0090789478</v>
      </c>
      <c r="T135" s="5">
        <v>5286991.8345657904</v>
      </c>
      <c r="U135" s="5">
        <v>5670374.6753710527</v>
      </c>
      <c r="V135" s="5">
        <v>5660338.1530526318</v>
      </c>
      <c r="W135" s="5">
        <v>5601462.1094736848</v>
      </c>
      <c r="X135" s="5">
        <v>5526477.1736842096</v>
      </c>
      <c r="Y135" s="5">
        <v>5471064.7118421057</v>
      </c>
      <c r="Z135" s="5">
        <v>5448786.5760000004</v>
      </c>
      <c r="AA135" s="5">
        <v>5402370.4384210538</v>
      </c>
      <c r="AB135" s="5">
        <v>5355957.218657895</v>
      </c>
      <c r="AC135" s="5">
        <v>5331252.1995263165</v>
      </c>
      <c r="AD135" s="5">
        <v>5347987.9870789479</v>
      </c>
      <c r="AE135" s="5">
        <v>5353350.3886842113</v>
      </c>
      <c r="AF135" s="5">
        <v>5361718.7379210526</v>
      </c>
      <c r="AG135" s="5">
        <v>5366204.9252105262</v>
      </c>
    </row>
    <row r="136" spans="1:33" x14ac:dyDescent="0.25">
      <c r="A136" s="33" t="s">
        <v>77</v>
      </c>
      <c r="B136" s="4" t="s">
        <v>38</v>
      </c>
      <c r="C136" s="5">
        <v>11587.107368421053</v>
      </c>
      <c r="D136" s="5">
        <v>11428.56</v>
      </c>
      <c r="E136" s="5">
        <v>10932.726315789474</v>
      </c>
      <c r="F136" s="5">
        <v>10567.572631578949</v>
      </c>
      <c r="G136" s="5">
        <v>10631.53705263158</v>
      </c>
      <c r="H136" s="5">
        <v>10866.430184210529</v>
      </c>
      <c r="I136" s="5">
        <v>11173.116684210527</v>
      </c>
      <c r="J136" s="5">
        <v>11270.145</v>
      </c>
      <c r="K136" s="5">
        <v>11244.154263157896</v>
      </c>
      <c r="L136" s="6"/>
      <c r="M136" s="6"/>
      <c r="N136" s="6"/>
      <c r="O136" s="6"/>
      <c r="P136" s="6"/>
      <c r="Q136" s="6"/>
      <c r="R136" s="5">
        <v>2474544.8421052634</v>
      </c>
      <c r="S136" s="5">
        <v>2406284.8526315792</v>
      </c>
      <c r="T136" s="5">
        <v>2338392</v>
      </c>
      <c r="U136" s="5">
        <v>2311627.1999999997</v>
      </c>
      <c r="V136" s="5">
        <v>1660869.4736842106</v>
      </c>
      <c r="W136" s="5">
        <v>1338569.8526315792</v>
      </c>
      <c r="X136" s="5">
        <v>1360037.325263158</v>
      </c>
      <c r="Y136" s="5">
        <v>1425836.6414473683</v>
      </c>
      <c r="Z136" s="5">
        <v>1498642.9622368421</v>
      </c>
      <c r="AA136" s="5">
        <v>1568671.0935526318</v>
      </c>
      <c r="AB136" s="5">
        <v>1641733.5680263159</v>
      </c>
      <c r="AC136" s="5">
        <v>1713009.6702631579</v>
      </c>
      <c r="AD136" s="5">
        <v>1789072.6897368422</v>
      </c>
      <c r="AE136" s="5">
        <v>1857406.1322368421</v>
      </c>
      <c r="AF136" s="5">
        <v>1920353.3272368424</v>
      </c>
      <c r="AG136" s="5">
        <v>1918456.0949999997</v>
      </c>
    </row>
    <row r="137" spans="1:33" x14ac:dyDescent="0.25">
      <c r="A137" s="33" t="s">
        <v>78</v>
      </c>
      <c r="B137" s="4" t="s">
        <v>35</v>
      </c>
      <c r="C137" s="5">
        <v>1176475.9578947369</v>
      </c>
      <c r="D137" s="5">
        <v>1210823.0960526315</v>
      </c>
      <c r="E137" s="5">
        <v>1202070.0631578949</v>
      </c>
      <c r="F137" s="5">
        <v>1179210.2736842106</v>
      </c>
      <c r="G137" s="5">
        <v>1156422.6947368423</v>
      </c>
      <c r="H137" s="5">
        <v>1134509.894736842</v>
      </c>
      <c r="I137" s="5">
        <v>2056974.6484210526</v>
      </c>
      <c r="J137" s="5">
        <v>2294789.0828421051</v>
      </c>
      <c r="K137" s="5">
        <v>2211496</v>
      </c>
      <c r="L137" s="5">
        <v>2167587.5578947365</v>
      </c>
      <c r="M137" s="5">
        <v>2138855.2210526317</v>
      </c>
      <c r="N137" s="5">
        <v>2121637.3894736841</v>
      </c>
      <c r="O137" s="5">
        <v>2169836.425263158</v>
      </c>
      <c r="P137" s="5">
        <v>2122777</v>
      </c>
      <c r="Q137" s="5">
        <v>2183377.4401315786</v>
      </c>
      <c r="R137" s="5">
        <v>3231978.8450292395</v>
      </c>
      <c r="S137" s="5">
        <v>2064037.3894736841</v>
      </c>
      <c r="T137" s="5">
        <v>2050651.4736842106</v>
      </c>
      <c r="U137" s="5">
        <v>1989692.5894736843</v>
      </c>
      <c r="V137" s="5">
        <v>1997578.2732894737</v>
      </c>
      <c r="W137" s="5">
        <v>2219828.5335672516</v>
      </c>
      <c r="X137" s="5">
        <v>1926665.0947368424</v>
      </c>
      <c r="Y137" s="5">
        <v>1803214.4421052632</v>
      </c>
      <c r="Z137" s="5">
        <v>1820652.2673684212</v>
      </c>
      <c r="AA137" s="5">
        <v>2040123.7583040935</v>
      </c>
      <c r="AB137" s="5">
        <v>1782115.150131579</v>
      </c>
      <c r="AC137" s="5">
        <v>2433892.1383458646</v>
      </c>
      <c r="AD137" s="5">
        <v>2432473.5487218047</v>
      </c>
      <c r="AE137" s="5">
        <v>2696303.0117481202</v>
      </c>
      <c r="AF137" s="5">
        <v>2450972.2840037593</v>
      </c>
      <c r="AG137" s="5">
        <v>2456094.4891353385</v>
      </c>
    </row>
    <row r="138" spans="1:33" x14ac:dyDescent="0.25">
      <c r="A138" s="33" t="s">
        <v>78</v>
      </c>
      <c r="B138" s="4" t="s">
        <v>36</v>
      </c>
      <c r="C138" s="5">
        <v>14865737.263157895</v>
      </c>
      <c r="D138" s="5">
        <v>190382.67333333334</v>
      </c>
      <c r="E138" s="5">
        <v>186142.83333333334</v>
      </c>
      <c r="F138" s="5">
        <v>176643.36666666667</v>
      </c>
      <c r="G138" s="5">
        <v>170095.33333333334</v>
      </c>
      <c r="H138" s="5">
        <v>166748.63333333333</v>
      </c>
      <c r="I138" s="5">
        <v>182480.23333333334</v>
      </c>
      <c r="J138" s="5">
        <v>178017.31666666668</v>
      </c>
      <c r="K138" s="5">
        <v>422733.04416666669</v>
      </c>
      <c r="L138" s="5">
        <v>1017321.6258333335</v>
      </c>
      <c r="M138" s="5">
        <v>1071927.8691666666</v>
      </c>
      <c r="N138" s="5">
        <v>1119766.6708333334</v>
      </c>
      <c r="O138" s="5">
        <v>3944766.9444444445</v>
      </c>
      <c r="P138" s="5">
        <v>2160744.0058333334</v>
      </c>
      <c r="Q138" s="5">
        <v>20609939.984761905</v>
      </c>
      <c r="R138" s="5">
        <v>44346457.203214288</v>
      </c>
      <c r="S138" s="5">
        <v>17555528.535444446</v>
      </c>
      <c r="T138" s="5">
        <v>32760230.816722218</v>
      </c>
      <c r="U138" s="5">
        <v>38573931.334744446</v>
      </c>
      <c r="V138" s="5">
        <v>88974681.875500023</v>
      </c>
      <c r="W138" s="5">
        <v>27081268.034308337</v>
      </c>
      <c r="X138" s="5">
        <v>18124656.738511905</v>
      </c>
      <c r="Y138" s="5">
        <v>31843809.177579366</v>
      </c>
      <c r="Z138" s="5">
        <v>55432028.327596821</v>
      </c>
      <c r="AA138" s="5">
        <v>49867199.898809515</v>
      </c>
      <c r="AB138" s="5">
        <v>78223393.690912694</v>
      </c>
      <c r="AC138" s="5">
        <v>154337077.71615079</v>
      </c>
      <c r="AD138" s="5">
        <v>69304118.40452382</v>
      </c>
      <c r="AE138" s="5">
        <v>122627458.43647291</v>
      </c>
      <c r="AF138" s="5">
        <v>77770557.687738091</v>
      </c>
      <c r="AG138" s="5">
        <v>84871745.658650786</v>
      </c>
    </row>
    <row r="139" spans="1:33" x14ac:dyDescent="0.25">
      <c r="A139" s="33" t="s">
        <v>78</v>
      </c>
      <c r="B139" s="4" t="s">
        <v>37</v>
      </c>
      <c r="C139" s="5">
        <v>1842811.916520468</v>
      </c>
      <c r="D139" s="5">
        <v>16518501.677061403</v>
      </c>
      <c r="E139" s="5">
        <v>16435096.208026314</v>
      </c>
      <c r="F139" s="5">
        <v>16735655.33666667</v>
      </c>
      <c r="G139" s="5">
        <v>17820697.453140352</v>
      </c>
      <c r="H139" s="5">
        <v>32057846.424276318</v>
      </c>
      <c r="I139" s="5">
        <v>35827815.427353799</v>
      </c>
      <c r="J139" s="5">
        <v>35460461.573114038</v>
      </c>
      <c r="K139" s="5">
        <v>20670530.403859649</v>
      </c>
      <c r="L139" s="5">
        <v>21335802.970175438</v>
      </c>
      <c r="M139" s="5">
        <v>21312763.47732456</v>
      </c>
      <c r="N139" s="5">
        <v>19963823.756798249</v>
      </c>
      <c r="O139" s="5">
        <v>303293.88</v>
      </c>
      <c r="P139" s="5">
        <v>12923805.266222222</v>
      </c>
      <c r="Q139" s="5">
        <v>3492314.0461777784</v>
      </c>
      <c r="R139" s="5">
        <v>57521926.891944438</v>
      </c>
      <c r="S139" s="5">
        <v>71950368.707373023</v>
      </c>
      <c r="T139" s="5">
        <v>133579889.72378336</v>
      </c>
      <c r="U139" s="5">
        <v>371596018.87068176</v>
      </c>
      <c r="V139" s="5">
        <v>243450751.18795025</v>
      </c>
      <c r="W139" s="5">
        <v>167209778.84201789</v>
      </c>
      <c r="X139" s="5">
        <v>313154492.68044448</v>
      </c>
      <c r="Y139" s="5">
        <v>195541212.85638094</v>
      </c>
      <c r="Z139" s="5">
        <v>223403962.35367066</v>
      </c>
      <c r="AA139" s="5">
        <v>201758499.37661797</v>
      </c>
      <c r="AB139" s="5">
        <v>189587674.67596036</v>
      </c>
      <c r="AC139" s="5">
        <v>216000202.03325397</v>
      </c>
      <c r="AD139" s="5">
        <v>171120050.18796629</v>
      </c>
      <c r="AE139" s="5">
        <v>254154331.65633929</v>
      </c>
      <c r="AF139" s="5">
        <v>201103357.67567462</v>
      </c>
      <c r="AG139" s="5">
        <v>228007209.74936509</v>
      </c>
    </row>
    <row r="140" spans="1:33" x14ac:dyDescent="0.25">
      <c r="A140" s="33" t="s">
        <v>78</v>
      </c>
      <c r="B140" s="4" t="s">
        <v>38</v>
      </c>
      <c r="C140" s="5">
        <v>2645256.6421052632</v>
      </c>
      <c r="D140" s="5">
        <v>3063931.1425438598</v>
      </c>
      <c r="E140" s="5">
        <v>1326128.9855263159</v>
      </c>
      <c r="F140" s="5">
        <v>71796.249999999985</v>
      </c>
      <c r="G140" s="5">
        <v>74172.412499999991</v>
      </c>
      <c r="H140" s="5">
        <v>787177.58750000014</v>
      </c>
      <c r="I140" s="5">
        <v>1292080.8134523812</v>
      </c>
      <c r="J140" s="5">
        <v>1300709.1791071428</v>
      </c>
      <c r="K140" s="5">
        <v>1373713.1181845239</v>
      </c>
      <c r="L140" s="5">
        <v>1545513.547142857</v>
      </c>
      <c r="M140" s="5">
        <v>1471474.0835714284</v>
      </c>
      <c r="N140" s="5">
        <v>1471306.3321130956</v>
      </c>
      <c r="O140" s="5">
        <v>22242805.610841166</v>
      </c>
      <c r="P140" s="5">
        <v>22388887.91913221</v>
      </c>
      <c r="Q140" s="5">
        <v>25900717.791539267</v>
      </c>
      <c r="R140" s="5">
        <v>29064226.875590023</v>
      </c>
      <c r="S140" s="5">
        <v>40940899.185578741</v>
      </c>
      <c r="T140" s="5">
        <v>21118108.442583166</v>
      </c>
      <c r="U140" s="5">
        <v>30210009.8802028</v>
      </c>
      <c r="V140" s="5">
        <v>24632554.074463036</v>
      </c>
      <c r="W140" s="5">
        <v>50452164.860823408</v>
      </c>
      <c r="X140" s="5">
        <v>40811529.773847431</v>
      </c>
      <c r="Y140" s="5">
        <v>19755465.684206348</v>
      </c>
      <c r="Z140" s="5">
        <v>3967346.3226190484</v>
      </c>
      <c r="AA140" s="5">
        <v>16115370.407619046</v>
      </c>
      <c r="AB140" s="5">
        <v>33986884.538616337</v>
      </c>
      <c r="AC140" s="5">
        <v>31139883.128204368</v>
      </c>
      <c r="AD140" s="5">
        <v>48980826.75580357</v>
      </c>
      <c r="AE140" s="5">
        <v>23834977.448412694</v>
      </c>
      <c r="AF140" s="5">
        <v>46160310.364827693</v>
      </c>
      <c r="AG140" s="5">
        <v>32273220.97396826</v>
      </c>
    </row>
    <row r="141" spans="1:33" x14ac:dyDescent="0.25">
      <c r="A141" s="3" t="s">
        <v>79</v>
      </c>
      <c r="B141" s="4" t="s">
        <v>35</v>
      </c>
      <c r="C141" s="5">
        <v>1428889.2631578946</v>
      </c>
      <c r="D141" s="5">
        <v>1459255.5592105263</v>
      </c>
      <c r="E141" s="5">
        <v>1453242.3791052634</v>
      </c>
      <c r="F141" s="5">
        <v>1435241.7726315791</v>
      </c>
      <c r="G141" s="5">
        <v>1416245.04</v>
      </c>
      <c r="H141" s="5">
        <v>1405386.0107368422</v>
      </c>
      <c r="I141" s="5">
        <v>1377198.8526315787</v>
      </c>
      <c r="J141" s="5">
        <v>1347905.482105263</v>
      </c>
      <c r="K141" s="5">
        <v>1326897.6000000001</v>
      </c>
      <c r="L141" s="5">
        <v>1300552.5347368419</v>
      </c>
      <c r="M141" s="5">
        <v>1283313.1326315789</v>
      </c>
      <c r="N141" s="5">
        <v>1272982.4336842103</v>
      </c>
      <c r="O141" s="5">
        <v>1301901.8551578948</v>
      </c>
      <c r="P141" s="5">
        <v>1273666.2</v>
      </c>
      <c r="Q141" s="5">
        <v>1310026.4640789474</v>
      </c>
      <c r="R141" s="5">
        <v>1257741.4736842106</v>
      </c>
      <c r="S141" s="5">
        <v>1238422.4336842103</v>
      </c>
      <c r="T141" s="5">
        <v>1230390.8842105265</v>
      </c>
      <c r="U141" s="5">
        <v>1193815.5536842104</v>
      </c>
      <c r="V141" s="5">
        <v>1140475.1494736841</v>
      </c>
      <c r="W141" s="5">
        <v>1134781.6534736841</v>
      </c>
      <c r="X141" s="5">
        <v>1113720.8968421053</v>
      </c>
      <c r="Y141" s="5">
        <v>1081928.6652631578</v>
      </c>
      <c r="Z141" s="5">
        <v>1047952.1684210526</v>
      </c>
      <c r="AA141" s="5">
        <v>1026773.6463157894</v>
      </c>
      <c r="AB141" s="5">
        <v>1017828.6885789474</v>
      </c>
      <c r="AC141" s="5">
        <v>1016539.3515789474</v>
      </c>
      <c r="AD141" s="5">
        <v>1012324.9389473684</v>
      </c>
      <c r="AE141" s="5">
        <v>1012820.584263158</v>
      </c>
      <c r="AF141" s="5">
        <v>1013259.6964736842</v>
      </c>
      <c r="AG141" s="5">
        <v>1012182.5810526316</v>
      </c>
    </row>
    <row r="142" spans="1:33" x14ac:dyDescent="0.25">
      <c r="A142" s="33" t="s">
        <v>80</v>
      </c>
      <c r="B142" s="4" t="s">
        <v>34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5">
        <v>4000000</v>
      </c>
      <c r="X142" s="5">
        <v>4000000</v>
      </c>
      <c r="Y142" s="5">
        <v>4000000</v>
      </c>
      <c r="Z142" s="5">
        <v>4000000</v>
      </c>
      <c r="AA142" s="5">
        <v>4000000</v>
      </c>
      <c r="AB142" s="5">
        <v>4000000</v>
      </c>
      <c r="AC142" s="5">
        <v>4000000</v>
      </c>
      <c r="AD142" s="5">
        <v>4000000</v>
      </c>
      <c r="AE142" s="5">
        <v>4000000</v>
      </c>
      <c r="AF142" s="5">
        <v>4000000</v>
      </c>
      <c r="AG142" s="5">
        <v>4000000</v>
      </c>
    </row>
    <row r="143" spans="1:33" x14ac:dyDescent="0.25">
      <c r="A143" s="33" t="s">
        <v>80</v>
      </c>
      <c r="B143" s="4" t="s">
        <v>36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5">
        <v>204500</v>
      </c>
      <c r="Q143" s="5">
        <v>2364961</v>
      </c>
      <c r="R143" s="5">
        <v>2714266</v>
      </c>
      <c r="S143" s="5">
        <v>2823875</v>
      </c>
      <c r="T143" s="5">
        <v>7941600</v>
      </c>
      <c r="U143" s="5">
        <v>8084833</v>
      </c>
      <c r="V143" s="5">
        <v>12414026</v>
      </c>
      <c r="W143" s="5">
        <v>17076581</v>
      </c>
      <c r="X143" s="5">
        <v>17217510</v>
      </c>
      <c r="Y143" s="5">
        <v>23944596</v>
      </c>
      <c r="Z143" s="5">
        <v>24965167</v>
      </c>
      <c r="AA143" s="5">
        <v>17572409</v>
      </c>
      <c r="AB143" s="5">
        <v>30068507.666666701</v>
      </c>
      <c r="AC143" s="5">
        <v>20974627.666666701</v>
      </c>
      <c r="AD143" s="5">
        <v>31329211.666666701</v>
      </c>
      <c r="AE143" s="5">
        <v>18153195.285091393</v>
      </c>
      <c r="AF143" s="5">
        <v>26015730.285091389</v>
      </c>
      <c r="AG143" s="5">
        <v>19377207.360228568</v>
      </c>
    </row>
    <row r="144" spans="1:33" x14ac:dyDescent="0.25">
      <c r="A144" s="33" t="s">
        <v>80</v>
      </c>
      <c r="B144" s="4" t="s">
        <v>37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5">
        <v>927274</v>
      </c>
      <c r="S144" s="5">
        <v>891870</v>
      </c>
      <c r="T144" s="5">
        <v>5560538</v>
      </c>
      <c r="U144" s="5">
        <v>8674566</v>
      </c>
      <c r="V144" s="5">
        <v>10239370</v>
      </c>
      <c r="W144" s="5">
        <v>25948149</v>
      </c>
      <c r="X144" s="5">
        <v>27259356</v>
      </c>
      <c r="Y144" s="5">
        <v>25549642</v>
      </c>
      <c r="Z144" s="5">
        <v>33790924.166666701</v>
      </c>
      <c r="AA144" s="5">
        <v>79561865.166666701</v>
      </c>
      <c r="AB144" s="5">
        <v>96422880.166666701</v>
      </c>
      <c r="AC144" s="5">
        <v>116560499.5</v>
      </c>
      <c r="AD144" s="5">
        <v>120448195.5</v>
      </c>
      <c r="AE144" s="5">
        <v>108956230</v>
      </c>
      <c r="AF144" s="5">
        <v>114382741.75</v>
      </c>
      <c r="AG144" s="5">
        <v>123225959.44543454</v>
      </c>
    </row>
    <row r="145" spans="1:33" x14ac:dyDescent="0.25">
      <c r="A145" s="33" t="s">
        <v>80</v>
      </c>
      <c r="B145" s="4" t="s">
        <v>38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5">
        <v>510000</v>
      </c>
      <c r="S145" s="6"/>
      <c r="T145" s="6"/>
      <c r="U145" s="6"/>
      <c r="V145" s="6"/>
      <c r="W145" s="6"/>
      <c r="X145" s="6"/>
      <c r="Y145" s="5">
        <v>600000</v>
      </c>
      <c r="Z145" s="6"/>
      <c r="AA145" s="6"/>
      <c r="AB145" s="5">
        <v>2093362</v>
      </c>
      <c r="AC145" s="6"/>
      <c r="AD145" s="6"/>
      <c r="AE145" s="5">
        <v>9967824</v>
      </c>
      <c r="AF145" s="5">
        <v>9816494.2557882406</v>
      </c>
      <c r="AG145" s="5">
        <v>9816494.2557882406</v>
      </c>
    </row>
    <row r="146" spans="1:33" x14ac:dyDescent="0.25">
      <c r="A146" s="33" t="s">
        <v>81</v>
      </c>
      <c r="B146" s="4" t="s">
        <v>35</v>
      </c>
      <c r="C146" s="5">
        <v>13060967.040000001</v>
      </c>
      <c r="D146" s="5">
        <v>17323834.968000002</v>
      </c>
      <c r="E146" s="5">
        <v>17651834.138947371</v>
      </c>
      <c r="F146" s="5">
        <v>18479413.750380266</v>
      </c>
      <c r="G146" s="5">
        <v>18502480.361426316</v>
      </c>
      <c r="H146" s="5">
        <v>20212010.562536847</v>
      </c>
      <c r="I146" s="5">
        <v>25987289.002667982</v>
      </c>
      <c r="J146" s="5">
        <v>32135744.937083334</v>
      </c>
      <c r="K146" s="5">
        <v>32840916.775676753</v>
      </c>
      <c r="L146" s="5">
        <v>35453359.866758332</v>
      </c>
      <c r="M146" s="5">
        <v>37743742.235978946</v>
      </c>
      <c r="N146" s="5">
        <v>41438257.403491229</v>
      </c>
      <c r="O146" s="5">
        <v>42132220.045047365</v>
      </c>
      <c r="P146" s="5">
        <v>41842702.220763162</v>
      </c>
      <c r="Q146" s="5">
        <v>48725369.586946197</v>
      </c>
      <c r="R146" s="5">
        <v>51586501.664772376</v>
      </c>
      <c r="S146" s="5">
        <v>56631714.072703071</v>
      </c>
      <c r="T146" s="5">
        <v>47597089.794596933</v>
      </c>
      <c r="U146" s="5">
        <v>46281280.160919294</v>
      </c>
      <c r="V146" s="5">
        <v>47670185.755646043</v>
      </c>
      <c r="W146" s="5">
        <v>44214734.661034353</v>
      </c>
      <c r="X146" s="5">
        <v>44402663.055484213</v>
      </c>
      <c r="Y146" s="5">
        <v>44114371.114368424</v>
      </c>
      <c r="Z146" s="5">
        <v>45356342.2856123</v>
      </c>
      <c r="AA146" s="5">
        <v>45333381.329218417</v>
      </c>
      <c r="AB146" s="5">
        <v>45355574.463520698</v>
      </c>
      <c r="AC146" s="5">
        <v>50552676.77132684</v>
      </c>
      <c r="AD146" s="5">
        <v>50447557.01546976</v>
      </c>
      <c r="AE146" s="5">
        <v>79812275.370798126</v>
      </c>
      <c r="AF146" s="5">
        <v>87306413.576663315</v>
      </c>
      <c r="AG146" s="5">
        <v>85488520.6669323</v>
      </c>
    </row>
    <row r="147" spans="1:33" x14ac:dyDescent="0.25">
      <c r="A147" s="33" t="s">
        <v>81</v>
      </c>
      <c r="B147" s="4" t="s">
        <v>36</v>
      </c>
      <c r="C147" s="6"/>
      <c r="D147" s="6"/>
      <c r="E147" s="6"/>
      <c r="F147" s="6"/>
      <c r="G147" s="6"/>
      <c r="H147" s="6"/>
      <c r="I147" s="6"/>
      <c r="J147" s="6"/>
      <c r="K147" s="6"/>
      <c r="L147" s="5">
        <v>200203.0950808234</v>
      </c>
      <c r="M147" s="5">
        <v>792873.49670650961</v>
      </c>
      <c r="N147" s="5">
        <v>3573120.5878165271</v>
      </c>
      <c r="O147" s="5">
        <v>13105393.417805973</v>
      </c>
      <c r="P147" s="5">
        <v>23519863.698866673</v>
      </c>
      <c r="Q147" s="5">
        <v>35445643.428079933</v>
      </c>
      <c r="R147" s="5">
        <v>49433123.495195195</v>
      </c>
      <c r="S147" s="5">
        <v>45314501.412439041</v>
      </c>
      <c r="T147" s="5">
        <v>48142460.275345884</v>
      </c>
      <c r="U147" s="5">
        <v>49917920.892117925</v>
      </c>
      <c r="V147" s="5">
        <v>54728261.236803979</v>
      </c>
      <c r="W147" s="5">
        <v>52263909.089283183</v>
      </c>
      <c r="X147" s="5">
        <v>50129918.583569035</v>
      </c>
      <c r="Y147" s="5">
        <v>50973687.396143839</v>
      </c>
      <c r="Z147" s="5">
        <v>57598466.790779702</v>
      </c>
      <c r="AA147" s="5">
        <v>57002192.193283483</v>
      </c>
      <c r="AB147" s="5">
        <v>62929823.448526457</v>
      </c>
      <c r="AC147" s="5">
        <v>57826519.972562447</v>
      </c>
      <c r="AD147" s="5">
        <v>54316312.877862386</v>
      </c>
      <c r="AE147" s="5">
        <v>55351627.42181208</v>
      </c>
      <c r="AF147" s="5">
        <v>56397187.596952245</v>
      </c>
      <c r="AG147" s="5">
        <v>57292565.508875743</v>
      </c>
    </row>
    <row r="148" spans="1:33" x14ac:dyDescent="0.25">
      <c r="A148" s="33" t="s">
        <v>81</v>
      </c>
      <c r="B148" s="4" t="s">
        <v>37</v>
      </c>
      <c r="C148" s="6"/>
      <c r="D148" s="6"/>
      <c r="E148" s="6"/>
      <c r="F148" s="6"/>
      <c r="G148" s="6"/>
      <c r="H148" s="6"/>
      <c r="I148" s="6"/>
      <c r="J148" s="6"/>
      <c r="K148" s="5">
        <v>6300.6315789473692</v>
      </c>
      <c r="L148" s="5">
        <v>1516684.7848421056</v>
      </c>
      <c r="M148" s="5">
        <v>786662.91336018383</v>
      </c>
      <c r="N148" s="5">
        <v>5754403.2241271026</v>
      </c>
      <c r="O148" s="5">
        <v>10042215.637641376</v>
      </c>
      <c r="P148" s="5">
        <v>17650151.755245071</v>
      </c>
      <c r="Q148" s="5">
        <v>30776492.939990833</v>
      </c>
      <c r="R148" s="5">
        <v>40323260.444843978</v>
      </c>
      <c r="S148" s="5">
        <v>62289479.941929534</v>
      </c>
      <c r="T148" s="5">
        <v>79184760.483496264</v>
      </c>
      <c r="U148" s="5">
        <v>86610945.509905919</v>
      </c>
      <c r="V148" s="5">
        <v>90834243.606017828</v>
      </c>
      <c r="W148" s="5">
        <v>89547923.602601141</v>
      </c>
      <c r="X148" s="5">
        <v>110670314.44634902</v>
      </c>
      <c r="Y148" s="5">
        <v>136022409.15430319</v>
      </c>
      <c r="Z148" s="5">
        <v>151566999.10591397</v>
      </c>
      <c r="AA148" s="5">
        <v>148936259.07697201</v>
      </c>
      <c r="AB148" s="5">
        <v>158068844.99062547</v>
      </c>
      <c r="AC148" s="5">
        <v>161280061.74315369</v>
      </c>
      <c r="AD148" s="5">
        <v>167954803.5285427</v>
      </c>
      <c r="AE148" s="5">
        <v>161983944.08305517</v>
      </c>
      <c r="AF148" s="5">
        <v>162367383.17818081</v>
      </c>
      <c r="AG148" s="5">
        <v>162941685.62800577</v>
      </c>
    </row>
    <row r="149" spans="1:33" x14ac:dyDescent="0.25">
      <c r="A149" s="33" t="s">
        <v>81</v>
      </c>
      <c r="B149" s="4" t="s">
        <v>38</v>
      </c>
      <c r="C149" s="6"/>
      <c r="D149" s="6"/>
      <c r="E149" s="5">
        <v>265.26789473684215</v>
      </c>
      <c r="F149" s="6"/>
      <c r="G149" s="6"/>
      <c r="H149" s="6"/>
      <c r="I149" s="6"/>
      <c r="J149" s="6"/>
      <c r="K149" s="5">
        <v>5749681.0498245601</v>
      </c>
      <c r="L149" s="5">
        <v>14584259.224285087</v>
      </c>
      <c r="M149" s="5">
        <v>19570145.264802635</v>
      </c>
      <c r="N149" s="5">
        <v>32569390.704578947</v>
      </c>
      <c r="O149" s="5">
        <v>37552490.386644736</v>
      </c>
      <c r="P149" s="5">
        <v>38482360.87360967</v>
      </c>
      <c r="Q149" s="5">
        <v>41937702.214234777</v>
      </c>
      <c r="R149" s="5">
        <v>44129403.393561259</v>
      </c>
      <c r="S149" s="5">
        <v>42376912.334252</v>
      </c>
      <c r="T149" s="5">
        <v>55198343.994007736</v>
      </c>
      <c r="U149" s="5">
        <v>48739899.842038319</v>
      </c>
      <c r="V149" s="5">
        <v>44721194.695204802</v>
      </c>
      <c r="W149" s="5">
        <v>45935849.276851118</v>
      </c>
      <c r="X149" s="5">
        <v>41926482.507988669</v>
      </c>
      <c r="Y149" s="5">
        <v>42288694.876866601</v>
      </c>
      <c r="Z149" s="5">
        <v>41835833.973178819</v>
      </c>
      <c r="AA149" s="5">
        <v>50778434.442321979</v>
      </c>
      <c r="AB149" s="5">
        <v>55986612.02640079</v>
      </c>
      <c r="AC149" s="5">
        <v>53833682.8973395</v>
      </c>
      <c r="AD149" s="5">
        <v>61739689.855237551</v>
      </c>
      <c r="AE149" s="5">
        <v>66292189.292890012</v>
      </c>
      <c r="AF149" s="5">
        <v>66433635.992968164</v>
      </c>
      <c r="AG149" s="5">
        <v>66591452.998300254</v>
      </c>
    </row>
    <row r="150" spans="1:33" x14ac:dyDescent="0.25">
      <c r="A150" s="33" t="s">
        <v>82</v>
      </c>
      <c r="B150" s="4" t="s">
        <v>35</v>
      </c>
      <c r="C150" s="5">
        <v>4422019.6000000006</v>
      </c>
      <c r="D150" s="5">
        <v>4510121.3675789479</v>
      </c>
      <c r="E150" s="5">
        <v>4546910.1263157893</v>
      </c>
      <c r="F150" s="5">
        <v>4622169.3073276319</v>
      </c>
      <c r="G150" s="5">
        <v>4716022.809978948</v>
      </c>
      <c r="H150" s="5">
        <v>4795025.0186421061</v>
      </c>
      <c r="I150" s="5">
        <v>4842340.717652631</v>
      </c>
      <c r="J150" s="5">
        <v>4913609.1581223691</v>
      </c>
      <c r="K150" s="5">
        <v>5068210.2381236842</v>
      </c>
      <c r="L150" s="5">
        <v>5104854.4858881589</v>
      </c>
      <c r="M150" s="5">
        <v>5131309.1143092103</v>
      </c>
      <c r="N150" s="5">
        <v>5330299.5568723688</v>
      </c>
      <c r="O150" s="5">
        <v>5689929.9218960525</v>
      </c>
      <c r="P150" s="5">
        <v>5683761.5577171063</v>
      </c>
      <c r="Q150" s="5">
        <v>5643016.4818302626</v>
      </c>
      <c r="R150" s="5">
        <v>5636451.1991263162</v>
      </c>
      <c r="S150" s="5">
        <v>5983371.4031131584</v>
      </c>
      <c r="T150" s="5">
        <v>6033949.6308447374</v>
      </c>
      <c r="U150" s="5">
        <v>5947667.2071657898</v>
      </c>
      <c r="V150" s="5">
        <v>6099388.597781579</v>
      </c>
      <c r="W150" s="5">
        <v>6140937.1107697366</v>
      </c>
      <c r="X150" s="5">
        <v>6148127.959172368</v>
      </c>
      <c r="Y150" s="5">
        <v>6163074.300955263</v>
      </c>
      <c r="Z150" s="5">
        <v>6225175.9733157903</v>
      </c>
      <c r="AA150" s="5">
        <v>6275957.6908934209</v>
      </c>
      <c r="AB150" s="5">
        <v>6423789.1523855263</v>
      </c>
      <c r="AC150" s="5">
        <v>6434989.648182895</v>
      </c>
      <c r="AD150" s="5">
        <v>6398837.9629171062</v>
      </c>
      <c r="AE150" s="5">
        <v>6404493.0568894735</v>
      </c>
      <c r="AF150" s="5">
        <v>6450777.326017106</v>
      </c>
      <c r="AG150" s="5">
        <v>6418700.4964842089</v>
      </c>
    </row>
    <row r="151" spans="1:33" x14ac:dyDescent="0.25">
      <c r="A151" s="33" t="s">
        <v>82</v>
      </c>
      <c r="B151" s="4" t="s">
        <v>37</v>
      </c>
      <c r="C151" s="6"/>
      <c r="D151" s="6"/>
      <c r="E151" s="6"/>
      <c r="F151" s="6"/>
      <c r="G151" s="6"/>
      <c r="H151" s="6"/>
      <c r="I151" s="6"/>
      <c r="J151" s="5">
        <v>16645.621578947368</v>
      </c>
      <c r="K151" s="5">
        <v>25479.33361184211</v>
      </c>
      <c r="L151" s="5">
        <v>25802.342447368421</v>
      </c>
      <c r="M151" s="5">
        <v>63291.537447368428</v>
      </c>
      <c r="N151" s="5">
        <v>61113.820473684216</v>
      </c>
      <c r="O151" s="5">
        <v>236.45210526315793</v>
      </c>
      <c r="P151" s="5">
        <v>244.45006842105266</v>
      </c>
      <c r="Q151" s="5">
        <v>253.10083157894741</v>
      </c>
      <c r="R151" s="5">
        <v>7330.4428999999991</v>
      </c>
      <c r="S151" s="5">
        <v>7656.395289473684</v>
      </c>
      <c r="T151" s="5">
        <v>7846.6524605263148</v>
      </c>
      <c r="U151" s="5">
        <v>8147.5444605263156</v>
      </c>
      <c r="V151" s="5">
        <v>8473.8592565789459</v>
      </c>
      <c r="W151" s="5">
        <v>8710.7767171052619</v>
      </c>
      <c r="X151" s="5">
        <v>8856.3443684210524</v>
      </c>
      <c r="Y151" s="5">
        <v>8917.1741776315775</v>
      </c>
      <c r="Z151" s="5">
        <v>9053.6215789473681</v>
      </c>
      <c r="AA151" s="5">
        <v>9304.0750592105251</v>
      </c>
      <c r="AB151" s="5">
        <v>9536.2000131578934</v>
      </c>
      <c r="AC151" s="5">
        <v>9813.9971776315797</v>
      </c>
      <c r="AD151" s="5">
        <v>10029.159105263157</v>
      </c>
      <c r="AE151" s="5">
        <v>624.74615131578946</v>
      </c>
      <c r="AF151" s="5">
        <v>641.00171052631572</v>
      </c>
      <c r="AG151" s="5">
        <v>657.72019736842117</v>
      </c>
    </row>
    <row r="152" spans="1:33" x14ac:dyDescent="0.25">
      <c r="A152" s="33" t="s">
        <v>82</v>
      </c>
      <c r="B152" s="4" t="s">
        <v>38</v>
      </c>
      <c r="C152" s="6"/>
      <c r="D152" s="6"/>
      <c r="E152" s="5">
        <v>265.26789473684215</v>
      </c>
      <c r="F152" s="6"/>
      <c r="G152" s="6"/>
      <c r="H152" s="6"/>
      <c r="I152" s="6"/>
      <c r="J152" s="5">
        <v>7420.5489473684229</v>
      </c>
      <c r="K152" s="5">
        <v>7669.6748921052649</v>
      </c>
      <c r="L152" s="5">
        <v>10096.989146052632</v>
      </c>
      <c r="M152" s="5">
        <v>10700.644188157896</v>
      </c>
      <c r="N152" s="5">
        <v>10994.536500000002</v>
      </c>
      <c r="O152" s="5">
        <v>87030.384384210513</v>
      </c>
      <c r="P152" s="5">
        <v>90596.464077631594</v>
      </c>
      <c r="Q152" s="5">
        <v>89711.775534210537</v>
      </c>
      <c r="R152" s="5">
        <v>94584.982305263155</v>
      </c>
      <c r="S152" s="5">
        <v>82128.416360526317</v>
      </c>
      <c r="T152" s="5">
        <v>95610.291886842097</v>
      </c>
      <c r="U152" s="5">
        <v>104867.61404078951</v>
      </c>
      <c r="V152" s="5">
        <v>90567.095078947372</v>
      </c>
      <c r="W152" s="5">
        <v>91519.97771052632</v>
      </c>
      <c r="X152" s="5">
        <v>86532.599418421072</v>
      </c>
      <c r="Y152" s="5">
        <v>110794.94508157898</v>
      </c>
      <c r="Z152" s="5">
        <v>148102.04153684212</v>
      </c>
      <c r="AA152" s="5">
        <v>149805.48426052631</v>
      </c>
      <c r="AB152" s="5">
        <v>25704.113847368422</v>
      </c>
      <c r="AC152" s="5">
        <v>26350.424413157896</v>
      </c>
      <c r="AD152" s="5">
        <v>26682.789968421057</v>
      </c>
      <c r="AE152" s="5">
        <v>37109.947894736848</v>
      </c>
      <c r="AF152" s="5">
        <v>38105.090692105266</v>
      </c>
      <c r="AG152" s="5">
        <v>38980.994268421055</v>
      </c>
    </row>
    <row r="153" spans="1:33" x14ac:dyDescent="0.25">
      <c r="A153" s="33" t="s">
        <v>83</v>
      </c>
      <c r="B153" s="4" t="s">
        <v>35</v>
      </c>
      <c r="C153" s="6"/>
      <c r="D153" s="6"/>
      <c r="E153" s="6"/>
      <c r="F153" s="6"/>
      <c r="G153" s="6"/>
      <c r="H153" s="6"/>
      <c r="I153" s="5">
        <v>10335754.661052631</v>
      </c>
      <c r="J153" s="5">
        <v>14739886.486684211</v>
      </c>
      <c r="K153" s="5">
        <v>14407808.430236842</v>
      </c>
      <c r="L153" s="5">
        <v>14063536.878552632</v>
      </c>
      <c r="M153" s="5">
        <v>14490582.523008773</v>
      </c>
      <c r="N153" s="5">
        <v>15918164.587844299</v>
      </c>
      <c r="O153" s="5">
        <v>15873976.30263816</v>
      </c>
      <c r="P153" s="5">
        <v>20579494.684342105</v>
      </c>
      <c r="Q153" s="5">
        <v>23437586.069552634</v>
      </c>
      <c r="R153" s="5">
        <v>23711177.18510526</v>
      </c>
      <c r="S153" s="5">
        <v>26360197.767807014</v>
      </c>
      <c r="T153" s="5">
        <v>23431180.579991229</v>
      </c>
      <c r="U153" s="5">
        <v>23016328.016771927</v>
      </c>
      <c r="V153" s="5">
        <v>24634177.573754393</v>
      </c>
      <c r="W153" s="5">
        <v>23306543.589868419</v>
      </c>
      <c r="X153" s="5">
        <v>25136862.030394737</v>
      </c>
      <c r="Y153" s="5">
        <v>25343562.289421052</v>
      </c>
      <c r="Z153" s="5">
        <v>25542247.209210526</v>
      </c>
      <c r="AA153" s="5">
        <v>25611188.993421055</v>
      </c>
      <c r="AB153" s="5">
        <v>59826419.738157876</v>
      </c>
      <c r="AC153" s="5">
        <v>58142472.322236851</v>
      </c>
      <c r="AD153" s="5">
        <v>57973430.994210541</v>
      </c>
      <c r="AE153" s="5">
        <v>58084037.208289489</v>
      </c>
      <c r="AF153" s="5">
        <v>57860021.428026319</v>
      </c>
      <c r="AG153" s="5">
        <v>57668115.752105266</v>
      </c>
    </row>
    <row r="154" spans="1:33" x14ac:dyDescent="0.25">
      <c r="A154" s="33" t="s">
        <v>83</v>
      </c>
      <c r="B154" s="4" t="s">
        <v>36</v>
      </c>
      <c r="C154" s="6"/>
      <c r="D154" s="6"/>
      <c r="E154" s="6"/>
      <c r="F154" s="6"/>
      <c r="G154" s="6"/>
      <c r="H154" s="6"/>
      <c r="I154" s="5">
        <v>208687.76421052628</v>
      </c>
      <c r="J154" s="6"/>
      <c r="K154" s="6"/>
      <c r="L154" s="6"/>
      <c r="M154" s="6"/>
      <c r="N154" s="6"/>
      <c r="O154" s="5">
        <v>1054459.2449122807</v>
      </c>
      <c r="P154" s="5">
        <v>7440100.4848026335</v>
      </c>
      <c r="Q154" s="5">
        <v>19819133.823480267</v>
      </c>
      <c r="R154" s="5">
        <v>26144223.244089916</v>
      </c>
      <c r="S154" s="5">
        <v>24700700.747144736</v>
      </c>
      <c r="T154" s="5">
        <v>25890434.900640354</v>
      </c>
      <c r="U154" s="5">
        <v>29803932.834008768</v>
      </c>
      <c r="V154" s="5">
        <v>36884669.452509746</v>
      </c>
      <c r="W154" s="5">
        <v>39808136.99512817</v>
      </c>
      <c r="X154" s="5">
        <v>37309763.592844054</v>
      </c>
      <c r="Y154" s="5">
        <v>44236371.335302621</v>
      </c>
      <c r="Z154" s="5">
        <v>46707303.508339182</v>
      </c>
      <c r="AA154" s="5">
        <v>47358196.233747371</v>
      </c>
      <c r="AB154" s="5">
        <v>50033722.484811172</v>
      </c>
      <c r="AC154" s="5">
        <v>49087678.463811293</v>
      </c>
      <c r="AD154" s="5">
        <v>45162149.229637712</v>
      </c>
      <c r="AE154" s="5">
        <v>46076438.957587712</v>
      </c>
      <c r="AF154" s="5">
        <v>47168669.63769006</v>
      </c>
      <c r="AG154" s="5">
        <v>48207996.665438592</v>
      </c>
    </row>
    <row r="155" spans="1:33" x14ac:dyDescent="0.25">
      <c r="A155" s="33" t="s">
        <v>83</v>
      </c>
      <c r="B155" s="4" t="s">
        <v>37</v>
      </c>
      <c r="C155" s="6"/>
      <c r="D155" s="6"/>
      <c r="E155" s="6"/>
      <c r="F155" s="6"/>
      <c r="G155" s="6"/>
      <c r="H155" s="6"/>
      <c r="I155" s="5">
        <v>2821208.1094736848</v>
      </c>
      <c r="J155" s="5">
        <v>7758595.6578421062</v>
      </c>
      <c r="K155" s="5">
        <v>1545856.413622807</v>
      </c>
      <c r="L155" s="5">
        <v>4340799.6761578955</v>
      </c>
      <c r="M155" s="5">
        <v>3509131.2852894738</v>
      </c>
      <c r="N155" s="5">
        <v>5934020.7698421059</v>
      </c>
      <c r="O155" s="5">
        <v>10716829.758684212</v>
      </c>
      <c r="P155" s="5">
        <v>13794965.33352807</v>
      </c>
      <c r="Q155" s="5">
        <v>15321984.813298248</v>
      </c>
      <c r="R155" s="5">
        <v>18353546.231732458</v>
      </c>
      <c r="S155" s="5">
        <v>30641223.020635959</v>
      </c>
      <c r="T155" s="5">
        <v>40774101.967338167</v>
      </c>
      <c r="U155" s="5">
        <v>63288976.413310088</v>
      </c>
      <c r="V155" s="5">
        <v>89640996.887388408</v>
      </c>
      <c r="W155" s="5">
        <v>102453175.48537061</v>
      </c>
      <c r="X155" s="5">
        <v>105169239.77494223</v>
      </c>
      <c r="Y155" s="5">
        <v>122185711.40087438</v>
      </c>
      <c r="Z155" s="5">
        <v>127044091.89218491</v>
      </c>
      <c r="AA155" s="5">
        <v>138970173.6827153</v>
      </c>
      <c r="AB155" s="5">
        <v>147634565.13582504</v>
      </c>
      <c r="AC155" s="5">
        <v>156564648.16921151</v>
      </c>
      <c r="AD155" s="5">
        <v>164390695.20565206</v>
      </c>
      <c r="AE155" s="5">
        <v>161279111.15195906</v>
      </c>
      <c r="AF155" s="5">
        <v>162437618.18100882</v>
      </c>
      <c r="AG155" s="5">
        <v>163594841.15653506</v>
      </c>
    </row>
    <row r="156" spans="1:33" x14ac:dyDescent="0.25">
      <c r="A156" s="33" t="s">
        <v>83</v>
      </c>
      <c r="B156" s="4" t="s">
        <v>38</v>
      </c>
      <c r="C156" s="6"/>
      <c r="D156" s="6"/>
      <c r="E156" s="6"/>
      <c r="F156" s="6"/>
      <c r="G156" s="6"/>
      <c r="H156" s="6"/>
      <c r="I156" s="5">
        <v>890826.89684210543</v>
      </c>
      <c r="J156" s="5">
        <v>6662498.8414210528</v>
      </c>
      <c r="K156" s="5">
        <v>14960307.901736842</v>
      </c>
      <c r="L156" s="5">
        <v>15019686.423421055</v>
      </c>
      <c r="M156" s="5">
        <v>19091280.399526317</v>
      </c>
      <c r="N156" s="5">
        <v>19155745.998114035</v>
      </c>
      <c r="O156" s="5">
        <v>19708547.30618421</v>
      </c>
      <c r="P156" s="5">
        <v>19424560.752210528</v>
      </c>
      <c r="Q156" s="5">
        <v>23171793.671894733</v>
      </c>
      <c r="R156" s="5">
        <v>25918102.285394736</v>
      </c>
      <c r="S156" s="5">
        <v>23529788.7427807</v>
      </c>
      <c r="T156" s="5">
        <v>26152074.251807023</v>
      </c>
      <c r="U156" s="5">
        <v>21445941.866578951</v>
      </c>
      <c r="V156" s="5">
        <v>21058393.091315791</v>
      </c>
      <c r="W156" s="5">
        <v>22422880.976157896</v>
      </c>
      <c r="X156" s="5">
        <v>23095897.76336316</v>
      </c>
      <c r="Y156" s="5">
        <v>25830989.499072365</v>
      </c>
      <c r="Z156" s="5">
        <v>26380936.16960527</v>
      </c>
      <c r="AA156" s="5">
        <v>56128358.704078957</v>
      </c>
      <c r="AB156" s="5">
        <v>36703039.562488161</v>
      </c>
      <c r="AC156" s="5">
        <v>43141396.235631585</v>
      </c>
      <c r="AD156" s="5">
        <v>46905912.509452641</v>
      </c>
      <c r="AE156" s="5">
        <v>50533935.280736834</v>
      </c>
      <c r="AF156" s="5">
        <v>50831341.769473687</v>
      </c>
      <c r="AG156" s="5">
        <v>51145121.535921052</v>
      </c>
    </row>
    <row r="157" spans="1:33" x14ac:dyDescent="0.25">
      <c r="A157" s="33" t="s">
        <v>84</v>
      </c>
      <c r="B157" s="4" t="s">
        <v>35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5">
        <v>86509.455415354838</v>
      </c>
      <c r="AE157" s="5">
        <v>1208675.8789445283</v>
      </c>
      <c r="AF157" s="5">
        <v>1151510.0786664602</v>
      </c>
      <c r="AG157" s="5">
        <v>1140116.518780523</v>
      </c>
    </row>
    <row r="158" spans="1:33" x14ac:dyDescent="0.25">
      <c r="A158" s="33" t="s">
        <v>84</v>
      </c>
      <c r="B158" s="4" t="s">
        <v>36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5">
        <v>177575.78226179548</v>
      </c>
      <c r="AE158" s="5">
        <v>1118042.4206951153</v>
      </c>
      <c r="AF158" s="5">
        <v>1736192.7992490674</v>
      </c>
      <c r="AG158" s="5">
        <v>3095533.6346984911</v>
      </c>
    </row>
    <row r="159" spans="1:33" x14ac:dyDescent="0.25">
      <c r="A159" s="33" t="s">
        <v>84</v>
      </c>
      <c r="B159" s="4" t="s">
        <v>37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5">
        <v>161542.72993373871</v>
      </c>
      <c r="AD159" s="5">
        <v>755641.72309740749</v>
      </c>
      <c r="AE159" s="5">
        <v>4026317.5915884087</v>
      </c>
      <c r="AF159" s="5">
        <v>8634918.6049702503</v>
      </c>
      <c r="AG159" s="5">
        <v>24073104.668296658</v>
      </c>
    </row>
    <row r="160" spans="1:33" x14ac:dyDescent="0.25">
      <c r="A160" s="33" t="s">
        <v>84</v>
      </c>
      <c r="B160" s="4" t="s">
        <v>38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5">
        <v>4078988.2732387651</v>
      </c>
      <c r="AD160" s="5">
        <v>6691228.1044248641</v>
      </c>
      <c r="AE160" s="5">
        <v>6092963.1797585618</v>
      </c>
      <c r="AF160" s="5">
        <v>7579605.6570215253</v>
      </c>
      <c r="AG160" s="5">
        <v>8249515.7360912031</v>
      </c>
    </row>
    <row r="161" spans="1:33" x14ac:dyDescent="0.25">
      <c r="A161" s="33" t="s">
        <v>85</v>
      </c>
      <c r="B161" s="4" t="s">
        <v>35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5">
        <v>3637360.843289474</v>
      </c>
      <c r="R161" s="5">
        <v>3673475.1940789474</v>
      </c>
      <c r="S161" s="5">
        <v>3683601.9175</v>
      </c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spans="1:33" x14ac:dyDescent="0.25">
      <c r="A162" s="33" t="s">
        <v>85</v>
      </c>
      <c r="B162" s="4" t="s">
        <v>37</v>
      </c>
      <c r="C162" s="5">
        <v>2545528.4842105266</v>
      </c>
      <c r="D162" s="5">
        <v>2536520.3368421057</v>
      </c>
      <c r="E162" s="5">
        <v>2611041.1148684211</v>
      </c>
      <c r="F162" s="5">
        <v>2677227.8731578947</v>
      </c>
      <c r="G162" s="5">
        <v>2797035.5771052632</v>
      </c>
      <c r="H162" s="5">
        <v>2823857.4142105263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spans="1:33" x14ac:dyDescent="0.25">
      <c r="A163" s="33" t="s">
        <v>85</v>
      </c>
      <c r="B163" s="4" t="s">
        <v>38</v>
      </c>
      <c r="C163" s="6"/>
      <c r="D163" s="6"/>
      <c r="E163" s="6"/>
      <c r="F163" s="6"/>
      <c r="G163" s="6"/>
      <c r="H163" s="6"/>
      <c r="I163" s="5">
        <v>2823912.1809210526</v>
      </c>
      <c r="J163" s="5">
        <v>2846120.5861842106</v>
      </c>
      <c r="K163" s="5">
        <v>2972265.729473684</v>
      </c>
      <c r="L163" s="5">
        <v>3183045.3127631582</v>
      </c>
      <c r="M163" s="5">
        <v>3276789.5201315796</v>
      </c>
      <c r="N163" s="5">
        <v>3204466.4736842103</v>
      </c>
      <c r="O163" s="5">
        <v>3266585.3885526317</v>
      </c>
      <c r="P163" s="5">
        <v>3479767.6746052634</v>
      </c>
      <c r="Q163" s="6"/>
      <c r="R163" s="6"/>
      <c r="S163" s="6"/>
      <c r="T163" s="5">
        <v>3734274.9089473686</v>
      </c>
      <c r="U163" s="5">
        <v>3745556.7619736847</v>
      </c>
      <c r="V163" s="5">
        <v>3637911.2161842105</v>
      </c>
      <c r="W163" s="5">
        <v>3497061.7263157894</v>
      </c>
      <c r="X163" s="5">
        <v>3445692.884210526</v>
      </c>
      <c r="Y163" s="6"/>
      <c r="Z163" s="6"/>
      <c r="AA163" s="6"/>
      <c r="AB163" s="6"/>
      <c r="AC163" s="6"/>
      <c r="AD163" s="6"/>
      <c r="AE163" s="6"/>
      <c r="AF163" s="6"/>
      <c r="AG163" s="6"/>
    </row>
    <row r="164" spans="1:33" x14ac:dyDescent="0.25">
      <c r="A164" s="33" t="s">
        <v>86</v>
      </c>
      <c r="B164" s="4" t="s">
        <v>35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5">
        <v>538908.28888888878</v>
      </c>
      <c r="AD164" s="5">
        <v>536305.45555555553</v>
      </c>
      <c r="AE164" s="5">
        <v>532780.04444444436</v>
      </c>
      <c r="AF164" s="5">
        <v>528747</v>
      </c>
      <c r="AG164" s="5">
        <v>524620.18888888881</v>
      </c>
    </row>
    <row r="165" spans="1:33" x14ac:dyDescent="0.25">
      <c r="A165" s="33" t="s">
        <v>86</v>
      </c>
      <c r="B165" s="4" t="s">
        <v>36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5">
        <v>2214562.5955555555</v>
      </c>
      <c r="Y165" s="5">
        <v>105854.87418055555</v>
      </c>
      <c r="Z165" s="5">
        <v>9556962.4712638892</v>
      </c>
      <c r="AA165" s="5">
        <v>23186563.057405557</v>
      </c>
      <c r="AB165" s="5">
        <v>38449083.200261109</v>
      </c>
      <c r="AC165" s="5">
        <v>51522481.106722221</v>
      </c>
      <c r="AD165" s="5">
        <v>16498018.664999999</v>
      </c>
      <c r="AE165" s="5">
        <v>20667349.2205</v>
      </c>
      <c r="AF165" s="5">
        <v>16018240.445111113</v>
      </c>
      <c r="AG165" s="5">
        <v>11686619.239444446</v>
      </c>
    </row>
    <row r="166" spans="1:33" x14ac:dyDescent="0.25">
      <c r="A166" s="33" t="s">
        <v>86</v>
      </c>
      <c r="B166" s="4" t="s">
        <v>37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5">
        <v>11769442.115555556</v>
      </c>
      <c r="W166" s="5">
        <v>2049791.5166666668</v>
      </c>
      <c r="X166" s="5">
        <v>29428114.240145832</v>
      </c>
      <c r="Y166" s="5">
        <v>33379942.475094903</v>
      </c>
      <c r="Z166" s="5">
        <v>13144439.498777777</v>
      </c>
      <c r="AA166" s="5">
        <v>48195451.569561109</v>
      </c>
      <c r="AB166" s="5">
        <v>22154549.332011942</v>
      </c>
      <c r="AC166" s="5">
        <v>77847655.510595828</v>
      </c>
      <c r="AD166" s="5">
        <v>94271264.761677772</v>
      </c>
      <c r="AE166" s="5">
        <v>69583774.396555543</v>
      </c>
      <c r="AF166" s="5">
        <v>69819655.096500009</v>
      </c>
      <c r="AG166" s="5">
        <v>67230835.707277775</v>
      </c>
    </row>
    <row r="167" spans="1:33" x14ac:dyDescent="0.25">
      <c r="A167" s="33" t="s">
        <v>86</v>
      </c>
      <c r="B167" s="4" t="s">
        <v>38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5">
        <v>3241.6355555555556</v>
      </c>
      <c r="Y167" s="5">
        <v>891069.22666666668</v>
      </c>
      <c r="Z167" s="5">
        <v>1729160.2317777779</v>
      </c>
      <c r="AA167" s="5">
        <v>2254353.7741111112</v>
      </c>
      <c r="AB167" s="5">
        <v>12713427.15177778</v>
      </c>
      <c r="AC167" s="5">
        <v>3897934.8814666662</v>
      </c>
      <c r="AD167" s="5">
        <v>5429118.8349444438</v>
      </c>
      <c r="AE167" s="5">
        <v>8609476.7408611104</v>
      </c>
      <c r="AF167" s="5">
        <v>8917881.4530833326</v>
      </c>
      <c r="AG167" s="5">
        <v>8927850.3513888884</v>
      </c>
    </row>
    <row r="168" spans="1:33" x14ac:dyDescent="0.25">
      <c r="A168" s="33" t="s">
        <v>87</v>
      </c>
      <c r="B168" s="4" t="s">
        <v>34</v>
      </c>
      <c r="C168" s="5">
        <v>232658.55000000002</v>
      </c>
      <c r="D168" s="5">
        <v>219625.44999999998</v>
      </c>
      <c r="E168" s="5">
        <v>219984.61</v>
      </c>
      <c r="F168" s="5">
        <v>269709.28499999997</v>
      </c>
      <c r="G168" s="5">
        <v>251526.15</v>
      </c>
      <c r="H168" s="5">
        <v>252329.00999999998</v>
      </c>
      <c r="I168" s="5">
        <v>227246.625</v>
      </c>
      <c r="J168" s="5">
        <v>240217.69500000001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spans="1:33" x14ac:dyDescent="0.25">
      <c r="A169" s="33" t="s">
        <v>87</v>
      </c>
      <c r="B169" s="4" t="s">
        <v>35</v>
      </c>
      <c r="C169" s="5">
        <v>2841944.5473684212</v>
      </c>
      <c r="D169" s="5">
        <v>2904553.398552632</v>
      </c>
      <c r="E169" s="5">
        <v>2990614.485657895</v>
      </c>
      <c r="F169" s="5">
        <v>3894225.8036842104</v>
      </c>
      <c r="G169" s="5">
        <v>3931729.4551315792</v>
      </c>
      <c r="H169" s="5">
        <v>3914108.567631579</v>
      </c>
      <c r="I169" s="5">
        <v>4422950.7038157899</v>
      </c>
      <c r="J169" s="5">
        <v>4438362.025657895</v>
      </c>
      <c r="K169" s="5">
        <v>4482594.2314473689</v>
      </c>
      <c r="L169" s="5">
        <v>4548022.3380263168</v>
      </c>
      <c r="M169" s="5">
        <v>4568587.9564473685</v>
      </c>
      <c r="N169" s="5">
        <v>5533187.1151315793</v>
      </c>
      <c r="O169" s="5">
        <v>5449074.9618421057</v>
      </c>
      <c r="P169" s="5">
        <v>5463482.3534210529</v>
      </c>
      <c r="Q169" s="5">
        <v>15543607.391491227</v>
      </c>
      <c r="R169" s="5">
        <v>15202132.840467837</v>
      </c>
      <c r="S169" s="5">
        <v>22151536.483801171</v>
      </c>
      <c r="T169" s="5">
        <v>5410736.75</v>
      </c>
      <c r="U169" s="5">
        <v>5381783.7547368426</v>
      </c>
      <c r="V169" s="5">
        <v>7142140.8156578951</v>
      </c>
      <c r="W169" s="5">
        <v>5001398.2953947373</v>
      </c>
      <c r="X169" s="5">
        <v>4954466.0018421058</v>
      </c>
      <c r="Y169" s="5">
        <v>4817840.6584210526</v>
      </c>
      <c r="Z169" s="5">
        <v>5076841.6719736848</v>
      </c>
      <c r="AA169" s="5">
        <v>5017321.8746052636</v>
      </c>
      <c r="AB169" s="5">
        <v>5018045.645526316</v>
      </c>
      <c r="AC169" s="5">
        <v>8127735.5678947363</v>
      </c>
      <c r="AD169" s="5">
        <v>8224556.4739473686</v>
      </c>
      <c r="AE169" s="5">
        <v>11426053.160657894</v>
      </c>
      <c r="AF169" s="5">
        <v>11547163.107368421</v>
      </c>
      <c r="AG169" s="5">
        <v>11586096.10842105</v>
      </c>
    </row>
    <row r="170" spans="1:33" x14ac:dyDescent="0.25">
      <c r="A170" s="33" t="s">
        <v>87</v>
      </c>
      <c r="B170" s="4" t="s">
        <v>36</v>
      </c>
      <c r="C170" s="5">
        <v>12520129.757894736</v>
      </c>
      <c r="D170" s="5">
        <v>18459325.928157888</v>
      </c>
      <c r="E170" s="5">
        <v>17806693.910947368</v>
      </c>
      <c r="F170" s="5">
        <v>18064524.608192984</v>
      </c>
      <c r="G170" s="5">
        <v>13686781.021666665</v>
      </c>
      <c r="H170" s="5">
        <v>5480536.114368421</v>
      </c>
      <c r="I170" s="5">
        <v>5341472.2973684203</v>
      </c>
      <c r="J170" s="5">
        <v>4073879.5861052629</v>
      </c>
      <c r="K170" s="5">
        <v>3935782.4076842107</v>
      </c>
      <c r="L170" s="5">
        <v>3709156.5824912284</v>
      </c>
      <c r="M170" s="5">
        <v>4644192.5259999996</v>
      </c>
      <c r="N170" s="5">
        <v>2730191.0458333325</v>
      </c>
      <c r="O170" s="5">
        <v>2014157.8388157894</v>
      </c>
      <c r="P170" s="5">
        <v>2305720.5190789476</v>
      </c>
      <c r="Q170" s="5">
        <v>2817138.5981578948</v>
      </c>
      <c r="R170" s="5">
        <v>4801488.954254386</v>
      </c>
      <c r="S170" s="5">
        <v>9978900.9733333327</v>
      </c>
      <c r="T170" s="5">
        <v>11568980.523333332</v>
      </c>
      <c r="U170" s="5">
        <v>16792318.550763886</v>
      </c>
      <c r="V170" s="5">
        <v>34386708.704892635</v>
      </c>
      <c r="W170" s="5">
        <v>50231661.143146113</v>
      </c>
      <c r="X170" s="5">
        <v>54546918.763295434</v>
      </c>
      <c r="Y170" s="5">
        <v>54263004.378875196</v>
      </c>
      <c r="Z170" s="5">
        <v>64555188.923306808</v>
      </c>
      <c r="AA170" s="5">
        <v>63941710.160380229</v>
      </c>
      <c r="AB170" s="5">
        <v>64166707.889740564</v>
      </c>
      <c r="AC170" s="5">
        <v>57647264.27909784</v>
      </c>
      <c r="AD170" s="5">
        <v>57101205.359353423</v>
      </c>
      <c r="AE170" s="5">
        <v>58421305.23361285</v>
      </c>
      <c r="AF170" s="5">
        <v>59881164.598512366</v>
      </c>
      <c r="AG170" s="5">
        <v>61286058.379432946</v>
      </c>
    </row>
    <row r="171" spans="1:33" x14ac:dyDescent="0.25">
      <c r="A171" s="33" t="s">
        <v>87</v>
      </c>
      <c r="B171" s="4" t="s">
        <v>37</v>
      </c>
      <c r="C171" s="5">
        <v>38244135.718719997</v>
      </c>
      <c r="D171" s="5">
        <v>32315011.611089401</v>
      </c>
      <c r="E171" s="5">
        <v>32528537.97893079</v>
      </c>
      <c r="F171" s="5">
        <v>34791596.69592759</v>
      </c>
      <c r="G171" s="5">
        <v>56283137.228706896</v>
      </c>
      <c r="H171" s="5">
        <v>62777078.853082307</v>
      </c>
      <c r="I171" s="5">
        <v>49382370.409407631</v>
      </c>
      <c r="J171" s="5">
        <v>49111139.885959856</v>
      </c>
      <c r="K171" s="5">
        <v>34422403.842548907</v>
      </c>
      <c r="L171" s="5">
        <v>32579983.543040413</v>
      </c>
      <c r="M171" s="5">
        <v>27203349.54814145</v>
      </c>
      <c r="N171" s="5">
        <v>27147858.283585522</v>
      </c>
      <c r="O171" s="5">
        <v>25210492.983854171</v>
      </c>
      <c r="P171" s="5">
        <v>26083716.581666663</v>
      </c>
      <c r="Q171" s="5">
        <v>26224814.813666672</v>
      </c>
      <c r="R171" s="5">
        <v>30127176.514333338</v>
      </c>
      <c r="S171" s="5">
        <v>64806004.983572386</v>
      </c>
      <c r="T171" s="5">
        <v>82501135.101401925</v>
      </c>
      <c r="U171" s="5">
        <v>113196417.5693313</v>
      </c>
      <c r="V171" s="5">
        <v>210086348.33406669</v>
      </c>
      <c r="W171" s="5">
        <v>218602366.76764834</v>
      </c>
      <c r="X171" s="5">
        <v>188935589.82744324</v>
      </c>
      <c r="Y171" s="5">
        <v>211420548.0733265</v>
      </c>
      <c r="Z171" s="5">
        <v>202894066.39226276</v>
      </c>
      <c r="AA171" s="5">
        <v>188318801.57164854</v>
      </c>
      <c r="AB171" s="5">
        <v>190618129.89459801</v>
      </c>
      <c r="AC171" s="5">
        <v>195001796.32916331</v>
      </c>
      <c r="AD171" s="5">
        <v>198662362.35402381</v>
      </c>
      <c r="AE171" s="5">
        <v>195098932.63740033</v>
      </c>
      <c r="AF171" s="5">
        <v>197186827.47049281</v>
      </c>
      <c r="AG171" s="5">
        <v>198326735.48209769</v>
      </c>
    </row>
    <row r="172" spans="1:33" x14ac:dyDescent="0.25">
      <c r="A172" s="33" t="s">
        <v>87</v>
      </c>
      <c r="B172" s="4" t="s">
        <v>38</v>
      </c>
      <c r="C172" s="5">
        <v>40251554.25131581</v>
      </c>
      <c r="D172" s="5">
        <v>41253010.129999988</v>
      </c>
      <c r="E172" s="5">
        <v>39096002.314078942</v>
      </c>
      <c r="F172" s="5">
        <v>35535637.527763158</v>
      </c>
      <c r="G172" s="5">
        <v>18317299.068684213</v>
      </c>
      <c r="H172" s="5">
        <v>17999105.549736835</v>
      </c>
      <c r="I172" s="5">
        <v>29416974.684510231</v>
      </c>
      <c r="J172" s="5">
        <v>28689584.747090634</v>
      </c>
      <c r="K172" s="5">
        <v>45674479.112960532</v>
      </c>
      <c r="L172" s="5">
        <v>47463010.485586099</v>
      </c>
      <c r="M172" s="5">
        <v>50396142.132774718</v>
      </c>
      <c r="N172" s="5">
        <v>56024776.64225734</v>
      </c>
      <c r="O172" s="5">
        <v>57697230.190882437</v>
      </c>
      <c r="P172" s="5">
        <v>48615029.089845397</v>
      </c>
      <c r="Q172" s="5">
        <v>46340750.385567881</v>
      </c>
      <c r="R172" s="5">
        <v>44877744.815588713</v>
      </c>
      <c r="S172" s="5">
        <v>40781324.459899515</v>
      </c>
      <c r="T172" s="5">
        <v>53018453.4499259</v>
      </c>
      <c r="U172" s="5">
        <v>54422349.741233103</v>
      </c>
      <c r="V172" s="5">
        <v>45160640.559977047</v>
      </c>
      <c r="W172" s="5">
        <v>46050659.696749114</v>
      </c>
      <c r="X172" s="5">
        <v>64878822.592667088</v>
      </c>
      <c r="Y172" s="5">
        <v>44978440.233561151</v>
      </c>
      <c r="Z172" s="5">
        <v>45362584.163900882</v>
      </c>
      <c r="AA172" s="5">
        <v>65129386.132897362</v>
      </c>
      <c r="AB172" s="5">
        <v>65819454.433049873</v>
      </c>
      <c r="AC172" s="5">
        <v>69249260.882424936</v>
      </c>
      <c r="AD172" s="5">
        <v>70280850.998498946</v>
      </c>
      <c r="AE172" s="5">
        <v>73579231.40387851</v>
      </c>
      <c r="AF172" s="5">
        <v>74317849.750056118</v>
      </c>
      <c r="AG172" s="5">
        <v>74368544.324421823</v>
      </c>
    </row>
    <row r="173" spans="1:33" x14ac:dyDescent="0.25">
      <c r="A173" s="33" t="s">
        <v>88</v>
      </c>
      <c r="B173" s="4" t="s">
        <v>35</v>
      </c>
      <c r="C173" s="5">
        <v>206603.87368421053</v>
      </c>
      <c r="D173" s="5">
        <v>205648.16842105263</v>
      </c>
      <c r="E173" s="5">
        <v>203398.78947368421</v>
      </c>
      <c r="F173" s="5">
        <v>204262.65565789473</v>
      </c>
      <c r="G173" s="5">
        <v>839010.14736842108</v>
      </c>
      <c r="H173" s="5">
        <v>818057.49473684211</v>
      </c>
      <c r="I173" s="5">
        <v>809735.1031578948</v>
      </c>
      <c r="J173" s="5">
        <v>800870.59763157903</v>
      </c>
      <c r="K173" s="5">
        <v>805005.08789473691</v>
      </c>
      <c r="L173" s="5">
        <v>844403.82565789483</v>
      </c>
      <c r="M173" s="5">
        <v>890026.61763157893</v>
      </c>
      <c r="N173" s="5">
        <v>897570.72539473674</v>
      </c>
      <c r="O173" s="5">
        <v>885834.95447368431</v>
      </c>
      <c r="P173" s="5">
        <v>872386.1473684212</v>
      </c>
      <c r="Q173" s="5">
        <v>876030.22144736839</v>
      </c>
      <c r="R173" s="5">
        <v>864587.2348684211</v>
      </c>
      <c r="S173" s="5">
        <v>687976.77539473691</v>
      </c>
      <c r="T173" s="5">
        <v>702874.97894736845</v>
      </c>
      <c r="U173" s="5">
        <v>721855.0746052633</v>
      </c>
      <c r="V173" s="5">
        <v>44061.387499999997</v>
      </c>
      <c r="W173" s="5">
        <v>38306.210526315794</v>
      </c>
      <c r="X173" s="5">
        <v>37170.947368421053</v>
      </c>
      <c r="Y173" s="5">
        <v>38690.818815789469</v>
      </c>
      <c r="Z173" s="5">
        <v>40480.458026315791</v>
      </c>
      <c r="AA173" s="5">
        <v>40789.746315789482</v>
      </c>
      <c r="AB173" s="5">
        <v>39898.547368421052</v>
      </c>
      <c r="AC173" s="5">
        <v>39555</v>
      </c>
      <c r="AD173" s="5">
        <v>39351.915789473685</v>
      </c>
      <c r="AE173" s="5">
        <v>38722.400000000001</v>
      </c>
      <c r="AF173" s="5">
        <v>38108.589473684209</v>
      </c>
      <c r="AG173" s="5">
        <v>37434.968421052632</v>
      </c>
    </row>
    <row r="174" spans="1:33" x14ac:dyDescent="0.25">
      <c r="A174" s="33" t="s">
        <v>88</v>
      </c>
      <c r="B174" s="4" t="s">
        <v>37</v>
      </c>
      <c r="C174" s="5">
        <v>35901.473684210527</v>
      </c>
      <c r="D174" s="5">
        <v>38278.125</v>
      </c>
      <c r="E174" s="5">
        <v>36291.031578947368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spans="1:33" x14ac:dyDescent="0.25">
      <c r="A175" s="33" t="s">
        <v>88</v>
      </c>
      <c r="B175" s="4" t="s">
        <v>38</v>
      </c>
      <c r="C175" s="6"/>
      <c r="D175" s="6"/>
      <c r="E175" s="6"/>
      <c r="F175" s="5">
        <v>34420.705263157892</v>
      </c>
      <c r="G175" s="5">
        <v>33523.221052631576</v>
      </c>
      <c r="H175" s="5">
        <v>32313.599999999999</v>
      </c>
      <c r="I175" s="5">
        <v>30110.589473684213</v>
      </c>
      <c r="J175" s="5">
        <v>26798.357894736841</v>
      </c>
      <c r="K175" s="5">
        <v>22660.926315789471</v>
      </c>
      <c r="L175" s="5">
        <v>19951.410526315791</v>
      </c>
      <c r="M175" s="5">
        <v>18169.263157894737</v>
      </c>
      <c r="N175" s="6"/>
      <c r="O175" s="5">
        <v>16511.578947368424</v>
      </c>
      <c r="P175" s="5">
        <v>17748.349473684215</v>
      </c>
      <c r="Q175" s="6"/>
      <c r="R175" s="6"/>
      <c r="S175" s="6"/>
      <c r="T175" s="6"/>
      <c r="U175" s="5">
        <v>38759</v>
      </c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spans="1:33" x14ac:dyDescent="0.25">
      <c r="A176" s="33" t="s">
        <v>89</v>
      </c>
      <c r="B176" s="4" t="s">
        <v>35</v>
      </c>
      <c r="C176" s="5">
        <v>9147534.8421052638</v>
      </c>
      <c r="D176" s="5">
        <v>9576730.7426315788</v>
      </c>
      <c r="E176" s="5">
        <v>9609399.0274999999</v>
      </c>
      <c r="F176" s="5">
        <v>11362073.826578949</v>
      </c>
      <c r="G176" s="5">
        <v>11377675.064736843</v>
      </c>
      <c r="H176" s="5">
        <v>11329489.316842105</v>
      </c>
      <c r="I176" s="5">
        <v>11338520.919078948</v>
      </c>
      <c r="J176" s="5">
        <v>11334008.511710526</v>
      </c>
      <c r="K176" s="5">
        <v>11361181.383684212</v>
      </c>
      <c r="L176" s="5">
        <v>11693356.444342107</v>
      </c>
      <c r="M176" s="5">
        <v>11686688.871842105</v>
      </c>
      <c r="N176" s="5">
        <v>11991240.625921052</v>
      </c>
      <c r="O176" s="5">
        <v>11884998.335921053</v>
      </c>
      <c r="P176" s="5">
        <v>11675205.916578948</v>
      </c>
      <c r="Q176" s="5">
        <v>11858462.15486842</v>
      </c>
      <c r="R176" s="5">
        <v>11867721.763289474</v>
      </c>
      <c r="S176" s="5">
        <v>12786176.56881579</v>
      </c>
      <c r="T176" s="5">
        <v>13404264.711052634</v>
      </c>
      <c r="U176" s="5">
        <v>12973768.640921053</v>
      </c>
      <c r="V176" s="5">
        <v>13557806.206359649</v>
      </c>
      <c r="W176" s="5">
        <v>14881586.31172807</v>
      </c>
      <c r="X176" s="5">
        <v>14706604.71894737</v>
      </c>
      <c r="Y176" s="5">
        <v>14493141.58368421</v>
      </c>
      <c r="Z176" s="5">
        <v>14787953.189210525</v>
      </c>
      <c r="AA176" s="5">
        <v>14719106.214342106</v>
      </c>
      <c r="AB176" s="5">
        <v>14640861.628684212</v>
      </c>
      <c r="AC176" s="5">
        <v>14627620.845263157</v>
      </c>
      <c r="AD176" s="5">
        <v>14611718.677368423</v>
      </c>
      <c r="AE176" s="5">
        <v>14456474.476973685</v>
      </c>
      <c r="AF176" s="5">
        <v>14250869.3475</v>
      </c>
      <c r="AG176" s="5">
        <v>14085732.501447368</v>
      </c>
    </row>
    <row r="177" spans="1:33" x14ac:dyDescent="0.25">
      <c r="A177" s="33" t="s">
        <v>89</v>
      </c>
      <c r="B177" s="4" t="s">
        <v>37</v>
      </c>
      <c r="C177" s="5">
        <v>77322.610526315781</v>
      </c>
      <c r="D177" s="5">
        <v>76985.893157894738</v>
      </c>
      <c r="E177" s="5">
        <v>1933.8305263157899</v>
      </c>
      <c r="F177" s="5">
        <v>1952.6618421052633</v>
      </c>
      <c r="G177" s="5">
        <v>2221.7684210526318</v>
      </c>
      <c r="H177" s="5">
        <v>2505.8902631578949</v>
      </c>
      <c r="I177" s="5">
        <v>2479.485394736842</v>
      </c>
      <c r="J177" s="5">
        <v>2459.6</v>
      </c>
      <c r="K177" s="5">
        <v>2382.9473684210525</v>
      </c>
      <c r="L177" s="5">
        <v>2345.2000000000003</v>
      </c>
      <c r="M177" s="5">
        <v>2100.7894736842104</v>
      </c>
      <c r="N177" s="5">
        <v>2062.105263157895</v>
      </c>
      <c r="O177" s="5">
        <v>1844.3157894736842</v>
      </c>
      <c r="P177" s="5">
        <v>100480.48881578947</v>
      </c>
      <c r="Q177" s="5">
        <v>100028.75065789474</v>
      </c>
      <c r="R177" s="5">
        <v>94656.336842105273</v>
      </c>
      <c r="S177" s="5">
        <v>1168.1052631578948</v>
      </c>
      <c r="T177" s="5">
        <v>87491.860263157898</v>
      </c>
      <c r="U177" s="5">
        <v>110257.76589473683</v>
      </c>
      <c r="V177" s="5">
        <v>103038.31578947368</v>
      </c>
      <c r="W177" s="5">
        <v>102228.88421052632</v>
      </c>
      <c r="X177" s="5">
        <v>101413.38947368422</v>
      </c>
      <c r="Y177" s="5">
        <v>100597.89473684211</v>
      </c>
      <c r="Z177" s="5">
        <v>99803.621052631584</v>
      </c>
      <c r="AA177" s="5">
        <v>107606.22</v>
      </c>
      <c r="AB177" s="5">
        <v>111002.69355263158</v>
      </c>
      <c r="AC177" s="5">
        <v>115663.42960526317</v>
      </c>
      <c r="AD177" s="5">
        <v>111293.53684210527</v>
      </c>
      <c r="AE177" s="6"/>
      <c r="AF177" s="6"/>
      <c r="AG177" s="6"/>
    </row>
    <row r="178" spans="1:33" x14ac:dyDescent="0.25">
      <c r="A178" s="33" t="s">
        <v>89</v>
      </c>
      <c r="B178" s="4" t="s">
        <v>38</v>
      </c>
      <c r="C178" s="5">
        <v>1444221.4210526317</v>
      </c>
      <c r="D178" s="5">
        <v>1909163.7096052633</v>
      </c>
      <c r="E178" s="5">
        <v>2411436.5731578944</v>
      </c>
      <c r="F178" s="5">
        <v>942975.97723684204</v>
      </c>
      <c r="G178" s="5">
        <v>906259.84947368433</v>
      </c>
      <c r="H178" s="5">
        <v>857414.46539473697</v>
      </c>
      <c r="I178" s="5">
        <v>885491.9713157895</v>
      </c>
      <c r="J178" s="5">
        <v>852526.24210526329</v>
      </c>
      <c r="K178" s="5">
        <v>815851.07118421048</v>
      </c>
      <c r="L178" s="5">
        <v>483088.54500000004</v>
      </c>
      <c r="M178" s="5">
        <v>479618.28342105262</v>
      </c>
      <c r="N178" s="5">
        <v>136465.89530701755</v>
      </c>
      <c r="O178" s="5">
        <v>2028267.0484210528</v>
      </c>
      <c r="P178" s="5">
        <v>2938480.8738947366</v>
      </c>
      <c r="Q178" s="5">
        <v>2680286.2628947366</v>
      </c>
      <c r="R178" s="5">
        <v>2690954.6294736844</v>
      </c>
      <c r="S178" s="5">
        <v>2473093.1286842106</v>
      </c>
      <c r="T178" s="5">
        <v>2435350.8232894735</v>
      </c>
      <c r="U178" s="5">
        <v>2637259.6414473685</v>
      </c>
      <c r="V178" s="5">
        <v>2979271.6259868424</v>
      </c>
      <c r="W178" s="5">
        <v>2980972.9018421057</v>
      </c>
      <c r="X178" s="5">
        <v>2749129.244342105</v>
      </c>
      <c r="Y178" s="5">
        <v>2975680.422105263</v>
      </c>
      <c r="Z178" s="5">
        <v>2709854.8228947371</v>
      </c>
      <c r="AA178" s="5">
        <v>2698964.4635526319</v>
      </c>
      <c r="AB178" s="5">
        <v>2693711.4474999998</v>
      </c>
      <c r="AC178" s="5">
        <v>2630114.0731578949</v>
      </c>
      <c r="AD178" s="5">
        <v>2559498.6844736841</v>
      </c>
      <c r="AE178" s="5">
        <v>2656655.645526316</v>
      </c>
      <c r="AF178" s="5">
        <v>2659752.9302631579</v>
      </c>
      <c r="AG178" s="5">
        <v>2658726.6143421056</v>
      </c>
    </row>
    <row r="179" spans="1:33" x14ac:dyDescent="0.25">
      <c r="A179" s="33" t="s">
        <v>90</v>
      </c>
      <c r="B179" s="4" t="s">
        <v>35</v>
      </c>
      <c r="C179" s="5">
        <v>3039356.4315789477</v>
      </c>
      <c r="D179" s="5">
        <v>2970611.880657895</v>
      </c>
      <c r="E179" s="5">
        <v>2967809.2206578953</v>
      </c>
      <c r="F179" s="5">
        <v>3132609.918026316</v>
      </c>
      <c r="G179" s="5">
        <v>3121692.1601315783</v>
      </c>
      <c r="H179" s="5">
        <v>3153182.169078948</v>
      </c>
      <c r="I179" s="5">
        <v>3283224.2502631582</v>
      </c>
      <c r="J179" s="5">
        <v>3279314.9273684211</v>
      </c>
      <c r="K179" s="5">
        <v>3197651.4981578947</v>
      </c>
      <c r="L179" s="5">
        <v>3221608.0157894734</v>
      </c>
      <c r="M179" s="5">
        <v>3254884.670131579</v>
      </c>
      <c r="N179" s="5">
        <v>3242289.4064473691</v>
      </c>
      <c r="O179" s="5">
        <v>4081488.1293421052</v>
      </c>
      <c r="P179" s="5">
        <v>4018315.549736842</v>
      </c>
      <c r="Q179" s="5">
        <v>3994635.7134210528</v>
      </c>
      <c r="R179" s="5">
        <v>3969351.9857894741</v>
      </c>
      <c r="S179" s="5">
        <v>3999085.1561842104</v>
      </c>
      <c r="T179" s="5">
        <v>3995078.268947368</v>
      </c>
      <c r="U179" s="5">
        <v>4499612.5478947368</v>
      </c>
      <c r="V179" s="5">
        <v>5291985.5002631582</v>
      </c>
      <c r="W179" s="5">
        <v>5327076.3255263167</v>
      </c>
      <c r="X179" s="5">
        <v>5365144.4280263167</v>
      </c>
      <c r="Y179" s="5">
        <v>5410873.61368421</v>
      </c>
      <c r="Z179" s="5">
        <v>5470479.0240789484</v>
      </c>
      <c r="AA179" s="5">
        <v>5529395.7824999997</v>
      </c>
      <c r="AB179" s="5">
        <v>5554965.7547368426</v>
      </c>
      <c r="AC179" s="5">
        <v>5541036.7026315788</v>
      </c>
      <c r="AD179" s="5">
        <v>5455498.9438157901</v>
      </c>
      <c r="AE179" s="5">
        <v>5377900.67013158</v>
      </c>
      <c r="AF179" s="5">
        <v>5326493.5269736852</v>
      </c>
      <c r="AG179" s="5">
        <v>5274066.9230263159</v>
      </c>
    </row>
    <row r="180" spans="1:33" x14ac:dyDescent="0.25">
      <c r="A180" s="33" t="s">
        <v>90</v>
      </c>
      <c r="B180" s="4" t="s">
        <v>37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5">
        <v>99349.6</v>
      </c>
      <c r="AB180" s="5">
        <v>99113.589473684217</v>
      </c>
      <c r="AC180" s="5">
        <v>99172.246973684203</v>
      </c>
      <c r="AD180" s="5">
        <v>99262.633815789479</v>
      </c>
      <c r="AE180" s="6"/>
      <c r="AF180" s="6"/>
      <c r="AG180" s="6"/>
    </row>
    <row r="181" spans="1:33" x14ac:dyDescent="0.25">
      <c r="A181" s="33" t="s">
        <v>90</v>
      </c>
      <c r="B181" s="4" t="s">
        <v>38</v>
      </c>
      <c r="C181" s="6"/>
      <c r="D181" s="6"/>
      <c r="E181" s="6"/>
      <c r="F181" s="6"/>
      <c r="G181" s="6"/>
      <c r="H181" s="6"/>
      <c r="I181" s="5">
        <v>71897.968421052632</v>
      </c>
      <c r="J181" s="5">
        <v>65361.873684210528</v>
      </c>
      <c r="K181" s="5">
        <v>62878.547368421059</v>
      </c>
      <c r="L181" s="6"/>
      <c r="M181" s="6"/>
      <c r="N181" s="6"/>
      <c r="O181" s="6"/>
      <c r="P181" s="6"/>
      <c r="Q181" s="6"/>
      <c r="R181" s="6"/>
      <c r="S181" s="6"/>
      <c r="T181" s="6"/>
      <c r="U181" s="5">
        <v>25797.623684210528</v>
      </c>
      <c r="V181" s="5">
        <v>115605.22292763158</v>
      </c>
      <c r="W181" s="5">
        <v>112756.97263157894</v>
      </c>
      <c r="X181" s="5">
        <v>100297.91776315789</v>
      </c>
      <c r="Y181" s="5">
        <v>109659.02157894737</v>
      </c>
      <c r="Z181" s="5">
        <v>109698.23315789475</v>
      </c>
      <c r="AA181" s="5">
        <v>9819.6736842105256</v>
      </c>
      <c r="AB181" s="5">
        <v>10003.019078947369</v>
      </c>
      <c r="AC181" s="5">
        <v>10209.521842105263</v>
      </c>
      <c r="AD181" s="5">
        <v>10251.55947368421</v>
      </c>
      <c r="AE181" s="5">
        <v>109183.56460526316</v>
      </c>
      <c r="AF181" s="5">
        <v>109037.95618421053</v>
      </c>
      <c r="AG181" s="5">
        <v>109338.78881578946</v>
      </c>
    </row>
    <row r="182" spans="1:33" x14ac:dyDescent="0.25">
      <c r="A182" s="33" t="s">
        <v>91</v>
      </c>
      <c r="B182" s="4" t="s">
        <v>34</v>
      </c>
      <c r="C182" s="5">
        <v>1621670.1124999998</v>
      </c>
      <c r="D182" s="5">
        <v>1678274.7374999998</v>
      </c>
      <c r="E182" s="5">
        <v>1736032.5349999999</v>
      </c>
      <c r="F182" s="5">
        <v>1720479.635</v>
      </c>
      <c r="G182" s="5">
        <v>1679470.7124999999</v>
      </c>
      <c r="H182" s="5">
        <v>1668920.35</v>
      </c>
      <c r="I182" s="5">
        <v>1609167.3874999997</v>
      </c>
      <c r="J182" s="5">
        <v>1653220.8525</v>
      </c>
      <c r="K182" s="5">
        <v>1167414.4999999998</v>
      </c>
      <c r="L182" s="5">
        <v>1221736.5999999999</v>
      </c>
      <c r="M182" s="5">
        <v>1275134</v>
      </c>
      <c r="N182" s="5">
        <v>1343406.3999999997</v>
      </c>
      <c r="O182" s="5">
        <v>1394218.4200000002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spans="1:33" x14ac:dyDescent="0.25">
      <c r="A183" s="33" t="s">
        <v>91</v>
      </c>
      <c r="B183" s="4" t="s">
        <v>35</v>
      </c>
      <c r="C183" s="5">
        <v>1135769.6625000001</v>
      </c>
      <c r="D183" s="5">
        <v>1171823.1425000001</v>
      </c>
      <c r="E183" s="5">
        <v>1195801.1100000001</v>
      </c>
      <c r="F183" s="5">
        <v>1235905.6174999997</v>
      </c>
      <c r="G183" s="5">
        <v>1271439.9524999997</v>
      </c>
      <c r="H183" s="5">
        <v>1299428.6524999999</v>
      </c>
      <c r="I183" s="5">
        <v>4092128.5549999992</v>
      </c>
      <c r="J183" s="5">
        <v>4204567.71</v>
      </c>
      <c r="K183" s="5">
        <v>4539136.3449999988</v>
      </c>
      <c r="L183" s="5">
        <v>5177521.8</v>
      </c>
      <c r="M183" s="5">
        <v>5294240.6949999984</v>
      </c>
      <c r="N183" s="5">
        <v>5869647.4199999999</v>
      </c>
      <c r="O183" s="5">
        <v>5961123.044999999</v>
      </c>
      <c r="P183" s="5">
        <v>6102108.1925000008</v>
      </c>
      <c r="Q183" s="5">
        <v>15843287.472499996</v>
      </c>
      <c r="R183" s="5">
        <v>15966623.577500001</v>
      </c>
      <c r="S183" s="5">
        <v>5717407.7093749987</v>
      </c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spans="1:33" x14ac:dyDescent="0.25">
      <c r="A184" s="33" t="s">
        <v>91</v>
      </c>
      <c r="B184" s="4" t="s">
        <v>36</v>
      </c>
      <c r="C184" s="5">
        <v>216689458.7775</v>
      </c>
      <c r="D184" s="5">
        <v>194845796.44749999</v>
      </c>
      <c r="E184" s="5">
        <v>203044568.79074997</v>
      </c>
      <c r="F184" s="5">
        <v>214379488.56749994</v>
      </c>
      <c r="G184" s="5">
        <v>220274136.8125</v>
      </c>
      <c r="H184" s="5">
        <v>212036568.91000003</v>
      </c>
      <c r="I184" s="5">
        <v>213047022.38999993</v>
      </c>
      <c r="J184" s="5">
        <v>211630169.61500001</v>
      </c>
      <c r="K184" s="5">
        <v>220452008.67500001</v>
      </c>
      <c r="L184" s="5">
        <v>149725486.11250004</v>
      </c>
      <c r="M184" s="5">
        <v>110349457.55250001</v>
      </c>
      <c r="N184" s="5">
        <v>99981438.407499984</v>
      </c>
      <c r="O184" s="5">
        <v>95750492.36500001</v>
      </c>
      <c r="P184" s="5">
        <v>98195403.3125</v>
      </c>
      <c r="Q184" s="5">
        <v>103632148.215</v>
      </c>
      <c r="R184" s="5">
        <v>105340945.87999997</v>
      </c>
      <c r="S184" s="5">
        <v>21214862.043749999</v>
      </c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spans="1:33" x14ac:dyDescent="0.25">
      <c r="A185" s="33" t="s">
        <v>91</v>
      </c>
      <c r="B185" s="4" t="s">
        <v>37</v>
      </c>
      <c r="C185" s="5">
        <v>85005336.512499988</v>
      </c>
      <c r="D185" s="5">
        <v>130174873.53894739</v>
      </c>
      <c r="E185" s="5">
        <v>127471613.25434212</v>
      </c>
      <c r="F185" s="5">
        <v>130847869.98828945</v>
      </c>
      <c r="G185" s="5">
        <v>149848822.99039474</v>
      </c>
      <c r="H185" s="5">
        <v>167892624.9361842</v>
      </c>
      <c r="I185" s="5">
        <v>163530495.27000007</v>
      </c>
      <c r="J185" s="5">
        <v>171039790.9907895</v>
      </c>
      <c r="K185" s="5">
        <v>161115897.20526314</v>
      </c>
      <c r="L185" s="5">
        <v>246179069.51078945</v>
      </c>
      <c r="M185" s="5">
        <v>274793137.70815778</v>
      </c>
      <c r="N185" s="5">
        <v>301197687.22973686</v>
      </c>
      <c r="O185" s="5">
        <v>248570794.82500005</v>
      </c>
      <c r="P185" s="5">
        <v>255264350.36499989</v>
      </c>
      <c r="Q185" s="5">
        <v>250715790.6925</v>
      </c>
      <c r="R185" s="5">
        <v>252116001.52749997</v>
      </c>
      <c r="S185" s="5">
        <v>71496216.949999973</v>
      </c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spans="1:33" x14ac:dyDescent="0.25">
      <c r="A186" s="33" t="s">
        <v>91</v>
      </c>
      <c r="B186" s="4" t="s">
        <v>38</v>
      </c>
      <c r="C186" s="5">
        <v>33140393.724999994</v>
      </c>
      <c r="D186" s="5">
        <v>32694065.370000005</v>
      </c>
      <c r="E186" s="5">
        <v>35762650.152499996</v>
      </c>
      <c r="F186" s="5">
        <v>31004148.372499995</v>
      </c>
      <c r="G186" s="5">
        <v>19489124.580000006</v>
      </c>
      <c r="H186" s="5">
        <v>19502214.859999996</v>
      </c>
      <c r="I186" s="5">
        <v>29512226.449999996</v>
      </c>
      <c r="J186" s="5">
        <v>29731676.324999996</v>
      </c>
      <c r="K186" s="5">
        <v>42729180.029999994</v>
      </c>
      <c r="L186" s="5">
        <v>43759877.757500008</v>
      </c>
      <c r="M186" s="5">
        <v>57469749.915000007</v>
      </c>
      <c r="N186" s="5">
        <v>67921550.857499987</v>
      </c>
      <c r="O186" s="5">
        <v>134118354.01144737</v>
      </c>
      <c r="P186" s="5">
        <v>138632916.70789474</v>
      </c>
      <c r="Q186" s="5">
        <v>136476896.06078947</v>
      </c>
      <c r="R186" s="5">
        <v>138620659.99921054</v>
      </c>
      <c r="S186" s="5">
        <v>32874378.662335526</v>
      </c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spans="1:33" x14ac:dyDescent="0.25">
      <c r="A187" s="33" t="s">
        <v>92</v>
      </c>
      <c r="B187" s="4" t="s">
        <v>34</v>
      </c>
      <c r="C187" s="5">
        <v>220581.4</v>
      </c>
      <c r="D187" s="5">
        <v>228295.24</v>
      </c>
      <c r="E187" s="5">
        <v>234424.13</v>
      </c>
      <c r="F187" s="5">
        <v>201519.88999999998</v>
      </c>
      <c r="G187" s="5">
        <v>202222.8</v>
      </c>
      <c r="H187" s="5">
        <v>203035.16999999998</v>
      </c>
      <c r="I187" s="5">
        <v>203633.69</v>
      </c>
      <c r="J187" s="5">
        <v>241080.29499999998</v>
      </c>
      <c r="K187" s="5">
        <v>280748.22250000003</v>
      </c>
      <c r="L187" s="5">
        <v>324317.06999999995</v>
      </c>
      <c r="M187" s="5">
        <v>370380.05</v>
      </c>
      <c r="N187" s="5">
        <v>467446.24</v>
      </c>
      <c r="O187" s="5">
        <v>563009.06666666665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spans="1:33" x14ac:dyDescent="0.25">
      <c r="A188" s="33" t="s">
        <v>92</v>
      </c>
      <c r="B188" s="4" t="s">
        <v>35</v>
      </c>
      <c r="C188" s="5">
        <v>92372.922807017545</v>
      </c>
      <c r="D188" s="5">
        <v>90889.403508771939</v>
      </c>
      <c r="E188" s="5">
        <v>89385.059649122806</v>
      </c>
      <c r="F188" s="5">
        <v>87701.354385964907</v>
      </c>
      <c r="G188" s="5">
        <v>85918.171929824559</v>
      </c>
      <c r="H188" s="5">
        <v>91116.072631578951</v>
      </c>
      <c r="I188" s="5">
        <v>100610.58092105263</v>
      </c>
      <c r="J188" s="5">
        <v>102745.51986842105</v>
      </c>
      <c r="K188" s="5">
        <v>290693.17719298246</v>
      </c>
      <c r="L188" s="5">
        <v>416437.86494816584</v>
      </c>
      <c r="M188" s="5">
        <v>486051.78038676234</v>
      </c>
      <c r="N188" s="5">
        <v>492735.80872807023</v>
      </c>
      <c r="O188" s="5">
        <v>495093.50855263154</v>
      </c>
      <c r="P188" s="5">
        <v>501504.62925438595</v>
      </c>
      <c r="Q188" s="5">
        <v>2323425.5919590644</v>
      </c>
      <c r="R188" s="5">
        <v>2306053.5427777772</v>
      </c>
      <c r="S188" s="5">
        <v>2367658.0771345026</v>
      </c>
      <c r="T188" s="5">
        <v>428579.15153508773</v>
      </c>
      <c r="U188" s="5">
        <v>357830.65298245614</v>
      </c>
      <c r="V188" s="5">
        <v>411527.38824561407</v>
      </c>
      <c r="W188" s="5">
        <v>390434.78855263162</v>
      </c>
      <c r="X188" s="5">
        <v>362820.2660087719</v>
      </c>
      <c r="Y188" s="5">
        <v>335282.37864035089</v>
      </c>
      <c r="Z188" s="5">
        <v>335013.19368421054</v>
      </c>
      <c r="AA188" s="5">
        <v>334456.86499999999</v>
      </c>
      <c r="AB188" s="5">
        <v>336497.77442982449</v>
      </c>
      <c r="AC188" s="5">
        <v>1562122.2624122805</v>
      </c>
      <c r="AD188" s="5">
        <v>1575519.8514912277</v>
      </c>
      <c r="AE188" s="5">
        <v>1582139.9629385965</v>
      </c>
      <c r="AF188" s="5">
        <v>1593776.1768421051</v>
      </c>
      <c r="AG188" s="5">
        <v>1602020.15372807</v>
      </c>
    </row>
    <row r="189" spans="1:33" x14ac:dyDescent="0.25">
      <c r="A189" s="33" t="s">
        <v>92</v>
      </c>
      <c r="B189" s="4" t="s">
        <v>36</v>
      </c>
      <c r="C189" s="5">
        <v>65679323.26131843</v>
      </c>
      <c r="D189" s="5">
        <v>68123874.036636099</v>
      </c>
      <c r="E189" s="5">
        <v>70683568.83126232</v>
      </c>
      <c r="F189" s="5">
        <v>72599025.105898067</v>
      </c>
      <c r="G189" s="5">
        <v>75483536.396383345</v>
      </c>
      <c r="H189" s="5">
        <v>66019819.638431214</v>
      </c>
      <c r="I189" s="5">
        <v>68769179.878287405</v>
      </c>
      <c r="J189" s="5">
        <v>70830372.346227795</v>
      </c>
      <c r="K189" s="5">
        <v>73233979.190372854</v>
      </c>
      <c r="L189" s="5">
        <v>74316021.452995017</v>
      </c>
      <c r="M189" s="5">
        <v>52508674.744933091</v>
      </c>
      <c r="N189" s="5">
        <v>48238565.55103521</v>
      </c>
      <c r="O189" s="5">
        <v>48637177.061298177</v>
      </c>
      <c r="P189" s="5">
        <v>50304856.721785277</v>
      </c>
      <c r="Q189" s="5">
        <v>52977578.687675916</v>
      </c>
      <c r="R189" s="5">
        <v>50448965.448006198</v>
      </c>
      <c r="S189" s="5">
        <v>36387971.029973187</v>
      </c>
      <c r="T189" s="5">
        <v>45284117.158599801</v>
      </c>
      <c r="U189" s="5">
        <v>43999216.326775506</v>
      </c>
      <c r="V189" s="5">
        <v>24480959.014725927</v>
      </c>
      <c r="W189" s="5">
        <v>5818058.4327452024</v>
      </c>
      <c r="X189" s="5">
        <v>3014599.3466666667</v>
      </c>
      <c r="Y189" s="5">
        <v>2707332.0833333335</v>
      </c>
      <c r="Z189" s="5">
        <v>2778167.9</v>
      </c>
      <c r="AA189" s="5">
        <v>2854336.7966666664</v>
      </c>
      <c r="AB189" s="5">
        <v>2892677.8183333329</v>
      </c>
      <c r="AC189" s="5">
        <v>2936861.2</v>
      </c>
      <c r="AD189" s="5">
        <v>2979573.415</v>
      </c>
      <c r="AE189" s="5">
        <v>3019022.6733333329</v>
      </c>
      <c r="AF189" s="5">
        <v>3057248.74</v>
      </c>
      <c r="AG189" s="5">
        <v>3089470.1716666664</v>
      </c>
    </row>
    <row r="190" spans="1:33" x14ac:dyDescent="0.25">
      <c r="A190" s="33" t="s">
        <v>92</v>
      </c>
      <c r="B190" s="4" t="s">
        <v>37</v>
      </c>
      <c r="C190" s="5">
        <v>12480105.439523216</v>
      </c>
      <c r="D190" s="5">
        <v>11631058.184518771</v>
      </c>
      <c r="E190" s="5">
        <v>11888503.09904604</v>
      </c>
      <c r="F190" s="5">
        <v>13148345.994120717</v>
      </c>
      <c r="G190" s="5">
        <v>13339965.403563417</v>
      </c>
      <c r="H190" s="5">
        <v>24961006.002620611</v>
      </c>
      <c r="I190" s="5">
        <v>24665044.871926822</v>
      </c>
      <c r="J190" s="5">
        <v>27274885.302218907</v>
      </c>
      <c r="K190" s="5">
        <v>27844466.573784828</v>
      </c>
      <c r="L190" s="5">
        <v>30266775.583574444</v>
      </c>
      <c r="M190" s="5">
        <v>53267509.772277907</v>
      </c>
      <c r="N190" s="5">
        <v>87134275.329985783</v>
      </c>
      <c r="O190" s="5">
        <v>99945546.488112122</v>
      </c>
      <c r="P190" s="5">
        <v>113977899.47424573</v>
      </c>
      <c r="Q190" s="5">
        <v>120573466.67338027</v>
      </c>
      <c r="R190" s="5">
        <v>127436729.50991334</v>
      </c>
      <c r="S190" s="5">
        <v>113443542.82511091</v>
      </c>
      <c r="T190" s="5">
        <v>140801310.1413191</v>
      </c>
      <c r="U190" s="5">
        <v>120769044.55798544</v>
      </c>
      <c r="V190" s="5">
        <v>18018800.767475124</v>
      </c>
      <c r="W190" s="5">
        <v>4700849.2386567164</v>
      </c>
      <c r="X190" s="5">
        <v>4165431.402985075</v>
      </c>
      <c r="Y190" s="5">
        <v>4103707.7014925373</v>
      </c>
      <c r="Z190" s="5">
        <v>4044909.8507462693</v>
      </c>
      <c r="AA190" s="5">
        <v>3981824.9552238807</v>
      </c>
      <c r="AB190" s="6"/>
      <c r="AC190" s="6"/>
      <c r="AD190" s="6"/>
      <c r="AE190" s="6"/>
      <c r="AF190" s="6"/>
      <c r="AG190" s="6"/>
    </row>
    <row r="191" spans="1:33" x14ac:dyDescent="0.25">
      <c r="A191" s="33" t="s">
        <v>92</v>
      </c>
      <c r="B191" s="4" t="s">
        <v>38</v>
      </c>
      <c r="C191" s="5">
        <v>1939688.9269298243</v>
      </c>
      <c r="D191" s="5">
        <v>3040062.3441541349</v>
      </c>
      <c r="E191" s="5">
        <v>3055098.9228571425</v>
      </c>
      <c r="F191" s="5">
        <v>2020774.1355764412</v>
      </c>
      <c r="G191" s="5">
        <v>2080855.1073809525</v>
      </c>
      <c r="H191" s="5">
        <v>2115806.3993734336</v>
      </c>
      <c r="I191" s="5">
        <v>4853495.6118244948</v>
      </c>
      <c r="J191" s="5">
        <v>4994028.5991378063</v>
      </c>
      <c r="K191" s="5">
        <v>5011733.8889506906</v>
      </c>
      <c r="L191" s="5">
        <v>5579502.850763889</v>
      </c>
      <c r="M191" s="5">
        <v>7222351.651725146</v>
      </c>
      <c r="N191" s="5">
        <v>7216357.4671089174</v>
      </c>
      <c r="O191" s="5">
        <v>7512803.2960325293</v>
      </c>
      <c r="P191" s="5">
        <v>10063081.441889619</v>
      </c>
      <c r="Q191" s="5">
        <v>8250137.8123645037</v>
      </c>
      <c r="R191" s="5">
        <v>8324052.601940006</v>
      </c>
      <c r="S191" s="5">
        <v>8228877.208038847</v>
      </c>
      <c r="T191" s="5">
        <v>11690543.922777776</v>
      </c>
      <c r="U191" s="5">
        <v>7522726.1832251456</v>
      </c>
      <c r="V191" s="5">
        <v>7270367.2092543868</v>
      </c>
      <c r="W191" s="5">
        <v>6551481.4566666661</v>
      </c>
      <c r="X191" s="5">
        <v>6569334.7158333333</v>
      </c>
      <c r="Y191" s="5">
        <v>6471782.1011842107</v>
      </c>
      <c r="Z191" s="5">
        <v>6334815.4132456137</v>
      </c>
      <c r="AA191" s="5">
        <v>6207271.2993567251</v>
      </c>
      <c r="AB191" s="5">
        <v>10031240.816999869</v>
      </c>
      <c r="AC191" s="5">
        <v>8718583.237132322</v>
      </c>
      <c r="AD191" s="5">
        <v>8635873.4531162176</v>
      </c>
      <c r="AE191" s="5">
        <v>8565016.3543248661</v>
      </c>
      <c r="AF191" s="5">
        <v>8498030.0930110402</v>
      </c>
      <c r="AG191" s="5">
        <v>8435990.8228508774</v>
      </c>
    </row>
    <row r="192" spans="1:33" x14ac:dyDescent="0.25">
      <c r="A192" s="33" t="s">
        <v>93</v>
      </c>
      <c r="B192" s="4" t="s">
        <v>34</v>
      </c>
      <c r="C192" s="5">
        <v>431.00799911603258</v>
      </c>
      <c r="D192" s="5">
        <v>365.41520818616988</v>
      </c>
      <c r="E192" s="5">
        <v>410.69099529701708</v>
      </c>
      <c r="F192" s="5">
        <v>605.58788212353443</v>
      </c>
      <c r="G192" s="5">
        <v>597.28277881477334</v>
      </c>
      <c r="H192" s="5">
        <v>599.66224428084911</v>
      </c>
      <c r="I192" s="5">
        <v>516.42512124955113</v>
      </c>
      <c r="J192" s="5">
        <v>507.39541362967293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spans="1:33" x14ac:dyDescent="0.25">
      <c r="A193" s="33" t="s">
        <v>93</v>
      </c>
      <c r="B193" s="4" t="s">
        <v>35</v>
      </c>
      <c r="C193" s="5">
        <v>28850.491989844417</v>
      </c>
      <c r="D193" s="5">
        <v>29577.731626158289</v>
      </c>
      <c r="E193" s="5">
        <v>30249.502609080882</v>
      </c>
      <c r="F193" s="5">
        <v>32125.335570711388</v>
      </c>
      <c r="G193" s="5">
        <v>32086.982038445589</v>
      </c>
      <c r="H193" s="5">
        <v>32157.994681419201</v>
      </c>
      <c r="I193" s="5">
        <v>34248.453982352694</v>
      </c>
      <c r="J193" s="5">
        <v>34381.035563551588</v>
      </c>
      <c r="K193" s="5">
        <v>35262.958933648319</v>
      </c>
      <c r="L193" s="5">
        <v>37240.165392090974</v>
      </c>
      <c r="M193" s="5">
        <v>37429.449332527169</v>
      </c>
      <c r="N193" s="5">
        <v>37595.294149855283</v>
      </c>
      <c r="O193" s="5">
        <v>37831.572554393191</v>
      </c>
      <c r="P193" s="5">
        <v>37793.778579856837</v>
      </c>
      <c r="Q193" s="5">
        <v>38131.248348247544</v>
      </c>
      <c r="R193" s="5">
        <v>38328.071174878998</v>
      </c>
      <c r="S193" s="5">
        <v>38803.003275413357</v>
      </c>
      <c r="T193" s="5">
        <v>38965.639844677571</v>
      </c>
      <c r="U193" s="5">
        <v>38858.779425179222</v>
      </c>
      <c r="V193" s="5">
        <v>38580.884099832983</v>
      </c>
      <c r="W193" s="5">
        <v>37752.502110480098</v>
      </c>
      <c r="X193" s="5">
        <v>38238.9311314519</v>
      </c>
      <c r="Y193" s="5">
        <v>36200.708673561952</v>
      </c>
      <c r="Z193" s="5">
        <v>36914.8388761487</v>
      </c>
      <c r="AA193" s="5">
        <v>37130.946641076218</v>
      </c>
      <c r="AB193" s="5">
        <v>37143.035237462849</v>
      </c>
      <c r="AC193" s="5">
        <v>40887.509760165776</v>
      </c>
      <c r="AD193" s="5">
        <v>40876.767146462749</v>
      </c>
      <c r="AE193" s="5">
        <v>40921.503478660023</v>
      </c>
      <c r="AF193" s="5">
        <v>40972.634280931139</v>
      </c>
      <c r="AG193" s="5">
        <v>41053.861588892236</v>
      </c>
    </row>
    <row r="194" spans="1:33" x14ac:dyDescent="0.25">
      <c r="A194" s="33" t="s">
        <v>93</v>
      </c>
      <c r="B194" s="4" t="s">
        <v>37</v>
      </c>
      <c r="C194" s="5">
        <v>501758.37904413941</v>
      </c>
      <c r="D194" s="5">
        <v>518687.72996651323</v>
      </c>
      <c r="E194" s="5">
        <v>525063.03928646422</v>
      </c>
      <c r="F194" s="5">
        <v>520719.80683373619</v>
      </c>
      <c r="G194" s="5">
        <v>512406.47160145012</v>
      </c>
      <c r="H194" s="5">
        <v>498892.10674172145</v>
      </c>
      <c r="I194" s="5">
        <v>479148.89069162385</v>
      </c>
      <c r="J194" s="5">
        <v>472763.39981433295</v>
      </c>
      <c r="K194" s="5">
        <v>466640.02465725219</v>
      </c>
      <c r="L194" s="5">
        <v>2941.4809216939029</v>
      </c>
      <c r="M194" s="5">
        <v>2763.9784752449659</v>
      </c>
      <c r="N194" s="5">
        <v>2726.5868596662235</v>
      </c>
      <c r="O194" s="5">
        <v>2674.7619108692475</v>
      </c>
      <c r="P194" s="5">
        <v>2642.1663318903093</v>
      </c>
      <c r="Q194" s="5">
        <v>2664.7395004202795</v>
      </c>
      <c r="R194" s="5">
        <v>2659.1043515664769</v>
      </c>
      <c r="S194" s="5">
        <v>2601.4611705465209</v>
      </c>
      <c r="T194" s="5">
        <v>2526.6478396072662</v>
      </c>
      <c r="U194" s="5">
        <v>2467.3947230301146</v>
      </c>
      <c r="V194" s="5">
        <v>2421.3505660943242</v>
      </c>
      <c r="W194" s="6"/>
      <c r="X194" s="5">
        <v>2287.1221039214215</v>
      </c>
      <c r="Y194" s="5">
        <v>2273.9350034003805</v>
      </c>
      <c r="Z194" s="5">
        <v>2264.093558481944</v>
      </c>
      <c r="AA194" s="5">
        <v>2235.0473258011943</v>
      </c>
      <c r="AB194" s="5">
        <v>2207.011982888916</v>
      </c>
      <c r="AC194" s="5">
        <v>2185.2441565411623</v>
      </c>
      <c r="AD194" s="6"/>
      <c r="AE194" s="6"/>
      <c r="AF194" s="6"/>
      <c r="AG194" s="6"/>
    </row>
    <row r="195" spans="1:33" x14ac:dyDescent="0.25">
      <c r="A195" s="33" t="s">
        <v>93</v>
      </c>
      <c r="B195" s="4" t="s">
        <v>38</v>
      </c>
      <c r="C195" s="5">
        <v>7454.164321156919</v>
      </c>
      <c r="D195" s="5">
        <v>7774.3746967126817</v>
      </c>
      <c r="E195" s="5">
        <v>8034.0975597687848</v>
      </c>
      <c r="F195" s="5">
        <v>6633.1503069702285</v>
      </c>
      <c r="G195" s="5">
        <v>6716.9781109979031</v>
      </c>
      <c r="H195" s="5">
        <v>6654.247969962038</v>
      </c>
      <c r="I195" s="5">
        <v>4788.4349488999515</v>
      </c>
      <c r="J195" s="5">
        <v>6322.9588193661975</v>
      </c>
      <c r="K195" s="5">
        <v>7182.2066383660067</v>
      </c>
      <c r="L195" s="5">
        <v>465839.46256628254</v>
      </c>
      <c r="M195" s="5">
        <v>458860.88911423681</v>
      </c>
      <c r="N195" s="5">
        <v>455054.22113456967</v>
      </c>
      <c r="O195" s="5">
        <v>452639.16389490123</v>
      </c>
      <c r="P195" s="5">
        <v>448150.58411744866</v>
      </c>
      <c r="Q195" s="5">
        <v>439842.2019579222</v>
      </c>
      <c r="R195" s="5">
        <v>428450.64007005433</v>
      </c>
      <c r="S195" s="5">
        <v>417049.98950069491</v>
      </c>
      <c r="T195" s="5">
        <v>406714.62450392131</v>
      </c>
      <c r="U195" s="5">
        <v>400217.3801249942</v>
      </c>
      <c r="V195" s="5">
        <v>395331.44698225759</v>
      </c>
      <c r="W195" s="5">
        <v>388880.49089356168</v>
      </c>
      <c r="X195" s="5">
        <v>389195.53775665717</v>
      </c>
      <c r="Y195" s="5">
        <v>387373.02504091861</v>
      </c>
      <c r="Z195" s="5">
        <v>385438.47251385276</v>
      </c>
      <c r="AA195" s="5">
        <v>390325.58726479328</v>
      </c>
      <c r="AB195" s="5">
        <v>392723.0113771137</v>
      </c>
      <c r="AC195" s="5">
        <v>386412.72770321701</v>
      </c>
      <c r="AD195" s="5">
        <v>384705.30374175624</v>
      </c>
      <c r="AE195" s="5">
        <v>381874.5742244139</v>
      </c>
      <c r="AF195" s="5">
        <v>373352.10910662811</v>
      </c>
      <c r="AG195" s="5">
        <v>361138.98097679514</v>
      </c>
    </row>
    <row r="196" spans="1:33" x14ac:dyDescent="0.25">
      <c r="A196" s="33" t="s">
        <v>94</v>
      </c>
      <c r="B196" s="4" t="s">
        <v>35</v>
      </c>
      <c r="C196" s="5">
        <v>209396.61473684214</v>
      </c>
      <c r="D196" s="5">
        <v>205068.00000000003</v>
      </c>
      <c r="E196" s="5">
        <v>201582</v>
      </c>
      <c r="F196" s="5">
        <v>905902.6</v>
      </c>
      <c r="G196" s="5">
        <v>6673061.0905263154</v>
      </c>
      <c r="H196" s="5">
        <v>8059470.0209210515</v>
      </c>
      <c r="I196" s="5">
        <v>6220456.9671578947</v>
      </c>
      <c r="J196" s="5">
        <v>6816456.3341526324</v>
      </c>
      <c r="K196" s="5">
        <v>7329096.5841052644</v>
      </c>
      <c r="L196" s="5">
        <v>7363244.1293947371</v>
      </c>
      <c r="M196" s="5">
        <v>7441514.7723157899</v>
      </c>
      <c r="N196" s="5">
        <v>7776043.7667368408</v>
      </c>
      <c r="O196" s="5">
        <v>8434890.3122894745</v>
      </c>
      <c r="P196" s="5">
        <v>8604236.6386052631</v>
      </c>
      <c r="Q196" s="5">
        <v>8671923.4326842111</v>
      </c>
      <c r="R196" s="5">
        <v>10328630.373</v>
      </c>
      <c r="S196" s="5">
        <v>12272162.216605263</v>
      </c>
      <c r="T196" s="5">
        <v>11976533.94547149</v>
      </c>
      <c r="U196" s="5">
        <v>11759353.015304826</v>
      </c>
      <c r="V196" s="5">
        <v>12501156.561421052</v>
      </c>
      <c r="W196" s="5">
        <v>11677687.793684211</v>
      </c>
      <c r="X196" s="5">
        <v>11460781.930868421</v>
      </c>
      <c r="Y196" s="5">
        <v>11234613.763131579</v>
      </c>
      <c r="Z196" s="5">
        <v>11355504.491763158</v>
      </c>
      <c r="AA196" s="5">
        <v>11298895.010710526</v>
      </c>
      <c r="AB196" s="5">
        <v>21148694.450105265</v>
      </c>
      <c r="AC196" s="5">
        <v>21006426.347605266</v>
      </c>
      <c r="AD196" s="5">
        <v>20948505.109947372</v>
      </c>
      <c r="AE196" s="5">
        <v>22002471.197631579</v>
      </c>
      <c r="AF196" s="5">
        <v>21890505.244921051</v>
      </c>
      <c r="AG196" s="5">
        <v>21801576.347789474</v>
      </c>
    </row>
    <row r="197" spans="1:33" x14ac:dyDescent="0.25">
      <c r="A197" s="33" t="s">
        <v>94</v>
      </c>
      <c r="B197" s="4" t="s">
        <v>37</v>
      </c>
      <c r="C197" s="6"/>
      <c r="D197" s="6"/>
      <c r="E197" s="6"/>
      <c r="F197" s="6"/>
      <c r="G197" s="6"/>
      <c r="H197" s="6"/>
      <c r="I197" s="6"/>
      <c r="J197" s="5">
        <v>4463891.0164210536</v>
      </c>
      <c r="K197" s="5">
        <v>10370649.147350002</v>
      </c>
      <c r="L197" s="5">
        <v>15675722.247407895</v>
      </c>
      <c r="M197" s="5">
        <v>15152964.561026322</v>
      </c>
      <c r="N197" s="5">
        <v>15135862.052236844</v>
      </c>
      <c r="O197" s="6"/>
      <c r="P197" s="5">
        <v>81680.639999999999</v>
      </c>
      <c r="Q197" s="5">
        <v>108571.21800000001</v>
      </c>
      <c r="R197" s="5">
        <v>100164.88421052632</v>
      </c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spans="1:33" x14ac:dyDescent="0.25">
      <c r="A198" s="33" t="s">
        <v>94</v>
      </c>
      <c r="B198" s="4" t="s">
        <v>38</v>
      </c>
      <c r="C198" s="5">
        <v>582025.61052631575</v>
      </c>
      <c r="D198" s="5">
        <v>598983.05023026315</v>
      </c>
      <c r="E198" s="5">
        <v>539740.96842105268</v>
      </c>
      <c r="F198" s="5">
        <v>590286.7210526315</v>
      </c>
      <c r="G198" s="5">
        <v>625440.51828947384</v>
      </c>
      <c r="H198" s="5">
        <v>707322.56223684212</v>
      </c>
      <c r="I198" s="5">
        <v>668822.53900000011</v>
      </c>
      <c r="J198" s="5">
        <v>687811.48242105264</v>
      </c>
      <c r="K198" s="5">
        <v>787275.01820394758</v>
      </c>
      <c r="L198" s="5">
        <v>762959.48694736848</v>
      </c>
      <c r="M198" s="5">
        <v>759583.23536842118</v>
      </c>
      <c r="N198" s="5">
        <v>689574.3034539473</v>
      </c>
      <c r="O198" s="5">
        <v>15666268.619473686</v>
      </c>
      <c r="P198" s="5">
        <v>19034727.644078955</v>
      </c>
      <c r="Q198" s="5">
        <v>20674093.825125005</v>
      </c>
      <c r="R198" s="5">
        <v>21016740.355302632</v>
      </c>
      <c r="S198" s="5">
        <v>21839127.715855263</v>
      </c>
      <c r="T198" s="5">
        <v>23511653.952921052</v>
      </c>
      <c r="U198" s="5">
        <v>24507036.281894736</v>
      </c>
      <c r="V198" s="5">
        <v>21257242.147473685</v>
      </c>
      <c r="W198" s="5">
        <v>19356104.272605266</v>
      </c>
      <c r="X198" s="5">
        <v>17861743.915263161</v>
      </c>
      <c r="Y198" s="5">
        <v>16410902.183289476</v>
      </c>
      <c r="Z198" s="5">
        <v>15651541.698421054</v>
      </c>
      <c r="AA198" s="5">
        <v>15610191.522368422</v>
      </c>
      <c r="AB198" s="5">
        <v>5714370.5042105261</v>
      </c>
      <c r="AC198" s="5">
        <v>5786323.3546052631</v>
      </c>
      <c r="AD198" s="5">
        <v>5789920.2415789468</v>
      </c>
      <c r="AE198" s="5">
        <v>4685145.968289474</v>
      </c>
      <c r="AF198" s="5">
        <v>4760583.9326315792</v>
      </c>
      <c r="AG198" s="5">
        <v>4773371.973289473</v>
      </c>
    </row>
    <row r="199" spans="1:33" x14ac:dyDescent="0.25">
      <c r="A199" s="33" t="s">
        <v>95</v>
      </c>
      <c r="B199" s="4" t="s">
        <v>34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5">
        <v>6000000</v>
      </c>
      <c r="X199" s="5">
        <v>6000000</v>
      </c>
      <c r="Y199" s="5">
        <v>6000000</v>
      </c>
      <c r="Z199" s="5">
        <v>6000000</v>
      </c>
      <c r="AA199" s="5">
        <v>6000000</v>
      </c>
      <c r="AB199" s="5">
        <v>6000000</v>
      </c>
      <c r="AC199" s="5">
        <v>6000000</v>
      </c>
      <c r="AD199" s="5">
        <v>6000000</v>
      </c>
      <c r="AE199" s="5">
        <v>6000000</v>
      </c>
      <c r="AF199" s="5">
        <v>6000000</v>
      </c>
      <c r="AG199" s="5">
        <v>6000000</v>
      </c>
    </row>
    <row r="200" spans="1:33" x14ac:dyDescent="0.25">
      <c r="A200" s="33" t="s">
        <v>95</v>
      </c>
      <c r="B200" s="4" t="s">
        <v>35</v>
      </c>
      <c r="C200" s="6"/>
      <c r="D200" s="6"/>
      <c r="E200" s="6"/>
      <c r="F200" s="6"/>
      <c r="G200" s="6"/>
      <c r="H200" s="6"/>
      <c r="I200" s="6"/>
      <c r="J200" s="6"/>
      <c r="K200" s="5">
        <v>59936.770833333343</v>
      </c>
      <c r="L200" s="5">
        <v>62118.627500000002</v>
      </c>
      <c r="M200" s="5">
        <v>60473.133333333339</v>
      </c>
      <c r="N200" s="5">
        <v>60585.22</v>
      </c>
      <c r="O200" s="5">
        <v>56196.333333333336</v>
      </c>
      <c r="P200" s="5">
        <v>60779.083333333343</v>
      </c>
      <c r="Q200" s="5">
        <v>63752.160000000003</v>
      </c>
      <c r="R200" s="5">
        <v>29697.816666666666</v>
      </c>
      <c r="S200" s="5">
        <v>1362312.7903333334</v>
      </c>
      <c r="T200" s="5">
        <v>30274.282500000005</v>
      </c>
      <c r="U200" s="5">
        <v>28731.000000000004</v>
      </c>
      <c r="V200" s="5">
        <v>749283.35777777771</v>
      </c>
      <c r="W200" s="5">
        <v>65287.956666666665</v>
      </c>
      <c r="X200" s="5">
        <v>153864.28222222222</v>
      </c>
      <c r="Y200" s="5">
        <v>27775.433333333331</v>
      </c>
      <c r="Z200" s="5">
        <v>65120.959916666659</v>
      </c>
      <c r="AA200" s="5">
        <v>64633</v>
      </c>
      <c r="AB200" s="5">
        <v>99834.227083333331</v>
      </c>
      <c r="AC200" s="5">
        <v>99256.908916666667</v>
      </c>
      <c r="AD200" s="5">
        <v>98527.910250000001</v>
      </c>
      <c r="AE200" s="5">
        <v>97518.737250000006</v>
      </c>
      <c r="AF200" s="5">
        <v>96550.74</v>
      </c>
      <c r="AG200" s="5">
        <v>95686.964999999997</v>
      </c>
    </row>
    <row r="201" spans="1:33" x14ac:dyDescent="0.25">
      <c r="A201" s="33" t="s">
        <v>95</v>
      </c>
      <c r="B201" s="4" t="s">
        <v>36</v>
      </c>
      <c r="C201" s="5">
        <v>3756194.8166666673</v>
      </c>
      <c r="D201" s="5">
        <v>4496536.6583333332</v>
      </c>
      <c r="E201" s="5">
        <v>5263349.7932333332</v>
      </c>
      <c r="F201" s="5">
        <v>5666971.9615392154</v>
      </c>
      <c r="G201" s="5">
        <v>8038416.6962960782</v>
      </c>
      <c r="H201" s="5">
        <v>11604914.368519608</v>
      </c>
      <c r="I201" s="5">
        <v>14422076.193</v>
      </c>
      <c r="J201" s="5">
        <v>13768627.415492158</v>
      </c>
      <c r="K201" s="5">
        <v>15388632.424960786</v>
      </c>
      <c r="L201" s="5">
        <v>17360679.115411766</v>
      </c>
      <c r="M201" s="5">
        <v>10096468.669333335</v>
      </c>
      <c r="N201" s="5">
        <v>9769264.8409333341</v>
      </c>
      <c r="O201" s="5">
        <v>9053708.1311666667</v>
      </c>
      <c r="P201" s="5">
        <v>8891890.2360000014</v>
      </c>
      <c r="Q201" s="5">
        <v>9098423.6410000008</v>
      </c>
      <c r="R201" s="5">
        <v>9210523.1054666676</v>
      </c>
      <c r="S201" s="5">
        <v>8971080.3125</v>
      </c>
      <c r="T201" s="5">
        <v>10162925.204999998</v>
      </c>
      <c r="U201" s="5">
        <v>10256164.815833334</v>
      </c>
      <c r="V201" s="5">
        <v>10635129.845833335</v>
      </c>
      <c r="W201" s="5">
        <v>13912046.411666665</v>
      </c>
      <c r="X201" s="5">
        <v>16032418.271111112</v>
      </c>
      <c r="Y201" s="5">
        <v>31917818.424583338</v>
      </c>
      <c r="Z201" s="5">
        <v>49802876.488624997</v>
      </c>
      <c r="AA201" s="5">
        <v>62355147.33201389</v>
      </c>
      <c r="AB201" s="5">
        <v>64836476.929625005</v>
      </c>
      <c r="AC201" s="5">
        <v>63932686.010902777</v>
      </c>
      <c r="AD201" s="5">
        <v>48879112.504916668</v>
      </c>
      <c r="AE201" s="5">
        <v>49718190.376666673</v>
      </c>
      <c r="AF201" s="5">
        <v>40147146.461458333</v>
      </c>
      <c r="AG201" s="5">
        <v>19427327.223125003</v>
      </c>
    </row>
    <row r="202" spans="1:33" x14ac:dyDescent="0.25">
      <c r="A202" s="33" t="s">
        <v>95</v>
      </c>
      <c r="B202" s="4" t="s">
        <v>37</v>
      </c>
      <c r="C202" s="5">
        <v>27941.4</v>
      </c>
      <c r="D202" s="5">
        <v>822615.94333333336</v>
      </c>
      <c r="E202" s="5">
        <v>1014671.1036666668</v>
      </c>
      <c r="F202" s="5">
        <v>2062668.8666666669</v>
      </c>
      <c r="G202" s="5">
        <v>37677843.359444439</v>
      </c>
      <c r="H202" s="5">
        <v>37286417.129166655</v>
      </c>
      <c r="I202" s="5">
        <v>37688861.691999994</v>
      </c>
      <c r="J202" s="5">
        <v>38959298.580277778</v>
      </c>
      <c r="K202" s="5">
        <v>4337960.254999999</v>
      </c>
      <c r="L202" s="5">
        <v>4624792.6533333333</v>
      </c>
      <c r="M202" s="5">
        <v>10024385.012568627</v>
      </c>
      <c r="N202" s="5">
        <v>9805039.7109313738</v>
      </c>
      <c r="O202" s="5">
        <v>10517472.029166667</v>
      </c>
      <c r="P202" s="5">
        <v>9526274.5396568626</v>
      </c>
      <c r="Q202" s="5">
        <v>9566448.6318137255</v>
      </c>
      <c r="R202" s="5">
        <v>9478903.7658823524</v>
      </c>
      <c r="S202" s="5">
        <v>10408498.562450979</v>
      </c>
      <c r="T202" s="5">
        <v>13847102.702964053</v>
      </c>
      <c r="U202" s="5">
        <v>59742005.833078429</v>
      </c>
      <c r="V202" s="5">
        <v>64660262.681756869</v>
      </c>
      <c r="W202" s="5">
        <v>56637700.365522869</v>
      </c>
      <c r="X202" s="5">
        <v>45754097.313264705</v>
      </c>
      <c r="Y202" s="5">
        <v>50077517.885032684</v>
      </c>
      <c r="Z202" s="5">
        <v>35068161.302647062</v>
      </c>
      <c r="AA202" s="5">
        <v>29842440.03602941</v>
      </c>
      <c r="AB202" s="5">
        <v>20104034.19651961</v>
      </c>
      <c r="AC202" s="5">
        <v>23208114.33617647</v>
      </c>
      <c r="AD202" s="5">
        <v>26312206.578823529</v>
      </c>
      <c r="AE202" s="5">
        <v>27051055.042352945</v>
      </c>
      <c r="AF202" s="5">
        <v>27695079.422500003</v>
      </c>
      <c r="AG202" s="5">
        <v>28291617.551274512</v>
      </c>
    </row>
    <row r="203" spans="1:33" x14ac:dyDescent="0.25">
      <c r="A203" s="33" t="s">
        <v>95</v>
      </c>
      <c r="B203" s="4" t="s">
        <v>38</v>
      </c>
      <c r="C203" s="5">
        <v>37213881.879444443</v>
      </c>
      <c r="D203" s="5">
        <v>37432448.487444438</v>
      </c>
      <c r="E203" s="5">
        <v>36907916.969333336</v>
      </c>
      <c r="F203" s="5">
        <v>36726424.596388891</v>
      </c>
      <c r="G203" s="5">
        <v>910300.6773333333</v>
      </c>
      <c r="H203" s="5">
        <v>871886.11416666675</v>
      </c>
      <c r="I203" s="5">
        <v>940285.62916666665</v>
      </c>
      <c r="J203" s="5">
        <v>999528.95999999996</v>
      </c>
      <c r="K203" s="5">
        <v>35264728.549166664</v>
      </c>
      <c r="L203" s="5">
        <v>34825054.048555553</v>
      </c>
      <c r="M203" s="5">
        <v>36208213.647499993</v>
      </c>
      <c r="N203" s="5">
        <v>35940955.456416667</v>
      </c>
      <c r="O203" s="5">
        <v>36069177.75055556</v>
      </c>
      <c r="P203" s="5">
        <v>36461240.382777773</v>
      </c>
      <c r="Q203" s="5">
        <v>36425567.003583327</v>
      </c>
      <c r="R203" s="5">
        <v>36125638.376611106</v>
      </c>
      <c r="S203" s="5">
        <v>34508322.181694441</v>
      </c>
      <c r="T203" s="5">
        <v>45056870.706222229</v>
      </c>
      <c r="U203" s="5">
        <v>60768971.026486099</v>
      </c>
      <c r="V203" s="5">
        <v>57489515.69722224</v>
      </c>
      <c r="W203" s="5">
        <v>35504666.161944449</v>
      </c>
      <c r="X203" s="5">
        <v>25928275.656111114</v>
      </c>
      <c r="Y203" s="5">
        <v>24931573.934861109</v>
      </c>
      <c r="Z203" s="5">
        <v>23104271.493527777</v>
      </c>
      <c r="AA203" s="5">
        <v>23865551.799027778</v>
      </c>
      <c r="AB203" s="5">
        <v>22161199.353722222</v>
      </c>
      <c r="AC203" s="5">
        <v>22015174.094583336</v>
      </c>
      <c r="AD203" s="5">
        <v>21855775.33288889</v>
      </c>
      <c r="AE203" s="5">
        <v>21689383.892305557</v>
      </c>
      <c r="AF203" s="5">
        <v>21560289.827763885</v>
      </c>
      <c r="AG203" s="5">
        <v>21470697.767319441</v>
      </c>
    </row>
    <row r="204" spans="1:33" ht="15" customHeight="1" x14ac:dyDescent="0.25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spans="1:33" ht="14.25" customHeight="1" x14ac:dyDescent="0.25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spans="1:33" x14ac:dyDescent="0.25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spans="1:33" x14ac:dyDescent="0.25">
      <c r="A207" s="2" t="s">
        <v>64</v>
      </c>
      <c r="B207" s="2" t="s">
        <v>130</v>
      </c>
      <c r="C207" s="8">
        <f>C92+C93</f>
        <v>78580259.047222212</v>
      </c>
      <c r="D207" s="8">
        <f t="shared" ref="D207:AG207" si="0">SUM(D96+D136+D142)</f>
        <v>11428.56</v>
      </c>
      <c r="E207" s="8">
        <f t="shared" si="0"/>
        <v>10932.726315789474</v>
      </c>
      <c r="F207" s="8">
        <f t="shared" si="0"/>
        <v>10567.572631578949</v>
      </c>
      <c r="G207" s="8">
        <f t="shared" si="0"/>
        <v>10631.53705263158</v>
      </c>
      <c r="H207" s="8">
        <f t="shared" si="0"/>
        <v>10866.430184210529</v>
      </c>
      <c r="I207" s="8">
        <f t="shared" si="0"/>
        <v>11173.116684210527</v>
      </c>
      <c r="J207" s="8">
        <f t="shared" si="0"/>
        <v>11270.145</v>
      </c>
      <c r="K207" s="8">
        <f t="shared" si="0"/>
        <v>11244.154263157896</v>
      </c>
      <c r="L207" s="8">
        <f t="shared" si="0"/>
        <v>0</v>
      </c>
      <c r="M207" s="8">
        <f t="shared" si="0"/>
        <v>17696390.555555556</v>
      </c>
      <c r="N207" s="8">
        <f t="shared" si="0"/>
        <v>17721467.777777776</v>
      </c>
      <c r="O207" s="8">
        <f t="shared" si="0"/>
        <v>8703411.1111111119</v>
      </c>
      <c r="P207" s="8">
        <f t="shared" si="0"/>
        <v>26868697.555555556</v>
      </c>
      <c r="Q207" s="8">
        <f t="shared" si="0"/>
        <v>28597586.077777781</v>
      </c>
      <c r="R207" s="8">
        <f t="shared" si="0"/>
        <v>31745852.630994152</v>
      </c>
      <c r="S207" s="8">
        <f t="shared" si="0"/>
        <v>19409700.474853802</v>
      </c>
      <c r="T207" s="8">
        <f t="shared" si="0"/>
        <v>36511823.612777777</v>
      </c>
      <c r="U207" s="8">
        <f t="shared" si="0"/>
        <v>18347408.858788889</v>
      </c>
      <c r="V207" s="8">
        <f t="shared" si="0"/>
        <v>14873766.081756432</v>
      </c>
      <c r="W207" s="8">
        <f t="shared" si="0"/>
        <v>9862745.0719649121</v>
      </c>
      <c r="X207" s="8">
        <f t="shared" si="0"/>
        <v>14777182.228013158</v>
      </c>
      <c r="Y207" s="8">
        <f t="shared" si="0"/>
        <v>37949221.241086259</v>
      </c>
      <c r="Z207" s="8">
        <f t="shared" si="0"/>
        <v>17547795.842103511</v>
      </c>
      <c r="AA207" s="8">
        <f>SUM(AA96+AA136+AA142)</f>
        <v>21303104.688398462</v>
      </c>
      <c r="AB207" s="8">
        <f t="shared" si="0"/>
        <v>22347712.522483818</v>
      </c>
      <c r="AC207" s="8">
        <f t="shared" si="0"/>
        <v>20946969.555763159</v>
      </c>
      <c r="AD207" s="8">
        <f t="shared" si="0"/>
        <v>19884769.205236845</v>
      </c>
      <c r="AE207" s="8">
        <f t="shared" si="0"/>
        <v>20824130.238903508</v>
      </c>
      <c r="AF207" s="8">
        <f t="shared" si="0"/>
        <v>21884645.404903509</v>
      </c>
      <c r="AG207" s="8">
        <f t="shared" si="0"/>
        <v>22913488.673833333</v>
      </c>
    </row>
    <row r="208" spans="1:33" x14ac:dyDescent="0.25">
      <c r="A208" s="2" t="s">
        <v>78</v>
      </c>
      <c r="B208" s="2" t="s">
        <v>130</v>
      </c>
      <c r="C208" s="8">
        <f>C138+C139</f>
        <v>16708549.179678362</v>
      </c>
      <c r="D208" s="8">
        <f t="shared" ref="D208:AG208" si="1">D138+D139</f>
        <v>16708884.350394737</v>
      </c>
      <c r="E208" s="8">
        <f t="shared" si="1"/>
        <v>16621239.041359648</v>
      </c>
      <c r="F208" s="8">
        <f t="shared" si="1"/>
        <v>16912298.703333337</v>
      </c>
      <c r="G208" s="8">
        <f t="shared" si="1"/>
        <v>17990792.786473684</v>
      </c>
      <c r="H208" s="8">
        <f t="shared" si="1"/>
        <v>32224595.057609651</v>
      </c>
      <c r="I208" s="8">
        <f t="shared" si="1"/>
        <v>36010295.660687134</v>
      </c>
      <c r="J208" s="8">
        <f t="shared" si="1"/>
        <v>35638478.889780708</v>
      </c>
      <c r="K208" s="8">
        <f t="shared" si="1"/>
        <v>21093263.448026314</v>
      </c>
      <c r="L208" s="8">
        <f t="shared" si="1"/>
        <v>22353124.59600877</v>
      </c>
      <c r="M208" s="8">
        <f t="shared" si="1"/>
        <v>22384691.346491225</v>
      </c>
      <c r="N208" s="8">
        <f t="shared" si="1"/>
        <v>21083590.427631583</v>
      </c>
      <c r="O208" s="8">
        <f t="shared" si="1"/>
        <v>4248060.8244444449</v>
      </c>
      <c r="P208" s="8">
        <f t="shared" si="1"/>
        <v>15084549.272055555</v>
      </c>
      <c r="Q208" s="8">
        <f t="shared" si="1"/>
        <v>24102254.030939683</v>
      </c>
      <c r="R208" s="8">
        <f t="shared" si="1"/>
        <v>101868384.09515873</v>
      </c>
      <c r="S208" s="8">
        <f t="shared" si="1"/>
        <v>89505897.242817461</v>
      </c>
      <c r="T208" s="8">
        <f t="shared" si="1"/>
        <v>166340120.54050559</v>
      </c>
      <c r="U208" s="8">
        <f t="shared" si="1"/>
        <v>410169950.20542622</v>
      </c>
      <c r="V208" s="8">
        <f t="shared" si="1"/>
        <v>332425433.06345028</v>
      </c>
      <c r="W208" s="8">
        <f t="shared" si="1"/>
        <v>194291046.87632623</v>
      </c>
      <c r="X208" s="8">
        <f t="shared" si="1"/>
        <v>331279149.4189564</v>
      </c>
      <c r="Y208" s="8">
        <f t="shared" si="1"/>
        <v>227385022.03396031</v>
      </c>
      <c r="Z208" s="8">
        <f t="shared" si="1"/>
        <v>278835990.6812675</v>
      </c>
      <c r="AA208" s="8">
        <f t="shared" si="1"/>
        <v>251625699.27542749</v>
      </c>
      <c r="AB208" s="8">
        <f t="shared" si="1"/>
        <v>267811068.36687306</v>
      </c>
      <c r="AC208" s="8">
        <f t="shared" si="1"/>
        <v>370337279.74940479</v>
      </c>
      <c r="AD208" s="8">
        <f t="shared" si="1"/>
        <v>240424168.59249011</v>
      </c>
      <c r="AE208" s="8">
        <f t="shared" si="1"/>
        <v>376781790.09281218</v>
      </c>
      <c r="AF208" s="8">
        <f t="shared" si="1"/>
        <v>278873915.36341274</v>
      </c>
      <c r="AG208" s="8">
        <f t="shared" si="1"/>
        <v>312878955.40801585</v>
      </c>
    </row>
    <row r="209" spans="1:33" x14ac:dyDescent="0.25">
      <c r="A209" s="2" t="s">
        <v>76</v>
      </c>
      <c r="B209" s="2" t="s">
        <v>130</v>
      </c>
      <c r="C209" s="8">
        <f>C132+C133</f>
        <v>14895546.665213035</v>
      </c>
      <c r="D209" s="8">
        <f t="shared" ref="D209:AG209" si="2">D132+D133</f>
        <v>15916936.7598325</v>
      </c>
      <c r="E209" s="8">
        <f t="shared" si="2"/>
        <v>16440302.312529236</v>
      </c>
      <c r="F209" s="8">
        <f t="shared" si="2"/>
        <v>17051794.304503344</v>
      </c>
      <c r="G209" s="8">
        <f t="shared" si="2"/>
        <v>25753121.473489977</v>
      </c>
      <c r="H209" s="8">
        <f t="shared" si="2"/>
        <v>26516485.200317882</v>
      </c>
      <c r="I209" s="8">
        <f t="shared" si="2"/>
        <v>28053836.320973262</v>
      </c>
      <c r="J209" s="8">
        <f t="shared" si="2"/>
        <v>27963867.296271931</v>
      </c>
      <c r="K209" s="8">
        <f t="shared" si="2"/>
        <v>39454388.755779035</v>
      </c>
      <c r="L209" s="8">
        <f t="shared" si="2"/>
        <v>41213108.991875514</v>
      </c>
      <c r="M209" s="8">
        <f t="shared" si="2"/>
        <v>42926745.29106307</v>
      </c>
      <c r="N209" s="8">
        <f t="shared" si="2"/>
        <v>42885186.713556819</v>
      </c>
      <c r="O209" s="8">
        <f t="shared" si="2"/>
        <v>22148782.495467838</v>
      </c>
      <c r="P209" s="8">
        <f t="shared" si="2"/>
        <v>22105642.148086883</v>
      </c>
      <c r="Q209" s="8">
        <f t="shared" si="2"/>
        <v>19837776.942030076</v>
      </c>
      <c r="R209" s="8">
        <f t="shared" si="2"/>
        <v>26434484.64704261</v>
      </c>
      <c r="S209" s="8">
        <f t="shared" si="2"/>
        <v>20737738.80000627</v>
      </c>
      <c r="T209" s="8">
        <f t="shared" si="2"/>
        <v>20303125.537451964</v>
      </c>
      <c r="U209" s="8">
        <f t="shared" si="2"/>
        <v>23934204.520910822</v>
      </c>
      <c r="V209" s="8">
        <f t="shared" si="2"/>
        <v>21792972.342667714</v>
      </c>
      <c r="W209" s="8">
        <f t="shared" si="2"/>
        <v>18694959.626677111</v>
      </c>
      <c r="X209" s="8">
        <f t="shared" si="2"/>
        <v>26052155.976207186</v>
      </c>
      <c r="Y209" s="8">
        <f t="shared" si="2"/>
        <v>26626398.679317039</v>
      </c>
      <c r="Z209" s="8">
        <f t="shared" si="2"/>
        <v>25785425.000522137</v>
      </c>
      <c r="AA209" s="8">
        <f t="shared" si="2"/>
        <v>25268100.541441102</v>
      </c>
      <c r="AB209" s="8">
        <f t="shared" si="2"/>
        <v>23536241.102126151</v>
      </c>
      <c r="AC209" s="8">
        <f t="shared" si="2"/>
        <v>16205415.982412282</v>
      </c>
      <c r="AD209" s="8">
        <f t="shared" si="2"/>
        <v>18650429.621702172</v>
      </c>
      <c r="AE209" s="8">
        <f t="shared" si="2"/>
        <v>8909629.4530639108</v>
      </c>
      <c r="AF209" s="8">
        <f t="shared" si="2"/>
        <v>10718459.86807644</v>
      </c>
      <c r="AG209" s="8">
        <f t="shared" si="2"/>
        <v>12977658.734872598</v>
      </c>
    </row>
    <row r="210" spans="1:33" x14ac:dyDescent="0.25">
      <c r="A210" s="2" t="s">
        <v>92</v>
      </c>
      <c r="B210" s="2" t="s">
        <v>127</v>
      </c>
      <c r="C210" s="8">
        <f>C189+C190</f>
        <v>78159428.70084165</v>
      </c>
      <c r="D210" s="8">
        <f t="shared" ref="D210:AG210" si="3">D189+D190</f>
        <v>79754932.221154869</v>
      </c>
      <c r="E210" s="8">
        <f t="shared" si="3"/>
        <v>82572071.930308357</v>
      </c>
      <c r="F210" s="8">
        <f t="shared" si="3"/>
        <v>85747371.100018784</v>
      </c>
      <c r="G210" s="8">
        <f t="shared" si="3"/>
        <v>88823501.799946755</v>
      </c>
      <c r="H210" s="8">
        <f t="shared" si="3"/>
        <v>90980825.641051829</v>
      </c>
      <c r="I210" s="8">
        <f t="shared" si="3"/>
        <v>93434224.750214219</v>
      </c>
      <c r="J210" s="8">
        <f t="shared" si="3"/>
        <v>98105257.648446709</v>
      </c>
      <c r="K210" s="8">
        <f t="shared" si="3"/>
        <v>101078445.76415768</v>
      </c>
      <c r="L210" s="8">
        <f t="shared" si="3"/>
        <v>104582797.03656946</v>
      </c>
      <c r="M210" s="8">
        <f t="shared" si="3"/>
        <v>105776184.51721099</v>
      </c>
      <c r="N210" s="8">
        <f t="shared" si="3"/>
        <v>135372840.88102099</v>
      </c>
      <c r="O210" s="8">
        <f t="shared" si="3"/>
        <v>148582723.54941028</v>
      </c>
      <c r="P210" s="8">
        <f t="shared" si="3"/>
        <v>164282756.196031</v>
      </c>
      <c r="Q210" s="8">
        <f t="shared" si="3"/>
        <v>173551045.36105618</v>
      </c>
      <c r="R210" s="8">
        <f t="shared" si="3"/>
        <v>177885694.95791954</v>
      </c>
      <c r="S210" s="8">
        <f t="shared" si="3"/>
        <v>149831513.85508409</v>
      </c>
      <c r="T210" s="8">
        <f t="shared" si="3"/>
        <v>186085427.29991889</v>
      </c>
      <c r="U210" s="8">
        <f t="shared" si="3"/>
        <v>164768260.88476095</v>
      </c>
      <c r="V210" s="8">
        <f t="shared" si="3"/>
        <v>42499759.782201052</v>
      </c>
      <c r="W210" s="8">
        <f t="shared" si="3"/>
        <v>10518907.671401918</v>
      </c>
      <c r="X210" s="8">
        <f t="shared" si="3"/>
        <v>7180030.7496517412</v>
      </c>
      <c r="Y210" s="8">
        <f t="shared" si="3"/>
        <v>6811039.7848258708</v>
      </c>
      <c r="Z210" s="8">
        <f t="shared" si="3"/>
        <v>6823077.7507462688</v>
      </c>
      <c r="AA210" s="8">
        <f t="shared" si="3"/>
        <v>6836161.7518905476</v>
      </c>
      <c r="AB210" s="8">
        <f t="shared" si="3"/>
        <v>2892677.8183333329</v>
      </c>
      <c r="AC210" s="8">
        <f t="shared" si="3"/>
        <v>2936861.2</v>
      </c>
      <c r="AD210" s="8">
        <f t="shared" si="3"/>
        <v>2979573.415</v>
      </c>
      <c r="AE210" s="8">
        <f t="shared" si="3"/>
        <v>3019022.6733333329</v>
      </c>
      <c r="AF210" s="8">
        <f t="shared" si="3"/>
        <v>3057248.74</v>
      </c>
      <c r="AG210" s="8">
        <f t="shared" si="3"/>
        <v>3089470.1716666664</v>
      </c>
    </row>
    <row r="211" spans="1:33" x14ac:dyDescent="0.25">
      <c r="A211" s="2" t="s">
        <v>87</v>
      </c>
      <c r="B211" s="2" t="s">
        <v>127</v>
      </c>
      <c r="C211" s="8">
        <f>C170+C171</f>
        <v>50764265.476614729</v>
      </c>
      <c r="D211" s="8">
        <f t="shared" ref="D211:AG211" si="4">D170+D171</f>
        <v>50774337.539247289</v>
      </c>
      <c r="E211" s="8">
        <f t="shared" si="4"/>
        <v>50335231.889878154</v>
      </c>
      <c r="F211" s="8">
        <f t="shared" si="4"/>
        <v>52856121.30412057</v>
      </c>
      <c r="G211" s="8">
        <f t="shared" si="4"/>
        <v>69969918.250373557</v>
      </c>
      <c r="H211" s="8">
        <f t="shared" si="4"/>
        <v>68257614.967450723</v>
      </c>
      <c r="I211" s="8">
        <f t="shared" si="4"/>
        <v>54723842.706776053</v>
      </c>
      <c r="J211" s="8">
        <f t="shared" si="4"/>
        <v>53185019.472065121</v>
      </c>
      <c r="K211" s="8">
        <f t="shared" si="4"/>
        <v>38358186.250233114</v>
      </c>
      <c r="L211" s="8">
        <f t="shared" si="4"/>
        <v>36289140.125531644</v>
      </c>
      <c r="M211" s="8">
        <f t="shared" si="4"/>
        <v>31847542.07414145</v>
      </c>
      <c r="N211" s="8">
        <f t="shared" si="4"/>
        <v>29878049.329418853</v>
      </c>
      <c r="O211" s="8">
        <f t="shared" si="4"/>
        <v>27224650.822669961</v>
      </c>
      <c r="P211" s="8">
        <f t="shared" si="4"/>
        <v>28389437.100745611</v>
      </c>
      <c r="Q211" s="8">
        <f t="shared" si="4"/>
        <v>29041953.411824565</v>
      </c>
      <c r="R211" s="8">
        <f t="shared" si="4"/>
        <v>34928665.468587726</v>
      </c>
      <c r="S211" s="8">
        <f t="shared" si="4"/>
        <v>74784905.956905723</v>
      </c>
      <c r="T211" s="8">
        <f t="shared" si="4"/>
        <v>94070115.624735251</v>
      </c>
      <c r="U211" s="8">
        <f t="shared" si="4"/>
        <v>129988736.12009519</v>
      </c>
      <c r="V211" s="8">
        <f t="shared" si="4"/>
        <v>244473057.03895932</v>
      </c>
      <c r="W211" s="8">
        <f t="shared" si="4"/>
        <v>268834027.91079444</v>
      </c>
      <c r="X211" s="8">
        <f t="shared" si="4"/>
        <v>243482508.59073868</v>
      </c>
      <c r="Y211" s="8">
        <f t="shared" si="4"/>
        <v>265683552.45220169</v>
      </c>
      <c r="Z211" s="8">
        <f t="shared" si="4"/>
        <v>267449255.31556958</v>
      </c>
      <c r="AA211" s="8">
        <f t="shared" si="4"/>
        <v>252260511.73202878</v>
      </c>
      <c r="AB211" s="8">
        <f t="shared" si="4"/>
        <v>254784837.78433856</v>
      </c>
      <c r="AC211" s="8">
        <f t="shared" si="4"/>
        <v>252649060.60826117</v>
      </c>
      <c r="AD211" s="8">
        <f t="shared" si="4"/>
        <v>255763567.71337724</v>
      </c>
      <c r="AE211" s="8">
        <f t="shared" si="4"/>
        <v>253520237.87101316</v>
      </c>
      <c r="AF211" s="8">
        <f t="shared" si="4"/>
        <v>257067992.06900519</v>
      </c>
      <c r="AG211" s="8">
        <f t="shared" si="4"/>
        <v>259612793.86153063</v>
      </c>
    </row>
    <row r="212" spans="1:33" x14ac:dyDescent="0.25">
      <c r="A212" s="2" t="s">
        <v>128</v>
      </c>
      <c r="B212" s="2" t="s">
        <v>131</v>
      </c>
      <c r="C212" s="8">
        <f>C19+C20</f>
        <v>20923950.020323381</v>
      </c>
      <c r="D212" s="8">
        <f t="shared" ref="D212:AG212" si="5">D19+D20</f>
        <v>20532693.853786986</v>
      </c>
      <c r="E212" s="8">
        <f t="shared" si="5"/>
        <v>20111574.529954832</v>
      </c>
      <c r="F212" s="8">
        <f t="shared" si="5"/>
        <v>19392670.084334902</v>
      </c>
      <c r="G212" s="8">
        <f t="shared" si="5"/>
        <v>19054703.122363184</v>
      </c>
      <c r="H212" s="8">
        <f t="shared" si="5"/>
        <v>18693917.72138387</v>
      </c>
      <c r="I212" s="8">
        <f t="shared" si="5"/>
        <v>20305661.86554661</v>
      </c>
      <c r="J212" s="8">
        <f t="shared" si="5"/>
        <v>19916221.87937418</v>
      </c>
      <c r="K212" s="8">
        <f t="shared" si="5"/>
        <v>19937955.877736975</v>
      </c>
      <c r="L212" s="8">
        <f t="shared" si="5"/>
        <v>19825403.520701751</v>
      </c>
      <c r="M212" s="8">
        <f t="shared" si="5"/>
        <v>19155298.849561401</v>
      </c>
      <c r="N212" s="8">
        <f t="shared" si="5"/>
        <v>19326300.843421053</v>
      </c>
      <c r="O212" s="8">
        <f t="shared" si="5"/>
        <v>1956106.5441666669</v>
      </c>
      <c r="P212" s="8">
        <f t="shared" si="5"/>
        <v>1868860.0933333333</v>
      </c>
      <c r="Q212" s="8">
        <f t="shared" si="5"/>
        <v>1900870.4433333334</v>
      </c>
      <c r="R212" s="8">
        <f t="shared" si="5"/>
        <v>1887280.7208333334</v>
      </c>
      <c r="S212" s="8">
        <f t="shared" si="5"/>
        <v>1784486.5525000002</v>
      </c>
      <c r="T212" s="8">
        <f t="shared" si="5"/>
        <v>2200512.6324999998</v>
      </c>
      <c r="U212" s="8">
        <f t="shared" si="5"/>
        <v>2217689.2383333333</v>
      </c>
      <c r="V212" s="8">
        <f t="shared" si="5"/>
        <v>2177787.5541666667</v>
      </c>
      <c r="W212" s="8">
        <f t="shared" si="5"/>
        <v>5062812.0449999999</v>
      </c>
      <c r="X212" s="8">
        <f t="shared" si="5"/>
        <v>6404901.9598684218</v>
      </c>
      <c r="Y212" s="8">
        <f t="shared" si="5"/>
        <v>6442339.4954824559</v>
      </c>
      <c r="Z212" s="8">
        <f t="shared" si="5"/>
        <v>6541567.8275000006</v>
      </c>
      <c r="AA212" s="8">
        <f t="shared" si="5"/>
        <v>6259354.4899561405</v>
      </c>
      <c r="AB212" s="8">
        <f t="shared" si="5"/>
        <v>6340104.8614473687</v>
      </c>
      <c r="AC212" s="8">
        <f t="shared" si="5"/>
        <v>6418379.5582894739</v>
      </c>
      <c r="AD212" s="8">
        <f t="shared" si="5"/>
        <v>6083652.8530263156</v>
      </c>
      <c r="AE212" s="8">
        <f t="shared" si="5"/>
        <v>6124954.0212280694</v>
      </c>
      <c r="AF212" s="8">
        <f t="shared" si="5"/>
        <v>6177151.9592543859</v>
      </c>
      <c r="AG212" s="8">
        <f t="shared" si="5"/>
        <v>6234188.6265789466</v>
      </c>
    </row>
    <row r="213" spans="1:33" x14ac:dyDescent="0.25">
      <c r="A213" s="2" t="s">
        <v>129</v>
      </c>
      <c r="B213" s="2" t="s">
        <v>131</v>
      </c>
      <c r="C213" s="8">
        <f>+C47+C48</f>
        <v>311598814.06162727</v>
      </c>
      <c r="D213" s="8">
        <f t="shared" ref="D213:AG213" si="6">+D47+D48</f>
        <v>314913212.59057081</v>
      </c>
      <c r="E213" s="8">
        <f t="shared" si="6"/>
        <v>275098221.46512675</v>
      </c>
      <c r="F213" s="8">
        <f t="shared" si="6"/>
        <v>262871459.77782801</v>
      </c>
      <c r="G213" s="8">
        <f t="shared" si="6"/>
        <v>261128636.20449466</v>
      </c>
      <c r="H213" s="8">
        <f t="shared" si="6"/>
        <v>257038004.93187308</v>
      </c>
      <c r="I213" s="8">
        <f t="shared" si="6"/>
        <v>243336949.27765125</v>
      </c>
      <c r="J213" s="8">
        <f t="shared" si="6"/>
        <v>227800791.45995286</v>
      </c>
      <c r="K213" s="8">
        <f t="shared" si="6"/>
        <v>225945393.95778477</v>
      </c>
      <c r="L213" s="8">
        <f t="shared" si="6"/>
        <v>232813533.26876855</v>
      </c>
      <c r="M213" s="8">
        <f t="shared" si="6"/>
        <v>235328125.65923217</v>
      </c>
      <c r="N213" s="8">
        <f t="shared" si="6"/>
        <v>232957520.37821281</v>
      </c>
      <c r="O213" s="8">
        <f t="shared" si="6"/>
        <v>144417830.43723875</v>
      </c>
      <c r="P213" s="8">
        <f t="shared" si="6"/>
        <v>142191816.79626864</v>
      </c>
      <c r="Q213" s="8">
        <f t="shared" si="6"/>
        <v>138986007.87026119</v>
      </c>
      <c r="R213" s="8">
        <f t="shared" si="6"/>
        <v>91307954.436380625</v>
      </c>
      <c r="S213" s="8">
        <f t="shared" si="6"/>
        <v>64954166.940870769</v>
      </c>
      <c r="T213" s="8">
        <f t="shared" si="6"/>
        <v>66630415.072983138</v>
      </c>
      <c r="U213" s="8">
        <f t="shared" si="6"/>
        <v>66455709.460084438</v>
      </c>
      <c r="V213" s="8">
        <f t="shared" si="6"/>
        <v>65876338.938094288</v>
      </c>
      <c r="W213" s="8">
        <f t="shared" si="6"/>
        <v>61511976.258134328</v>
      </c>
      <c r="X213" s="8">
        <f t="shared" si="6"/>
        <v>62054151.5187333</v>
      </c>
      <c r="Y213" s="8">
        <f t="shared" si="6"/>
        <v>65413986.955080487</v>
      </c>
      <c r="Z213" s="8">
        <f t="shared" si="6"/>
        <v>65841841.856021188</v>
      </c>
      <c r="AA213" s="8">
        <f t="shared" si="6"/>
        <v>61952728.244699508</v>
      </c>
      <c r="AB213" s="8">
        <f t="shared" si="6"/>
        <v>60519651.500131585</v>
      </c>
      <c r="AC213" s="8">
        <f t="shared" si="6"/>
        <v>57998581.139210522</v>
      </c>
      <c r="AD213" s="8">
        <f t="shared" si="6"/>
        <v>58117895.537499987</v>
      </c>
      <c r="AE213" s="8">
        <f t="shared" si="6"/>
        <v>57893320.744999997</v>
      </c>
      <c r="AF213" s="8">
        <f t="shared" si="6"/>
        <v>57748831.459999993</v>
      </c>
      <c r="AG213" s="8">
        <f t="shared" si="6"/>
        <v>57596497.972499989</v>
      </c>
    </row>
    <row r="214" spans="1:33" x14ac:dyDescent="0.25">
      <c r="A214" s="2" t="s">
        <v>118</v>
      </c>
      <c r="B214" s="2" t="s">
        <v>127</v>
      </c>
      <c r="C214" s="8">
        <f>C59+C60</f>
        <v>4569986.5263157897</v>
      </c>
      <c r="D214" s="8">
        <f t="shared" ref="D214:AG214" si="7">D59+D60</f>
        <v>2613786.0340789473</v>
      </c>
      <c r="E214" s="8">
        <f t="shared" si="7"/>
        <v>2314794.7413157895</v>
      </c>
      <c r="F214" s="8">
        <f t="shared" si="7"/>
        <v>4993056.5542105269</v>
      </c>
      <c r="G214" s="8">
        <f t="shared" si="7"/>
        <v>6731549.5777631579</v>
      </c>
      <c r="H214" s="8">
        <f t="shared" si="7"/>
        <v>5829500.5882894741</v>
      </c>
      <c r="I214" s="8">
        <f t="shared" si="7"/>
        <v>2388879.1685526315</v>
      </c>
      <c r="J214" s="8">
        <f t="shared" si="7"/>
        <v>2682333.9976315787</v>
      </c>
      <c r="K214" s="8">
        <f t="shared" si="7"/>
        <v>5503855.038947368</v>
      </c>
      <c r="L214" s="8">
        <f t="shared" si="7"/>
        <v>6149962.5543421051</v>
      </c>
      <c r="M214" s="8">
        <f t="shared" si="7"/>
        <v>2755123.0750000002</v>
      </c>
      <c r="N214" s="8">
        <f t="shared" si="7"/>
        <v>3016433.5149999997</v>
      </c>
      <c r="O214" s="8">
        <f t="shared" si="7"/>
        <v>2770511.5999999996</v>
      </c>
      <c r="P214" s="8">
        <f t="shared" si="7"/>
        <v>2616817.8899999997</v>
      </c>
      <c r="Q214" s="8">
        <f t="shared" si="7"/>
        <v>0</v>
      </c>
      <c r="R214" s="8">
        <f t="shared" si="7"/>
        <v>0</v>
      </c>
      <c r="S214" s="8">
        <f t="shared" si="7"/>
        <v>0</v>
      </c>
      <c r="T214" s="8">
        <f t="shared" si="7"/>
        <v>0</v>
      </c>
      <c r="U214" s="8">
        <f t="shared" si="7"/>
        <v>0</v>
      </c>
      <c r="V214" s="8">
        <f t="shared" si="7"/>
        <v>2577182.4</v>
      </c>
      <c r="W214" s="8">
        <f t="shared" si="7"/>
        <v>2545600.65</v>
      </c>
      <c r="X214" s="8">
        <f t="shared" si="7"/>
        <v>5826576.9305263162</v>
      </c>
      <c r="Y214" s="8">
        <f t="shared" si="7"/>
        <v>5816636.375</v>
      </c>
      <c r="Z214" s="8">
        <f t="shared" si="7"/>
        <v>5854584.8755263165</v>
      </c>
      <c r="AA214" s="8">
        <f t="shared" si="7"/>
        <v>5896821.9957894739</v>
      </c>
      <c r="AB214" s="8">
        <f t="shared" si="7"/>
        <v>5926170.5989473686</v>
      </c>
      <c r="AC214" s="8">
        <f t="shared" si="7"/>
        <v>5954082.8915789481</v>
      </c>
      <c r="AD214" s="8">
        <f t="shared" si="7"/>
        <v>5991783.4488157891</v>
      </c>
      <c r="AE214" s="8">
        <f t="shared" si="7"/>
        <v>6035049.5778947361</v>
      </c>
      <c r="AF214" s="8">
        <f t="shared" si="7"/>
        <v>6086680.1910526324</v>
      </c>
      <c r="AG214" s="8">
        <f t="shared" si="7"/>
        <v>6145863.4007894751</v>
      </c>
    </row>
    <row r="215" spans="1:33" x14ac:dyDescent="0.25">
      <c r="A215" s="2" t="s">
        <v>119</v>
      </c>
      <c r="B215" s="2" t="s">
        <v>131</v>
      </c>
      <c r="C215" s="8">
        <f>C55+C56</f>
        <v>5598384.2381578945</v>
      </c>
      <c r="D215" s="8">
        <f t="shared" ref="D215:AG215" si="8">D55+D56</f>
        <v>11321282.009342104</v>
      </c>
      <c r="E215" s="8">
        <f t="shared" si="8"/>
        <v>21742186.647105262</v>
      </c>
      <c r="F215" s="8">
        <f t="shared" si="8"/>
        <v>23354085.385394737</v>
      </c>
      <c r="G215" s="8">
        <f t="shared" si="8"/>
        <v>34313913.773947358</v>
      </c>
      <c r="H215" s="8">
        <f t="shared" si="8"/>
        <v>44391889.895394735</v>
      </c>
      <c r="I215" s="8">
        <f t="shared" si="8"/>
        <v>49168454.713947371</v>
      </c>
      <c r="J215" s="8">
        <f t="shared" si="8"/>
        <v>61360525.330131561</v>
      </c>
      <c r="K215" s="8">
        <f t="shared" si="8"/>
        <v>68262550.020394742</v>
      </c>
      <c r="L215" s="8">
        <f t="shared" si="8"/>
        <v>121877662.13407895</v>
      </c>
      <c r="M215" s="8">
        <f t="shared" si="8"/>
        <v>123733296.76793858</v>
      </c>
      <c r="N215" s="8">
        <f t="shared" si="8"/>
        <v>129845141.81893274</v>
      </c>
      <c r="O215" s="8">
        <f t="shared" si="8"/>
        <v>142806746.3986842</v>
      </c>
      <c r="P215" s="8">
        <f t="shared" si="8"/>
        <v>151228547.34372807</v>
      </c>
      <c r="Q215" s="8">
        <f t="shared" si="8"/>
        <v>175493078.55431286</v>
      </c>
      <c r="R215" s="8">
        <f t="shared" si="8"/>
        <v>234133328.25460526</v>
      </c>
      <c r="S215" s="8">
        <f t="shared" si="8"/>
        <v>261276329.46746492</v>
      </c>
      <c r="T215" s="8">
        <f t="shared" si="8"/>
        <v>266757548.93412569</v>
      </c>
      <c r="U215" s="8">
        <f t="shared" si="8"/>
        <v>275438932.44827187</v>
      </c>
      <c r="V215" s="8">
        <f t="shared" si="8"/>
        <v>280161656.13334793</v>
      </c>
      <c r="W215" s="8">
        <f t="shared" si="8"/>
        <v>269016593.68001461</v>
      </c>
      <c r="X215" s="8">
        <f t="shared" si="8"/>
        <v>252782013.30394739</v>
      </c>
      <c r="Y215" s="8">
        <f t="shared" si="8"/>
        <v>276183400.32488823</v>
      </c>
      <c r="Z215" s="8">
        <f t="shared" si="8"/>
        <v>280768150.91119456</v>
      </c>
      <c r="AA215" s="8">
        <f t="shared" si="8"/>
        <v>267849284.49763146</v>
      </c>
      <c r="AB215" s="8">
        <f t="shared" si="8"/>
        <v>268129431.55802631</v>
      </c>
      <c r="AC215" s="8">
        <f t="shared" si="8"/>
        <v>263800136.55421048</v>
      </c>
      <c r="AD215" s="8">
        <f t="shared" si="8"/>
        <v>266841401.45684212</v>
      </c>
      <c r="AE215" s="8">
        <f t="shared" si="8"/>
        <v>264380546.56289476</v>
      </c>
      <c r="AF215" s="8">
        <f t="shared" si="8"/>
        <v>267626725.60763156</v>
      </c>
      <c r="AG215" s="8">
        <f t="shared" si="8"/>
        <v>270569619.35592109</v>
      </c>
    </row>
    <row r="216" spans="1:33" x14ac:dyDescent="0.25">
      <c r="A216" s="16" t="s">
        <v>120</v>
      </c>
      <c r="B216" s="17" t="s">
        <v>132</v>
      </c>
      <c r="C216" s="8">
        <f>C32</f>
        <v>77147.621052631584</v>
      </c>
      <c r="D216" s="8">
        <f t="shared" ref="D216:AG216" si="9">D32</f>
        <v>78898.436052631587</v>
      </c>
      <c r="E216" s="8">
        <f t="shared" si="9"/>
        <v>77949.259342105273</v>
      </c>
      <c r="F216" s="8">
        <f t="shared" si="9"/>
        <v>0</v>
      </c>
      <c r="G216" s="8">
        <f t="shared" si="9"/>
        <v>0</v>
      </c>
      <c r="H216" s="8">
        <f t="shared" si="9"/>
        <v>0</v>
      </c>
      <c r="I216" s="8">
        <f t="shared" si="9"/>
        <v>0</v>
      </c>
      <c r="J216" s="8">
        <f t="shared" si="9"/>
        <v>0</v>
      </c>
      <c r="K216" s="8">
        <f t="shared" si="9"/>
        <v>0</v>
      </c>
      <c r="L216" s="8">
        <f t="shared" si="9"/>
        <v>0</v>
      </c>
      <c r="M216" s="8">
        <f t="shared" si="9"/>
        <v>0</v>
      </c>
      <c r="N216" s="8">
        <f t="shared" si="9"/>
        <v>0</v>
      </c>
      <c r="O216" s="8">
        <f t="shared" si="9"/>
        <v>0</v>
      </c>
      <c r="P216" s="8">
        <f t="shared" si="9"/>
        <v>0</v>
      </c>
      <c r="Q216" s="8">
        <f t="shared" si="9"/>
        <v>0</v>
      </c>
      <c r="R216" s="8">
        <f t="shared" si="9"/>
        <v>14724.549928421055</v>
      </c>
      <c r="S216" s="8">
        <f t="shared" si="9"/>
        <v>213958.16491831583</v>
      </c>
      <c r="T216" s="8">
        <f t="shared" si="9"/>
        <v>0</v>
      </c>
      <c r="U216" s="8">
        <f t="shared" si="9"/>
        <v>896285.52631578944</v>
      </c>
      <c r="V216" s="8">
        <f t="shared" si="9"/>
        <v>160009.85263157895</v>
      </c>
      <c r="W216" s="8">
        <f t="shared" si="9"/>
        <v>0</v>
      </c>
      <c r="X216" s="8">
        <f t="shared" si="9"/>
        <v>0</v>
      </c>
      <c r="Y216" s="8">
        <f t="shared" si="9"/>
        <v>0</v>
      </c>
      <c r="Z216" s="8">
        <f t="shared" si="9"/>
        <v>0</v>
      </c>
      <c r="AA216" s="8">
        <f t="shared" si="9"/>
        <v>278213.56657894736</v>
      </c>
      <c r="AB216" s="8">
        <f t="shared" si="9"/>
        <v>280005.61210526316</v>
      </c>
      <c r="AC216" s="8">
        <f t="shared" si="9"/>
        <v>283015.81947368424</v>
      </c>
      <c r="AD216" s="8">
        <f t="shared" si="9"/>
        <v>286417.42355263163</v>
      </c>
      <c r="AE216" s="8">
        <f t="shared" si="9"/>
        <v>0</v>
      </c>
      <c r="AF216" s="8">
        <f t="shared" si="9"/>
        <v>0</v>
      </c>
      <c r="AG216" s="8">
        <f t="shared" si="9"/>
        <v>0</v>
      </c>
    </row>
    <row r="217" spans="1:33" x14ac:dyDescent="0.25">
      <c r="A217" s="2" t="s">
        <v>121</v>
      </c>
      <c r="B217" s="2" t="s">
        <v>131</v>
      </c>
      <c r="C217" s="8">
        <f>C83+C84</f>
        <v>0</v>
      </c>
      <c r="D217" s="8">
        <f t="shared" ref="D217:AG217" si="10">D83+D84</f>
        <v>0</v>
      </c>
      <c r="E217" s="8">
        <f t="shared" si="10"/>
        <v>0</v>
      </c>
      <c r="F217" s="8">
        <f t="shared" si="10"/>
        <v>0</v>
      </c>
      <c r="G217" s="8">
        <f t="shared" si="10"/>
        <v>0</v>
      </c>
      <c r="H217" s="8">
        <f t="shared" si="10"/>
        <v>0</v>
      </c>
      <c r="I217" s="8">
        <f t="shared" si="10"/>
        <v>538568.79999999993</v>
      </c>
      <c r="J217" s="8">
        <f t="shared" si="10"/>
        <v>572237.67999999993</v>
      </c>
      <c r="K217" s="8">
        <f t="shared" si="10"/>
        <v>1564054.0750000002</v>
      </c>
      <c r="L217" s="8">
        <f t="shared" si="10"/>
        <v>1802422.5724999998</v>
      </c>
      <c r="M217" s="8">
        <f t="shared" si="10"/>
        <v>1596326.35</v>
      </c>
      <c r="N217" s="8">
        <f t="shared" si="10"/>
        <v>1432203.1749999998</v>
      </c>
      <c r="O217" s="8">
        <f t="shared" si="10"/>
        <v>1193206.3599999999</v>
      </c>
      <c r="P217" s="8">
        <f t="shared" si="10"/>
        <v>1051750.0339473682</v>
      </c>
      <c r="Q217" s="8">
        <f t="shared" si="10"/>
        <v>838163.73810307006</v>
      </c>
      <c r="R217" s="8">
        <f t="shared" si="10"/>
        <v>14134727.231597047</v>
      </c>
      <c r="S217" s="8">
        <f t="shared" si="10"/>
        <v>45560280.206873044</v>
      </c>
      <c r="T217" s="8">
        <f t="shared" si="10"/>
        <v>51668555.84326534</v>
      </c>
      <c r="U217" s="8">
        <f t="shared" si="10"/>
        <v>65056520.774600595</v>
      </c>
      <c r="V217" s="8">
        <f t="shared" si="10"/>
        <v>82074178.903402403</v>
      </c>
      <c r="W217" s="8">
        <f t="shared" si="10"/>
        <v>79857578.281177551</v>
      </c>
      <c r="X217" s="8">
        <f t="shared" si="10"/>
        <v>83779046.847486719</v>
      </c>
      <c r="Y217" s="8">
        <f t="shared" si="10"/>
        <v>111910967.15089689</v>
      </c>
      <c r="Z217" s="8">
        <f t="shared" si="10"/>
        <v>130818258.14145753</v>
      </c>
      <c r="AA217" s="8">
        <f t="shared" si="10"/>
        <v>130319404.58758436</v>
      </c>
      <c r="AB217" s="8">
        <f t="shared" si="10"/>
        <v>130091602.13493446</v>
      </c>
      <c r="AC217" s="8">
        <f t="shared" si="10"/>
        <v>128193768.97534713</v>
      </c>
      <c r="AD217" s="8">
        <f t="shared" si="10"/>
        <v>130537709.07201266</v>
      </c>
      <c r="AE217" s="8">
        <f t="shared" si="10"/>
        <v>128516248.55533761</v>
      </c>
      <c r="AF217" s="8">
        <f t="shared" si="10"/>
        <v>130807277.60506803</v>
      </c>
      <c r="AG217" s="8">
        <f t="shared" si="10"/>
        <v>132955975.82407425</v>
      </c>
    </row>
    <row r="218" spans="1:33" x14ac:dyDescent="0.25">
      <c r="A218" s="2" t="s">
        <v>122</v>
      </c>
      <c r="B218" s="2" t="s">
        <v>130</v>
      </c>
      <c r="C218" s="8">
        <f>C8+C9</f>
        <v>0</v>
      </c>
      <c r="D218" s="8">
        <f t="shared" ref="D218:AG218" si="11">D8+D9</f>
        <v>0</v>
      </c>
      <c r="E218" s="8">
        <f t="shared" si="11"/>
        <v>0</v>
      </c>
      <c r="F218" s="8">
        <f t="shared" si="11"/>
        <v>0</v>
      </c>
      <c r="G218" s="8">
        <f t="shared" si="11"/>
        <v>0</v>
      </c>
      <c r="H218" s="8">
        <f t="shared" si="11"/>
        <v>0</v>
      </c>
      <c r="I218" s="8">
        <f t="shared" si="11"/>
        <v>0</v>
      </c>
      <c r="J218" s="8">
        <f t="shared" si="11"/>
        <v>0</v>
      </c>
      <c r="K218" s="8">
        <f t="shared" si="11"/>
        <v>0</v>
      </c>
      <c r="L218" s="8">
        <f t="shared" si="11"/>
        <v>0</v>
      </c>
      <c r="M218" s="8">
        <f t="shared" si="11"/>
        <v>0</v>
      </c>
      <c r="N218" s="8">
        <f t="shared" si="11"/>
        <v>0</v>
      </c>
      <c r="O218" s="8">
        <f t="shared" si="11"/>
        <v>0</v>
      </c>
      <c r="P218" s="8">
        <f t="shared" si="11"/>
        <v>0</v>
      </c>
      <c r="Q218" s="8">
        <f t="shared" si="11"/>
        <v>0</v>
      </c>
      <c r="R218" s="8">
        <f t="shared" si="11"/>
        <v>0</v>
      </c>
      <c r="S218" s="8">
        <f t="shared" si="11"/>
        <v>320876850.3015002</v>
      </c>
      <c r="T218" s="8">
        <f t="shared" si="11"/>
        <v>459080985.56667638</v>
      </c>
      <c r="U218" s="8">
        <f t="shared" si="11"/>
        <v>455559619.02462643</v>
      </c>
      <c r="V218" s="8">
        <f t="shared" si="11"/>
        <v>463818185.3418051</v>
      </c>
      <c r="W218" s="8">
        <f t="shared" si="11"/>
        <v>445823504.48651975</v>
      </c>
      <c r="X218" s="8">
        <f t="shared" si="11"/>
        <v>438402962.04456699</v>
      </c>
      <c r="Y218" s="8">
        <f t="shared" si="11"/>
        <v>470271315.11104214</v>
      </c>
      <c r="Z218" s="8">
        <f t="shared" si="11"/>
        <v>477813506.82563323</v>
      </c>
      <c r="AA218" s="8">
        <f t="shared" si="11"/>
        <v>460091967.73953664</v>
      </c>
      <c r="AB218" s="8">
        <f t="shared" si="11"/>
        <v>461371890.65450358</v>
      </c>
      <c r="AC218" s="8">
        <f t="shared" si="11"/>
        <v>444026200.79623568</v>
      </c>
      <c r="AD218" s="8">
        <f t="shared" si="11"/>
        <v>0</v>
      </c>
      <c r="AE218" s="8">
        <f t="shared" si="11"/>
        <v>0</v>
      </c>
      <c r="AF218" s="8">
        <f t="shared" si="11"/>
        <v>0</v>
      </c>
      <c r="AG218" s="8">
        <f t="shared" si="11"/>
        <v>0</v>
      </c>
    </row>
    <row r="219" spans="1:33" x14ac:dyDescent="0.25">
      <c r="A219" s="2" t="s">
        <v>123</v>
      </c>
      <c r="B219" s="2" t="s">
        <v>130</v>
      </c>
      <c r="C219" s="8">
        <f>C79+C80</f>
        <v>0</v>
      </c>
      <c r="D219" s="8">
        <f t="shared" ref="D219:AG219" si="12">D79+D80</f>
        <v>0</v>
      </c>
      <c r="E219" s="8">
        <f t="shared" si="12"/>
        <v>0</v>
      </c>
      <c r="F219" s="8">
        <f t="shared" si="12"/>
        <v>0</v>
      </c>
      <c r="G219" s="8">
        <f t="shared" si="12"/>
        <v>0</v>
      </c>
      <c r="H219" s="8">
        <f t="shared" si="12"/>
        <v>0</v>
      </c>
      <c r="I219" s="8">
        <f t="shared" si="12"/>
        <v>0</v>
      </c>
      <c r="J219" s="8">
        <f t="shared" si="12"/>
        <v>0</v>
      </c>
      <c r="K219" s="8">
        <f t="shared" si="12"/>
        <v>9436.6315789473701</v>
      </c>
      <c r="L219" s="8">
        <f t="shared" si="12"/>
        <v>15032.895438596493</v>
      </c>
      <c r="M219" s="8">
        <f t="shared" si="12"/>
        <v>7007.8355259009822</v>
      </c>
      <c r="N219" s="8">
        <f t="shared" si="12"/>
        <v>15317.590603642133</v>
      </c>
      <c r="O219" s="8">
        <f t="shared" si="12"/>
        <v>60837.389938961685</v>
      </c>
      <c r="P219" s="8">
        <f t="shared" si="12"/>
        <v>181340.93608095459</v>
      </c>
      <c r="Q219" s="8">
        <f t="shared" si="12"/>
        <v>349924.57230215997</v>
      </c>
      <c r="R219" s="8">
        <f t="shared" si="12"/>
        <v>514653.5207172652</v>
      </c>
      <c r="S219" s="8">
        <f t="shared" si="12"/>
        <v>1545657.2710516718</v>
      </c>
      <c r="T219" s="8">
        <f t="shared" si="12"/>
        <v>2487800.8389640441</v>
      </c>
      <c r="U219" s="8">
        <f t="shared" si="12"/>
        <v>6959716.6980569791</v>
      </c>
      <c r="V219" s="8">
        <f t="shared" si="12"/>
        <v>10275960.501184968</v>
      </c>
      <c r="W219" s="8">
        <f t="shared" si="12"/>
        <v>12011981.852203855</v>
      </c>
      <c r="X219" s="8">
        <f t="shared" si="12"/>
        <v>18988209.721337222</v>
      </c>
      <c r="Y219" s="8">
        <f t="shared" si="12"/>
        <v>18779834.86234023</v>
      </c>
      <c r="Z219" s="8">
        <f t="shared" si="12"/>
        <v>27459976.613193259</v>
      </c>
      <c r="AA219" s="8">
        <f t="shared" si="12"/>
        <v>72849487.392145708</v>
      </c>
      <c r="AB219" s="8">
        <f t="shared" si="12"/>
        <v>92670605.202007547</v>
      </c>
      <c r="AC219" s="8">
        <f t="shared" si="12"/>
        <v>64703773.733958893</v>
      </c>
      <c r="AD219" s="8">
        <f t="shared" si="12"/>
        <v>42236974.675196275</v>
      </c>
      <c r="AE219" s="8">
        <f t="shared" si="12"/>
        <v>42368434.197219275</v>
      </c>
      <c r="AF219" s="8">
        <f t="shared" si="12"/>
        <v>33730466.86672733</v>
      </c>
      <c r="AG219" s="8">
        <f t="shared" si="12"/>
        <v>35038544.997919135</v>
      </c>
    </row>
    <row r="220" spans="1:33" x14ac:dyDescent="0.25">
      <c r="A220" s="2" t="s">
        <v>124</v>
      </c>
      <c r="B220" s="2" t="s">
        <v>131</v>
      </c>
      <c r="C220" s="8">
        <f>C67+C68</f>
        <v>20888757.51754386</v>
      </c>
      <c r="D220" s="8">
        <f t="shared" ref="D220:AG220" si="13">D67+D68</f>
        <v>23446088.279385965</v>
      </c>
      <c r="E220" s="8">
        <f t="shared" si="13"/>
        <v>67753162.671099514</v>
      </c>
      <c r="F220" s="8">
        <f t="shared" si="13"/>
        <v>74823326.876657188</v>
      </c>
      <c r="G220" s="8">
        <f t="shared" si="13"/>
        <v>82156425.247354388</v>
      </c>
      <c r="H220" s="8">
        <f t="shared" si="13"/>
        <v>85718419.53491953</v>
      </c>
      <c r="I220" s="8">
        <f t="shared" si="13"/>
        <v>83892402.907327384</v>
      </c>
      <c r="J220" s="8">
        <f t="shared" si="13"/>
        <v>85888544.02203387</v>
      </c>
      <c r="K220" s="8">
        <f t="shared" si="13"/>
        <v>102825622.13488758</v>
      </c>
      <c r="L220" s="8">
        <f t="shared" si="13"/>
        <v>115113933.70078091</v>
      </c>
      <c r="M220" s="8">
        <f t="shared" si="13"/>
        <v>110872800.30737072</v>
      </c>
      <c r="N220" s="8">
        <f t="shared" si="13"/>
        <v>157250570.88601673</v>
      </c>
      <c r="O220" s="8">
        <f t="shared" si="13"/>
        <v>123609468.01898211</v>
      </c>
      <c r="P220" s="8">
        <f t="shared" si="13"/>
        <v>123120221.73499703</v>
      </c>
      <c r="Q220" s="8">
        <f t="shared" si="13"/>
        <v>119703177.4361579</v>
      </c>
      <c r="R220" s="8">
        <f t="shared" si="13"/>
        <v>72453269.549125701</v>
      </c>
      <c r="S220" s="8">
        <f t="shared" si="13"/>
        <v>49638967.158254378</v>
      </c>
      <c r="T220" s="8">
        <f t="shared" si="13"/>
        <v>52064037.488535091</v>
      </c>
      <c r="U220" s="8">
        <f t="shared" si="13"/>
        <v>56898909.745938599</v>
      </c>
      <c r="V220" s="8">
        <f t="shared" si="13"/>
        <v>59897866.107681289</v>
      </c>
      <c r="W220" s="8">
        <f t="shared" si="13"/>
        <v>60273716.65505264</v>
      </c>
      <c r="X220" s="8">
        <f t="shared" si="13"/>
        <v>59502552.144086249</v>
      </c>
      <c r="Y220" s="8">
        <f t="shared" si="13"/>
        <v>66824756.298947357</v>
      </c>
      <c r="Z220" s="8">
        <f t="shared" si="13"/>
        <v>70949628.8296462</v>
      </c>
      <c r="AA220" s="8">
        <f t="shared" si="13"/>
        <v>66846127.524026312</v>
      </c>
      <c r="AB220" s="8">
        <f t="shared" si="13"/>
        <v>66046122.553815782</v>
      </c>
      <c r="AC220" s="8">
        <f t="shared" si="13"/>
        <v>64346977.572236829</v>
      </c>
      <c r="AD220" s="8">
        <f t="shared" si="13"/>
        <v>65181083.424605265</v>
      </c>
      <c r="AE220" s="8">
        <f t="shared" si="13"/>
        <v>63819959.962368414</v>
      </c>
      <c r="AF220" s="8">
        <f t="shared" si="13"/>
        <v>64588221.479868405</v>
      </c>
      <c r="AG220" s="8">
        <f t="shared" si="13"/>
        <v>64955806.190789476</v>
      </c>
    </row>
    <row r="221" spans="1:33" x14ac:dyDescent="0.25">
      <c r="A221" s="2" t="s">
        <v>125</v>
      </c>
      <c r="B221" s="2" t="s">
        <v>127</v>
      </c>
      <c r="C221" s="8">
        <f>C72+C73</f>
        <v>804259.78947368416</v>
      </c>
      <c r="D221" s="8">
        <f t="shared" ref="D221:AG221" si="14">D72+D73</f>
        <v>814409.56736842101</v>
      </c>
      <c r="E221" s="8">
        <f t="shared" si="14"/>
        <v>791281.72789473692</v>
      </c>
      <c r="F221" s="8">
        <f t="shared" si="14"/>
        <v>745679.86605263175</v>
      </c>
      <c r="G221" s="8">
        <f t="shared" si="14"/>
        <v>797608.27776315797</v>
      </c>
      <c r="H221" s="8">
        <f t="shared" si="14"/>
        <v>793505.3601315791</v>
      </c>
      <c r="I221" s="8">
        <f t="shared" si="14"/>
        <v>807322.46184210526</v>
      </c>
      <c r="J221" s="8">
        <f t="shared" si="14"/>
        <v>15497985.037631581</v>
      </c>
      <c r="K221" s="8">
        <f t="shared" si="14"/>
        <v>23015253.727710523</v>
      </c>
      <c r="L221" s="8">
        <f t="shared" si="14"/>
        <v>29554012.882236842</v>
      </c>
      <c r="M221" s="8">
        <f t="shared" si="14"/>
        <v>28143333.279144734</v>
      </c>
      <c r="N221" s="8">
        <f t="shared" si="14"/>
        <v>27963363.659868423</v>
      </c>
      <c r="O221" s="8">
        <f t="shared" si="14"/>
        <v>287270.77894736844</v>
      </c>
      <c r="P221" s="8">
        <f t="shared" si="14"/>
        <v>295912.22842105263</v>
      </c>
      <c r="Q221" s="8">
        <f t="shared" si="14"/>
        <v>313516.50986842107</v>
      </c>
      <c r="R221" s="8">
        <f t="shared" si="14"/>
        <v>300997.51578947366</v>
      </c>
      <c r="S221" s="8">
        <f t="shared" si="14"/>
        <v>430151.70526315796</v>
      </c>
      <c r="T221" s="8">
        <f t="shared" si="14"/>
        <v>1240330.3978947368</v>
      </c>
      <c r="U221" s="8">
        <f t="shared" si="14"/>
        <v>1797781.6965789474</v>
      </c>
      <c r="V221" s="8">
        <f t="shared" si="14"/>
        <v>1041960.3836842106</v>
      </c>
      <c r="W221" s="8">
        <f t="shared" si="14"/>
        <v>903155.61315789458</v>
      </c>
      <c r="X221" s="8">
        <f t="shared" si="14"/>
        <v>927637.83394736843</v>
      </c>
      <c r="Y221" s="8">
        <f t="shared" si="14"/>
        <v>777066.97697368416</v>
      </c>
      <c r="Z221" s="8">
        <f t="shared" si="14"/>
        <v>630153.08855263167</v>
      </c>
      <c r="AA221" s="8">
        <f t="shared" si="14"/>
        <v>3543.6963157894734</v>
      </c>
      <c r="AB221" s="8">
        <f t="shared" si="14"/>
        <v>3783.6457894736841</v>
      </c>
      <c r="AC221" s="8">
        <f t="shared" si="14"/>
        <v>4031.9913157894744</v>
      </c>
      <c r="AD221" s="8">
        <f t="shared" si="14"/>
        <v>0</v>
      </c>
      <c r="AE221" s="8">
        <f t="shared" si="14"/>
        <v>0</v>
      </c>
      <c r="AF221" s="8">
        <f t="shared" si="14"/>
        <v>0</v>
      </c>
      <c r="AG221" s="8">
        <f t="shared" si="14"/>
        <v>0</v>
      </c>
    </row>
    <row r="222" spans="1:33" x14ac:dyDescent="0.25">
      <c r="A222" s="2" t="s">
        <v>83</v>
      </c>
      <c r="B222" s="2" t="s">
        <v>130</v>
      </c>
      <c r="C222" s="8">
        <f t="shared" ref="C222:AG222" si="15">C154+C155</f>
        <v>0</v>
      </c>
      <c r="D222" s="8">
        <f t="shared" si="15"/>
        <v>0</v>
      </c>
      <c r="E222" s="8">
        <f t="shared" si="15"/>
        <v>0</v>
      </c>
      <c r="F222" s="8">
        <f t="shared" si="15"/>
        <v>0</v>
      </c>
      <c r="G222" s="8">
        <f t="shared" si="15"/>
        <v>0</v>
      </c>
      <c r="H222" s="8">
        <f t="shared" si="15"/>
        <v>0</v>
      </c>
      <c r="I222" s="8">
        <f t="shared" si="15"/>
        <v>3029895.8736842112</v>
      </c>
      <c r="J222" s="8">
        <f t="shared" si="15"/>
        <v>7758595.6578421062</v>
      </c>
      <c r="K222" s="8">
        <f t="shared" si="15"/>
        <v>1545856.413622807</v>
      </c>
      <c r="L222" s="8">
        <f t="shared" si="15"/>
        <v>4340799.6761578955</v>
      </c>
      <c r="M222" s="8">
        <f t="shared" si="15"/>
        <v>3509131.2852894738</v>
      </c>
      <c r="N222" s="8">
        <f t="shared" si="15"/>
        <v>5934020.7698421059</v>
      </c>
      <c r="O222" s="8">
        <f t="shared" si="15"/>
        <v>11771289.003596492</v>
      </c>
      <c r="P222" s="8">
        <f t="shared" si="15"/>
        <v>21235065.818330705</v>
      </c>
      <c r="Q222" s="8">
        <f t="shared" si="15"/>
        <v>35141118.636778519</v>
      </c>
      <c r="R222" s="8">
        <f t="shared" si="15"/>
        <v>44497769.475822374</v>
      </c>
      <c r="S222" s="8">
        <f t="shared" si="15"/>
        <v>55341923.767780691</v>
      </c>
      <c r="T222" s="8">
        <f t="shared" si="15"/>
        <v>66664536.867978521</v>
      </c>
      <c r="U222" s="8">
        <f t="shared" si="15"/>
        <v>93092909.247318864</v>
      </c>
      <c r="V222" s="8">
        <f t="shared" si="15"/>
        <v>126525666.33989815</v>
      </c>
      <c r="W222" s="8">
        <f t="shared" si="15"/>
        <v>142261312.48049879</v>
      </c>
      <c r="X222" s="8">
        <f t="shared" si="15"/>
        <v>142479003.36778629</v>
      </c>
      <c r="Y222" s="8">
        <f t="shared" si="15"/>
        <v>166422082.736177</v>
      </c>
      <c r="Z222" s="8">
        <f t="shared" si="15"/>
        <v>173751395.40052408</v>
      </c>
      <c r="AA222" s="8">
        <f t="shared" si="15"/>
        <v>186328369.91646266</v>
      </c>
      <c r="AB222" s="8">
        <f t="shared" si="15"/>
        <v>197668287.62063622</v>
      </c>
      <c r="AC222" s="8">
        <f t="shared" si="15"/>
        <v>205652326.63302279</v>
      </c>
      <c r="AD222" s="8">
        <f t="shared" si="15"/>
        <v>209552844.43528977</v>
      </c>
      <c r="AE222" s="8">
        <f t="shared" si="15"/>
        <v>207355550.10954678</v>
      </c>
      <c r="AF222" s="8">
        <f t="shared" si="15"/>
        <v>209606287.81869888</v>
      </c>
      <c r="AG222" s="8">
        <f t="shared" si="15"/>
        <v>211802837.82197365</v>
      </c>
    </row>
    <row r="223" spans="1:33" x14ac:dyDescent="0.25">
      <c r="A223" s="2" t="s">
        <v>81</v>
      </c>
      <c r="B223" s="2" t="s">
        <v>131</v>
      </c>
      <c r="C223" s="8">
        <f>C147+C148</f>
        <v>0</v>
      </c>
      <c r="D223" s="8">
        <f t="shared" ref="D223:AG223" si="16">D147+D148</f>
        <v>0</v>
      </c>
      <c r="E223" s="8">
        <f t="shared" si="16"/>
        <v>0</v>
      </c>
      <c r="F223" s="8">
        <f t="shared" si="16"/>
        <v>0</v>
      </c>
      <c r="G223" s="8">
        <f t="shared" si="16"/>
        <v>0</v>
      </c>
      <c r="H223" s="8">
        <f t="shared" si="16"/>
        <v>0</v>
      </c>
      <c r="I223" s="8">
        <f t="shared" si="16"/>
        <v>0</v>
      </c>
      <c r="J223" s="8">
        <f t="shared" si="16"/>
        <v>0</v>
      </c>
      <c r="K223" s="8">
        <f t="shared" si="16"/>
        <v>6300.6315789473692</v>
      </c>
      <c r="L223" s="8">
        <f t="shared" si="16"/>
        <v>1716887.879922929</v>
      </c>
      <c r="M223" s="8">
        <f t="shared" si="16"/>
        <v>1579536.4100666936</v>
      </c>
      <c r="N223" s="8">
        <f t="shared" si="16"/>
        <v>9327523.8119436298</v>
      </c>
      <c r="O223" s="8">
        <f t="shared" si="16"/>
        <v>23147609.055447347</v>
      </c>
      <c r="P223" s="8">
        <f t="shared" si="16"/>
        <v>41170015.45411174</v>
      </c>
      <c r="Q223" s="8">
        <f t="shared" si="16"/>
        <v>66222136.368070766</v>
      </c>
      <c r="R223" s="8">
        <f t="shared" si="16"/>
        <v>89756383.940039173</v>
      </c>
      <c r="S223" s="8">
        <f t="shared" si="16"/>
        <v>107603981.35436857</v>
      </c>
      <c r="T223" s="8">
        <f t="shared" si="16"/>
        <v>127327220.75884214</v>
      </c>
      <c r="U223" s="8">
        <f t="shared" si="16"/>
        <v>136528866.40202385</v>
      </c>
      <c r="V223" s="8">
        <f t="shared" si="16"/>
        <v>145562504.84282181</v>
      </c>
      <c r="W223" s="8">
        <f t="shared" si="16"/>
        <v>141811832.69188434</v>
      </c>
      <c r="X223" s="8">
        <f t="shared" si="16"/>
        <v>160800233.02991807</v>
      </c>
      <c r="Y223" s="8">
        <f t="shared" si="16"/>
        <v>186996096.55044705</v>
      </c>
      <c r="Z223" s="8">
        <f t="shared" si="16"/>
        <v>209165465.89669368</v>
      </c>
      <c r="AA223" s="8">
        <f t="shared" si="16"/>
        <v>205938451.27025551</v>
      </c>
      <c r="AB223" s="8">
        <f t="shared" si="16"/>
        <v>220998668.43915194</v>
      </c>
      <c r="AC223" s="8">
        <f t="shared" si="16"/>
        <v>219106581.71571612</v>
      </c>
      <c r="AD223" s="8">
        <f t="shared" si="16"/>
        <v>222271116.40640509</v>
      </c>
      <c r="AE223" s="8">
        <f t="shared" si="16"/>
        <v>217335571.50486726</v>
      </c>
      <c r="AF223" s="8">
        <f t="shared" si="16"/>
        <v>218764570.77513307</v>
      </c>
      <c r="AG223" s="8">
        <f t="shared" si="16"/>
        <v>220234251.13688153</v>
      </c>
    </row>
    <row r="224" spans="1:33" x14ac:dyDescent="0.25">
      <c r="X224" s="8"/>
    </row>
    <row r="225" spans="1:33" x14ac:dyDescent="0.25">
      <c r="A225" s="2" t="s">
        <v>133</v>
      </c>
      <c r="B225" s="2">
        <v>1.1000000000000001</v>
      </c>
      <c r="W225" s="8"/>
      <c r="X225" s="8"/>
      <c r="Y225" s="8"/>
      <c r="Z225" s="8"/>
      <c r="AA225" s="8"/>
      <c r="AB225" s="8"/>
    </row>
    <row r="226" spans="1:33" x14ac:dyDescent="0.25">
      <c r="A226" s="2" t="s">
        <v>134</v>
      </c>
      <c r="B226" s="2">
        <v>0.9</v>
      </c>
      <c r="T226" s="8"/>
      <c r="X226" s="8"/>
    </row>
    <row r="227" spans="1:33" x14ac:dyDescent="0.25">
      <c r="A227" s="2" t="s">
        <v>126</v>
      </c>
      <c r="B227" s="2">
        <v>0.7</v>
      </c>
    </row>
    <row r="228" spans="1:33" x14ac:dyDescent="0.25">
      <c r="AC228" s="15"/>
      <c r="AD228" s="15"/>
      <c r="AE228" s="15"/>
      <c r="AF228" s="15"/>
      <c r="AG228" s="15"/>
    </row>
    <row r="229" spans="1:33" ht="15.75" thickBot="1" x14ac:dyDescent="0.3">
      <c r="B229" s="2" t="s">
        <v>135</v>
      </c>
      <c r="Z229" s="8">
        <f>Z230+Z233+Z236</f>
        <v>289952290.37150383</v>
      </c>
      <c r="AC229" s="18"/>
      <c r="AD229" s="18"/>
      <c r="AE229" s="18"/>
      <c r="AF229" s="18"/>
      <c r="AG229" s="18"/>
    </row>
    <row r="230" spans="1:33" s="20" customFormat="1" ht="15.75" thickBot="1" x14ac:dyDescent="0.3">
      <c r="A230" s="19" t="s">
        <v>64</v>
      </c>
      <c r="C230" s="20">
        <f t="shared" ref="C230:AG230" si="17">C207*$B226</f>
        <v>70722233.142499998</v>
      </c>
      <c r="D230" s="20">
        <f t="shared" si="17"/>
        <v>10285.704</v>
      </c>
      <c r="E230" s="20">
        <f t="shared" si="17"/>
        <v>9839.4536842105263</v>
      </c>
      <c r="F230" s="20">
        <f t="shared" si="17"/>
        <v>9510.8153684210538</v>
      </c>
      <c r="G230" s="20">
        <f t="shared" si="17"/>
        <v>9568.3833473684226</v>
      </c>
      <c r="H230" s="20">
        <f t="shared" si="17"/>
        <v>9779.7871657894757</v>
      </c>
      <c r="I230" s="20">
        <f t="shared" si="17"/>
        <v>10055.805015789474</v>
      </c>
      <c r="J230" s="20">
        <f t="shared" si="17"/>
        <v>10143.130500000001</v>
      </c>
      <c r="K230" s="20">
        <f t="shared" si="17"/>
        <v>10119.738836842107</v>
      </c>
      <c r="L230" s="20">
        <f t="shared" si="17"/>
        <v>0</v>
      </c>
      <c r="M230" s="20">
        <f t="shared" si="17"/>
        <v>15926751.5</v>
      </c>
      <c r="N230" s="20">
        <f t="shared" si="17"/>
        <v>15949320.999999998</v>
      </c>
      <c r="O230" s="20">
        <f t="shared" si="17"/>
        <v>7833070.0000000009</v>
      </c>
      <c r="P230" s="20">
        <f t="shared" si="17"/>
        <v>24181827.800000001</v>
      </c>
      <c r="Q230" s="20">
        <f t="shared" si="17"/>
        <v>25737827.470000003</v>
      </c>
      <c r="R230" s="20">
        <f t="shared" si="17"/>
        <v>28571267.367894739</v>
      </c>
      <c r="S230" s="20">
        <f t="shared" si="17"/>
        <v>17468730.427368421</v>
      </c>
      <c r="T230" s="20">
        <f t="shared" si="17"/>
        <v>32860641.251499999</v>
      </c>
      <c r="U230" s="20">
        <f t="shared" si="17"/>
        <v>16512667.97291</v>
      </c>
      <c r="V230" s="20">
        <f t="shared" si="17"/>
        <v>13386389.473580789</v>
      </c>
      <c r="W230" s="20">
        <f>W207*$B226</f>
        <v>8876470.5647684205</v>
      </c>
      <c r="X230" s="20">
        <f t="shared" si="17"/>
        <v>13299464.005211843</v>
      </c>
      <c r="Y230" s="20">
        <f t="shared" si="17"/>
        <v>34154299.116977632</v>
      </c>
      <c r="Z230" s="20">
        <f t="shared" si="17"/>
        <v>15793016.25789316</v>
      </c>
      <c r="AA230" s="20">
        <f t="shared" si="17"/>
        <v>19172794.219558615</v>
      </c>
      <c r="AB230" s="20">
        <f t="shared" si="17"/>
        <v>20112941.270235438</v>
      </c>
      <c r="AC230" s="20">
        <f t="shared" si="17"/>
        <v>18852272.600186843</v>
      </c>
      <c r="AD230" s="20">
        <f t="shared" si="17"/>
        <v>17896292.28471316</v>
      </c>
      <c r="AE230" s="20">
        <f t="shared" si="17"/>
        <v>18741717.215013158</v>
      </c>
      <c r="AF230" s="20">
        <f t="shared" si="17"/>
        <v>19696180.864413157</v>
      </c>
      <c r="AG230" s="20">
        <f t="shared" si="17"/>
        <v>20622139.806450002</v>
      </c>
    </row>
    <row r="231" spans="1:33" x14ac:dyDescent="0.25">
      <c r="A231" s="2" t="s">
        <v>96</v>
      </c>
      <c r="B231" s="2">
        <v>0.81818181818181823</v>
      </c>
      <c r="C231" s="2">
        <f>$B$231*C230</f>
        <v>57863645.298409089</v>
      </c>
      <c r="D231" s="2">
        <f t="shared" ref="D231:AG231" si="18">$B$231*D230</f>
        <v>8415.5760000000009</v>
      </c>
      <c r="E231" s="2">
        <f t="shared" si="18"/>
        <v>8050.4621052631583</v>
      </c>
      <c r="F231" s="2">
        <f t="shared" si="18"/>
        <v>7781.5762105263175</v>
      </c>
      <c r="G231" s="2">
        <f t="shared" si="18"/>
        <v>7828.6772842105283</v>
      </c>
      <c r="H231" s="2">
        <f t="shared" si="18"/>
        <v>8001.6440447368441</v>
      </c>
      <c r="I231" s="2">
        <f t="shared" si="18"/>
        <v>8227.4768311004791</v>
      </c>
      <c r="J231" s="2">
        <f t="shared" si="18"/>
        <v>8298.9249545454568</v>
      </c>
      <c r="K231" s="2">
        <f t="shared" si="18"/>
        <v>8279.7863210526339</v>
      </c>
      <c r="L231" s="2">
        <f t="shared" si="18"/>
        <v>0</v>
      </c>
      <c r="M231" s="2">
        <f t="shared" si="18"/>
        <v>13030978.5</v>
      </c>
      <c r="N231" s="2">
        <f t="shared" si="18"/>
        <v>13049444.454545453</v>
      </c>
      <c r="O231" s="2">
        <f t="shared" si="18"/>
        <v>6408875.454545456</v>
      </c>
      <c r="P231" s="2">
        <f t="shared" si="18"/>
        <v>19785131.83636364</v>
      </c>
      <c r="Q231" s="2">
        <f t="shared" si="18"/>
        <v>21058222.47545455</v>
      </c>
      <c r="R231" s="2">
        <f t="shared" si="18"/>
        <v>23376491.48282297</v>
      </c>
      <c r="S231" s="2">
        <f t="shared" si="18"/>
        <v>14292597.622392345</v>
      </c>
      <c r="T231" s="2">
        <f t="shared" si="18"/>
        <v>26885979.205772728</v>
      </c>
      <c r="U231" s="2">
        <f t="shared" si="18"/>
        <v>13510364.705108183</v>
      </c>
      <c r="V231" s="2">
        <f t="shared" si="18"/>
        <v>10952500.478384282</v>
      </c>
      <c r="W231" s="2">
        <f t="shared" si="18"/>
        <v>7262566.8257196173</v>
      </c>
      <c r="X231" s="2">
        <f t="shared" si="18"/>
        <v>10881379.640627872</v>
      </c>
      <c r="Y231" s="2">
        <f t="shared" si="18"/>
        <v>27944426.550254427</v>
      </c>
      <c r="Z231" s="2">
        <f t="shared" si="18"/>
        <v>12921558.75645804</v>
      </c>
      <c r="AA231" s="2">
        <f t="shared" si="18"/>
        <v>15686831.634184323</v>
      </c>
      <c r="AB231" s="2">
        <f t="shared" si="18"/>
        <v>16456042.857465358</v>
      </c>
      <c r="AC231" s="2">
        <f t="shared" si="18"/>
        <v>15424586.672880145</v>
      </c>
      <c r="AD231" s="2">
        <f t="shared" si="18"/>
        <v>14642420.96021986</v>
      </c>
      <c r="AE231" s="2">
        <f t="shared" si="18"/>
        <v>15334132.266828949</v>
      </c>
      <c r="AF231" s="2">
        <f t="shared" si="18"/>
        <v>16115057.070883494</v>
      </c>
      <c r="AG231" s="2">
        <f t="shared" si="18"/>
        <v>16872659.841640912</v>
      </c>
    </row>
    <row r="232" spans="1:33" ht="15.75" thickBot="1" x14ac:dyDescent="0.3">
      <c r="A232" s="2" t="s">
        <v>138</v>
      </c>
      <c r="B232">
        <v>0.18181818181818177</v>
      </c>
      <c r="C232" s="2">
        <f>$B$232*C230</f>
        <v>12858587.844090905</v>
      </c>
      <c r="D232" s="2">
        <f t="shared" ref="D232:AG232" si="19">$B$232*D230</f>
        <v>1870.1279999999995</v>
      </c>
      <c r="E232" s="2">
        <f t="shared" si="19"/>
        <v>1788.991578947368</v>
      </c>
      <c r="F232" s="2">
        <f t="shared" si="19"/>
        <v>1729.2391578947365</v>
      </c>
      <c r="G232" s="2">
        <f t="shared" si="19"/>
        <v>1739.7060631578945</v>
      </c>
      <c r="H232" s="2">
        <f t="shared" si="19"/>
        <v>1778.1431210526314</v>
      </c>
      <c r="I232" s="2">
        <f t="shared" si="19"/>
        <v>1828.3281846889947</v>
      </c>
      <c r="J232" s="2">
        <f t="shared" si="19"/>
        <v>1844.2055454545452</v>
      </c>
      <c r="K232" s="2">
        <f t="shared" si="19"/>
        <v>1839.9525157894734</v>
      </c>
      <c r="L232" s="2">
        <f t="shared" si="19"/>
        <v>0</v>
      </c>
      <c r="M232" s="2">
        <f t="shared" si="19"/>
        <v>2895772.9999999991</v>
      </c>
      <c r="N232" s="2">
        <f t="shared" si="19"/>
        <v>2899876.5454545445</v>
      </c>
      <c r="O232" s="2">
        <f t="shared" si="19"/>
        <v>1424194.5454545452</v>
      </c>
      <c r="P232" s="2">
        <f t="shared" si="19"/>
        <v>4396695.9636363629</v>
      </c>
      <c r="Q232" s="2">
        <f t="shared" si="19"/>
        <v>4679604.9945454542</v>
      </c>
      <c r="R232" s="2">
        <f t="shared" si="19"/>
        <v>5194775.8850717694</v>
      </c>
      <c r="S232" s="2">
        <f t="shared" si="19"/>
        <v>3176132.8049760759</v>
      </c>
      <c r="T232" s="2">
        <f t="shared" si="19"/>
        <v>5974662.0457272707</v>
      </c>
      <c r="U232" s="2">
        <f t="shared" si="19"/>
        <v>3002303.2678018175</v>
      </c>
      <c r="V232" s="2">
        <f t="shared" si="19"/>
        <v>2433888.9951965064</v>
      </c>
      <c r="W232" s="2">
        <f t="shared" si="19"/>
        <v>1613903.7390488032</v>
      </c>
      <c r="X232" s="2">
        <f t="shared" si="19"/>
        <v>2418084.364583971</v>
      </c>
      <c r="Y232" s="2">
        <f t="shared" si="19"/>
        <v>6209872.5667232042</v>
      </c>
      <c r="Z232" s="2">
        <f t="shared" si="19"/>
        <v>2871457.5014351192</v>
      </c>
      <c r="AA232" s="2">
        <f t="shared" si="19"/>
        <v>3485962.5853742929</v>
      </c>
      <c r="AB232" s="2">
        <f t="shared" si="19"/>
        <v>3656898.4127700785</v>
      </c>
      <c r="AC232" s="2">
        <f t="shared" si="19"/>
        <v>3427685.9273066977</v>
      </c>
      <c r="AD232" s="2">
        <f t="shared" si="19"/>
        <v>3253871.3244933011</v>
      </c>
      <c r="AE232" s="2">
        <f t="shared" si="19"/>
        <v>3407584.9481842094</v>
      </c>
      <c r="AF232" s="2">
        <f t="shared" si="19"/>
        <v>3581123.7935296642</v>
      </c>
      <c r="AG232" s="2">
        <f t="shared" si="19"/>
        <v>3749479.9648090904</v>
      </c>
    </row>
    <row r="233" spans="1:33" s="20" customFormat="1" ht="15.75" thickBot="1" x14ac:dyDescent="0.3">
      <c r="A233" s="19" t="s">
        <v>78</v>
      </c>
      <c r="C233" s="20">
        <f>C208*$B226</f>
        <v>15037694.261710526</v>
      </c>
      <c r="D233" s="20">
        <f t="shared" ref="D233:AG233" si="20">D208*$B226</f>
        <v>15037995.915355263</v>
      </c>
      <c r="E233" s="20">
        <f t="shared" si="20"/>
        <v>14959115.137223683</v>
      </c>
      <c r="F233" s="20">
        <f t="shared" si="20"/>
        <v>15221068.833000004</v>
      </c>
      <c r="G233" s="20">
        <f t="shared" si="20"/>
        <v>16191713.507826315</v>
      </c>
      <c r="H233" s="20">
        <f t="shared" si="20"/>
        <v>29002135.551848687</v>
      </c>
      <c r="I233" s="20">
        <f t="shared" si="20"/>
        <v>32409266.094618421</v>
      </c>
      <c r="J233" s="20">
        <f t="shared" si="20"/>
        <v>32074631.000802636</v>
      </c>
      <c r="K233" s="20">
        <f t="shared" si="20"/>
        <v>18983937.103223685</v>
      </c>
      <c r="L233" s="20">
        <f t="shared" si="20"/>
        <v>20117812.136407893</v>
      </c>
      <c r="M233" s="20">
        <f t="shared" si="20"/>
        <v>20146222.211842105</v>
      </c>
      <c r="N233" s="20">
        <f t="shared" si="20"/>
        <v>18975231.384868424</v>
      </c>
      <c r="O233" s="20">
        <f t="shared" si="20"/>
        <v>3823254.7420000006</v>
      </c>
      <c r="P233" s="20">
        <f t="shared" si="20"/>
        <v>13576094.34485</v>
      </c>
      <c r="Q233" s="20">
        <f t="shared" si="20"/>
        <v>21692028.627845716</v>
      </c>
      <c r="R233" s="20">
        <f t="shared" si="20"/>
        <v>91681545.685642853</v>
      </c>
      <c r="S233" s="20">
        <f t="shared" si="20"/>
        <v>80555307.518535718</v>
      </c>
      <c r="T233" s="20">
        <f t="shared" si="20"/>
        <v>149706108.48645502</v>
      </c>
      <c r="U233" s="20">
        <f t="shared" si="20"/>
        <v>369152955.18488359</v>
      </c>
      <c r="V233" s="20">
        <f t="shared" si="20"/>
        <v>299182889.75710523</v>
      </c>
      <c r="W233" s="20">
        <f t="shared" si="20"/>
        <v>174861942.18869361</v>
      </c>
      <c r="X233" s="20">
        <f t="shared" si="20"/>
        <v>298151234.47706079</v>
      </c>
      <c r="Y233" s="20">
        <f t="shared" si="20"/>
        <v>204646519.83056429</v>
      </c>
      <c r="Z233" s="20">
        <f t="shared" si="20"/>
        <v>250952391.61314076</v>
      </c>
      <c r="AA233" s="20">
        <f t="shared" si="20"/>
        <v>226463129.34788474</v>
      </c>
      <c r="AB233" s="20">
        <f t="shared" si="20"/>
        <v>241029961.53018576</v>
      </c>
      <c r="AC233" s="20">
        <f t="shared" si="20"/>
        <v>333303551.77446431</v>
      </c>
      <c r="AD233" s="20">
        <f t="shared" si="20"/>
        <v>216381751.73324111</v>
      </c>
      <c r="AE233" s="20">
        <f t="shared" si="20"/>
        <v>339103611.08353096</v>
      </c>
      <c r="AF233" s="20">
        <f t="shared" si="20"/>
        <v>250986523.82707146</v>
      </c>
      <c r="AG233" s="20">
        <f t="shared" si="20"/>
        <v>281591059.86721426</v>
      </c>
    </row>
    <row r="234" spans="1:33" x14ac:dyDescent="0.25">
      <c r="A234" s="2" t="s">
        <v>96</v>
      </c>
      <c r="B234" s="2">
        <v>0.72413793103448276</v>
      </c>
      <c r="C234" s="8">
        <f t="shared" ref="C234:AG234" si="21">$B$234*C233</f>
        <v>10889364.810204174</v>
      </c>
      <c r="D234" s="2">
        <f t="shared" si="21"/>
        <v>10889583.249050364</v>
      </c>
      <c r="E234" s="2">
        <f t="shared" si="21"/>
        <v>10832462.68557577</v>
      </c>
      <c r="F234" s="2">
        <f t="shared" si="21"/>
        <v>11022153.292862073</v>
      </c>
      <c r="G234" s="2">
        <f t="shared" si="21"/>
        <v>11725033.919460434</v>
      </c>
      <c r="H234" s="2">
        <f t="shared" si="21"/>
        <v>21001546.434097324</v>
      </c>
      <c r="I234" s="2">
        <f t="shared" si="21"/>
        <v>23468778.896102995</v>
      </c>
      <c r="J234" s="2">
        <f t="shared" si="21"/>
        <v>23226456.931615703</v>
      </c>
      <c r="K234" s="2">
        <f t="shared" si="21"/>
        <v>13746988.936817151</v>
      </c>
      <c r="L234" s="2">
        <f t="shared" si="21"/>
        <v>14568070.857398819</v>
      </c>
      <c r="M234" s="2">
        <f t="shared" si="21"/>
        <v>14588643.670644283</v>
      </c>
      <c r="N234" s="2">
        <f t="shared" si="21"/>
        <v>13740684.795939203</v>
      </c>
      <c r="O234" s="2">
        <f t="shared" si="21"/>
        <v>2768563.7786896555</v>
      </c>
      <c r="P234" s="2">
        <f t="shared" si="21"/>
        <v>9830964.8704086207</v>
      </c>
      <c r="Q234" s="2">
        <f t="shared" si="21"/>
        <v>15708020.730508966</v>
      </c>
      <c r="R234" s="2">
        <f t="shared" si="21"/>
        <v>66390084.806844823</v>
      </c>
      <c r="S234" s="2">
        <f t="shared" si="21"/>
        <v>58333153.720318966</v>
      </c>
      <c r="T234" s="2">
        <f t="shared" si="21"/>
        <v>108407871.66260536</v>
      </c>
      <c r="U234" s="2">
        <f t="shared" si="21"/>
        <v>267317657.20284674</v>
      </c>
      <c r="V234" s="2">
        <f t="shared" si="21"/>
        <v>216649678.78962794</v>
      </c>
      <c r="W234" s="2">
        <f t="shared" si="21"/>
        <v>126624165.03319193</v>
      </c>
      <c r="X234" s="2">
        <f t="shared" si="21"/>
        <v>215902618.06959575</v>
      </c>
      <c r="Y234" s="2">
        <f t="shared" si="21"/>
        <v>148192307.46351206</v>
      </c>
      <c r="Z234" s="2">
        <f t="shared" si="21"/>
        <v>181724145.65089503</v>
      </c>
      <c r="AA234" s="2">
        <f t="shared" si="21"/>
        <v>163990541.94157171</v>
      </c>
      <c r="AB234" s="2">
        <f t="shared" si="21"/>
        <v>174538937.65978968</v>
      </c>
      <c r="AC234" s="2">
        <f t="shared" si="21"/>
        <v>241357744.3884052</v>
      </c>
      <c r="AD234" s="2">
        <f t="shared" si="21"/>
        <v>156690234.01372632</v>
      </c>
      <c r="AE234" s="2">
        <f t="shared" si="21"/>
        <v>245557787.33634999</v>
      </c>
      <c r="AF234" s="2">
        <f t="shared" si="21"/>
        <v>181748862.08167243</v>
      </c>
      <c r="AG234" s="2">
        <f t="shared" si="21"/>
        <v>203910767.49005172</v>
      </c>
    </row>
    <row r="235" spans="1:33" ht="15.75" thickBot="1" x14ac:dyDescent="0.3">
      <c r="A235" s="2" t="s">
        <v>139</v>
      </c>
      <c r="B235" s="2">
        <v>0.27586206896551724</v>
      </c>
      <c r="C235" s="2">
        <f t="shared" ref="C235:AG235" si="22">$B$235*C233</f>
        <v>4148329.4515063521</v>
      </c>
      <c r="D235" s="2">
        <f t="shared" si="22"/>
        <v>4148412.6663049003</v>
      </c>
      <c r="E235" s="2">
        <f t="shared" si="22"/>
        <v>4126652.4516479126</v>
      </c>
      <c r="F235" s="2">
        <f t="shared" si="22"/>
        <v>4198915.5401379317</v>
      </c>
      <c r="G235" s="2">
        <f t="shared" si="22"/>
        <v>4466679.5883658798</v>
      </c>
      <c r="H235" s="2">
        <f t="shared" si="22"/>
        <v>8000589.1177513618</v>
      </c>
      <c r="I235" s="2">
        <f t="shared" si="22"/>
        <v>8940487.1985154264</v>
      </c>
      <c r="J235" s="2">
        <f t="shared" si="22"/>
        <v>8848174.0691869333</v>
      </c>
      <c r="K235" s="2">
        <f t="shared" si="22"/>
        <v>5236948.1664065337</v>
      </c>
      <c r="L235" s="2">
        <f t="shared" si="22"/>
        <v>5549741.279009074</v>
      </c>
      <c r="M235" s="2">
        <f t="shared" si="22"/>
        <v>5557578.5411978215</v>
      </c>
      <c r="N235" s="2">
        <f t="shared" si="22"/>
        <v>5234546.5889292201</v>
      </c>
      <c r="O235" s="2">
        <f t="shared" si="22"/>
        <v>1054690.9633103451</v>
      </c>
      <c r="P235" s="2">
        <f t="shared" si="22"/>
        <v>3745129.4744413793</v>
      </c>
      <c r="Q235" s="2">
        <f t="shared" si="22"/>
        <v>5984007.8973367494</v>
      </c>
      <c r="R235" s="2">
        <f t="shared" si="22"/>
        <v>25291460.878798027</v>
      </c>
      <c r="S235" s="2">
        <f t="shared" si="22"/>
        <v>22222153.798216749</v>
      </c>
      <c r="T235" s="2">
        <f t="shared" si="22"/>
        <v>41298236.823849663</v>
      </c>
      <c r="U235" s="2">
        <f t="shared" si="22"/>
        <v>101835297.98203686</v>
      </c>
      <c r="V235" s="2">
        <f t="shared" si="22"/>
        <v>82533210.967477307</v>
      </c>
      <c r="W235" s="2">
        <f t="shared" si="22"/>
        <v>48237777.155501686</v>
      </c>
      <c r="X235" s="2">
        <f t="shared" si="22"/>
        <v>82248616.407465041</v>
      </c>
      <c r="Y235" s="2">
        <f t="shared" si="22"/>
        <v>56454212.36705222</v>
      </c>
      <c r="Z235" s="2">
        <f t="shared" si="22"/>
        <v>69228245.962245733</v>
      </c>
      <c r="AA235" s="2">
        <f t="shared" si="22"/>
        <v>62472587.406313032</v>
      </c>
      <c r="AB235" s="2">
        <f t="shared" si="22"/>
        <v>66491023.87039607</v>
      </c>
      <c r="AC235" s="2">
        <f t="shared" si="22"/>
        <v>91945807.38605912</v>
      </c>
      <c r="AD235" s="2">
        <f t="shared" si="22"/>
        <v>59691517.719514787</v>
      </c>
      <c r="AE235" s="2">
        <f t="shared" si="22"/>
        <v>93545823.747180954</v>
      </c>
      <c r="AF235" s="2">
        <f t="shared" si="22"/>
        <v>69237661.745399028</v>
      </c>
      <c r="AG235" s="2">
        <f t="shared" si="22"/>
        <v>77680292.377162561</v>
      </c>
    </row>
    <row r="236" spans="1:33" s="20" customFormat="1" ht="15.75" thickBot="1" x14ac:dyDescent="0.3">
      <c r="A236" s="19" t="s">
        <v>76</v>
      </c>
      <c r="C236" s="20">
        <f t="shared" ref="C236:AG236" si="23">C209*$B226</f>
        <v>13405991.998691732</v>
      </c>
      <c r="D236" s="20">
        <f t="shared" si="23"/>
        <v>14325243.083849249</v>
      </c>
      <c r="E236" s="20">
        <f t="shared" si="23"/>
        <v>14796272.081276312</v>
      </c>
      <c r="F236" s="20">
        <f t="shared" si="23"/>
        <v>15346614.874053011</v>
      </c>
      <c r="G236" s="20">
        <f t="shared" si="23"/>
        <v>23177809.326140981</v>
      </c>
      <c r="H236" s="20">
        <f t="shared" si="23"/>
        <v>23864836.680286095</v>
      </c>
      <c r="I236" s="20">
        <f t="shared" si="23"/>
        <v>25248452.688875936</v>
      </c>
      <c r="J236" s="20">
        <f t="shared" si="23"/>
        <v>25167480.566644739</v>
      </c>
      <c r="K236" s="20">
        <f t="shared" si="23"/>
        <v>35508949.880201131</v>
      </c>
      <c r="L236" s="20">
        <f t="shared" si="23"/>
        <v>37091798.092687964</v>
      </c>
      <c r="M236" s="20">
        <f t="shared" si="23"/>
        <v>38634070.761956766</v>
      </c>
      <c r="N236" s="20">
        <f t="shared" si="23"/>
        <v>38596668.042201139</v>
      </c>
      <c r="O236" s="20">
        <f t="shared" si="23"/>
        <v>19933904.245921053</v>
      </c>
      <c r="P236" s="20">
        <f t="shared" si="23"/>
        <v>19895077.933278196</v>
      </c>
      <c r="Q236" s="20">
        <f t="shared" si="23"/>
        <v>17853999.247827068</v>
      </c>
      <c r="R236" s="20">
        <f t="shared" si="23"/>
        <v>23791036.18233835</v>
      </c>
      <c r="S236" s="20">
        <f t="shared" si="23"/>
        <v>18663964.920005646</v>
      </c>
      <c r="T236" s="20">
        <f t="shared" si="23"/>
        <v>18272812.983706769</v>
      </c>
      <c r="U236" s="20">
        <f t="shared" si="23"/>
        <v>21540784.068819739</v>
      </c>
      <c r="V236" s="20">
        <f t="shared" si="23"/>
        <v>19613675.108400945</v>
      </c>
      <c r="W236" s="20">
        <f t="shared" si="23"/>
        <v>16825463.6640094</v>
      </c>
      <c r="X236" s="20">
        <f t="shared" si="23"/>
        <v>23446940.378586467</v>
      </c>
      <c r="Y236" s="20">
        <f t="shared" si="23"/>
        <v>23963758.811385334</v>
      </c>
      <c r="Z236" s="20">
        <f t="shared" si="23"/>
        <v>23206882.500469923</v>
      </c>
      <c r="AA236" s="20">
        <f t="shared" si="23"/>
        <v>22741290.487296991</v>
      </c>
      <c r="AB236" s="20">
        <f t="shared" si="23"/>
        <v>21182616.991913538</v>
      </c>
      <c r="AC236" s="20">
        <f t="shared" si="23"/>
        <v>14584874.384171054</v>
      </c>
      <c r="AD236" s="20">
        <f t="shared" si="23"/>
        <v>16785386.659531955</v>
      </c>
      <c r="AE236" s="20">
        <f t="shared" si="23"/>
        <v>8018666.5077575203</v>
      </c>
      <c r="AF236" s="20">
        <f t="shared" si="23"/>
        <v>9646613.8812687956</v>
      </c>
      <c r="AG236" s="20">
        <f t="shared" si="23"/>
        <v>11679892.861385338</v>
      </c>
    </row>
    <row r="237" spans="1:33" x14ac:dyDescent="0.25">
      <c r="A237" s="2" t="s">
        <v>136</v>
      </c>
      <c r="B237" s="2">
        <v>0.2921348314606742</v>
      </c>
      <c r="C237" s="2">
        <f>$B$237*C236</f>
        <v>3916357.2131009563</v>
      </c>
      <c r="D237" s="2">
        <f t="shared" ref="D237:AG237" si="24">$B$237*D236</f>
        <v>4184902.4739334891</v>
      </c>
      <c r="E237" s="2">
        <f t="shared" si="24"/>
        <v>4322506.4507099343</v>
      </c>
      <c r="F237" s="2">
        <f t="shared" si="24"/>
        <v>4483280.7497233525</v>
      </c>
      <c r="G237" s="2">
        <f t="shared" si="24"/>
        <v>6771045.421119838</v>
      </c>
      <c r="H237" s="2">
        <f t="shared" si="24"/>
        <v>6971750.0414318936</v>
      </c>
      <c r="I237" s="2">
        <f t="shared" si="24"/>
        <v>7375952.4709075782</v>
      </c>
      <c r="J237" s="2">
        <f t="shared" si="24"/>
        <v>7352297.6936265547</v>
      </c>
      <c r="K237" s="2">
        <f t="shared" si="24"/>
        <v>10373401.088598086</v>
      </c>
      <c r="L237" s="2">
        <f t="shared" si="24"/>
        <v>10835806.184380755</v>
      </c>
      <c r="M237" s="2">
        <f t="shared" si="24"/>
        <v>11286357.750684001</v>
      </c>
      <c r="N237" s="2">
        <f t="shared" si="24"/>
        <v>11275431.113452019</v>
      </c>
      <c r="O237" s="2">
        <f t="shared" si="24"/>
        <v>5823387.757235365</v>
      </c>
      <c r="P237" s="2">
        <f t="shared" si="24"/>
        <v>5812045.2389352042</v>
      </c>
      <c r="Q237" s="2">
        <f t="shared" si="24"/>
        <v>5215775.0611629644</v>
      </c>
      <c r="R237" s="2">
        <f t="shared" si="24"/>
        <v>6950190.3454022156</v>
      </c>
      <c r="S237" s="2">
        <f t="shared" si="24"/>
        <v>5452394.2462937851</v>
      </c>
      <c r="T237" s="2">
        <f t="shared" si="24"/>
        <v>5338125.1413075961</v>
      </c>
      <c r="U237" s="2">
        <f t="shared" si="24"/>
        <v>6292813.3234754307</v>
      </c>
      <c r="V237" s="2">
        <f t="shared" si="24"/>
        <v>5729837.6721171308</v>
      </c>
      <c r="W237" s="2">
        <f t="shared" si="24"/>
        <v>4915303.9917330835</v>
      </c>
      <c r="X237" s="2">
        <f t="shared" si="24"/>
        <v>6849667.9757668339</v>
      </c>
      <c r="Y237" s="2">
        <f t="shared" si="24"/>
        <v>7000648.6415283009</v>
      </c>
      <c r="Z237" s="2">
        <f t="shared" si="24"/>
        <v>6779538.7080024509</v>
      </c>
      <c r="AA237" s="2">
        <f t="shared" si="24"/>
        <v>6643523.0637047403</v>
      </c>
      <c r="AB237" s="2">
        <f t="shared" si="24"/>
        <v>6188180.2448286749</v>
      </c>
      <c r="AC237" s="2">
        <f t="shared" si="24"/>
        <v>4260749.8200949151</v>
      </c>
      <c r="AD237" s="2">
        <f t="shared" si="24"/>
        <v>4903596.1027846169</v>
      </c>
      <c r="AE237" s="2">
        <f t="shared" si="24"/>
        <v>2342531.7887830962</v>
      </c>
      <c r="AF237" s="2">
        <f t="shared" si="24"/>
        <v>2818111.9203706598</v>
      </c>
      <c r="AG237" s="2">
        <f t="shared" si="24"/>
        <v>3412103.5325395376</v>
      </c>
    </row>
    <row r="238" spans="1:33" ht="15.75" thickBot="1" x14ac:dyDescent="0.3">
      <c r="A238" s="2" t="s">
        <v>137</v>
      </c>
      <c r="B238" s="2">
        <v>0.7078651685393258</v>
      </c>
      <c r="C238" s="2">
        <f>$B$238*C236</f>
        <v>9489634.7855907753</v>
      </c>
      <c r="D238" s="2">
        <f t="shared" ref="D238:AG238" si="25">$B$238*D236</f>
        <v>10140340.609915759</v>
      </c>
      <c r="E238" s="2">
        <f t="shared" si="25"/>
        <v>10473765.630566377</v>
      </c>
      <c r="F238" s="2">
        <f t="shared" si="25"/>
        <v>10863334.124329658</v>
      </c>
      <c r="G238" s="2">
        <f t="shared" si="25"/>
        <v>16406763.905021142</v>
      </c>
      <c r="H238" s="2">
        <f t="shared" si="25"/>
        <v>16893086.638854202</v>
      </c>
      <c r="I238" s="2">
        <f t="shared" si="25"/>
        <v>17872500.21796836</v>
      </c>
      <c r="J238" s="2">
        <f t="shared" si="25"/>
        <v>17815182.873018187</v>
      </c>
      <c r="K238" s="2">
        <f t="shared" si="25"/>
        <v>25135548.791603047</v>
      </c>
      <c r="L238" s="2">
        <f t="shared" si="25"/>
        <v>26255991.90830721</v>
      </c>
      <c r="M238" s="2">
        <f t="shared" si="25"/>
        <v>27347713.011272766</v>
      </c>
      <c r="N238" s="2">
        <f t="shared" si="25"/>
        <v>27321236.928749118</v>
      </c>
      <c r="O238" s="2">
        <f t="shared" si="25"/>
        <v>14110516.488685688</v>
      </c>
      <c r="P238" s="2">
        <f t="shared" si="25"/>
        <v>14083032.694342991</v>
      </c>
      <c r="Q238" s="2">
        <f t="shared" si="25"/>
        <v>12638224.186664103</v>
      </c>
      <c r="R238" s="2">
        <f t="shared" si="25"/>
        <v>16840845.836936135</v>
      </c>
      <c r="S238" s="2">
        <f t="shared" si="25"/>
        <v>13211570.673711861</v>
      </c>
      <c r="T238" s="2">
        <f t="shared" si="25"/>
        <v>12934687.842399172</v>
      </c>
      <c r="U238" s="2">
        <f t="shared" si="25"/>
        <v>15247970.745344309</v>
      </c>
      <c r="V238" s="2">
        <f t="shared" si="25"/>
        <v>13883837.436283814</v>
      </c>
      <c r="W238" s="2">
        <f t="shared" si="25"/>
        <v>11910159.672276316</v>
      </c>
      <c r="X238" s="2">
        <f t="shared" si="25"/>
        <v>16597272.402819633</v>
      </c>
      <c r="Y238" s="2">
        <f t="shared" si="25"/>
        <v>16963110.169857033</v>
      </c>
      <c r="Z238" s="2">
        <f t="shared" si="25"/>
        <v>16427343.792467473</v>
      </c>
      <c r="AA238" s="2">
        <f t="shared" si="25"/>
        <v>16097767.423592251</v>
      </c>
      <c r="AB238" s="2">
        <f t="shared" si="25"/>
        <v>14994436.747084863</v>
      </c>
      <c r="AC238" s="2">
        <f t="shared" si="25"/>
        <v>10324124.564076139</v>
      </c>
      <c r="AD238" s="2">
        <f t="shared" si="25"/>
        <v>11881790.556747338</v>
      </c>
      <c r="AE238" s="2">
        <f t="shared" si="25"/>
        <v>5676134.7189744245</v>
      </c>
      <c r="AF238" s="2">
        <f t="shared" si="25"/>
        <v>6828501.9608981358</v>
      </c>
      <c r="AG238" s="2">
        <f t="shared" si="25"/>
        <v>8267789.3288458008</v>
      </c>
    </row>
    <row r="239" spans="1:33" s="20" customFormat="1" ht="15.75" thickBot="1" x14ac:dyDescent="0.3">
      <c r="A239" s="19" t="s">
        <v>92</v>
      </c>
      <c r="C239" s="21">
        <f>C210</f>
        <v>78159428.70084165</v>
      </c>
      <c r="D239" s="21">
        <f t="shared" ref="D239:AG239" si="26">D210</f>
        <v>79754932.221154869</v>
      </c>
      <c r="E239" s="21">
        <f t="shared" si="26"/>
        <v>82572071.930308357</v>
      </c>
      <c r="F239" s="21">
        <f t="shared" si="26"/>
        <v>85747371.100018784</v>
      </c>
      <c r="G239" s="21">
        <f t="shared" si="26"/>
        <v>88823501.799946755</v>
      </c>
      <c r="H239" s="21">
        <f t="shared" si="26"/>
        <v>90980825.641051829</v>
      </c>
      <c r="I239" s="21">
        <f t="shared" si="26"/>
        <v>93434224.750214219</v>
      </c>
      <c r="J239" s="21">
        <f t="shared" si="26"/>
        <v>98105257.648446709</v>
      </c>
      <c r="K239" s="21">
        <f t="shared" si="26"/>
        <v>101078445.76415768</v>
      </c>
      <c r="L239" s="21">
        <f t="shared" si="26"/>
        <v>104582797.03656946</v>
      </c>
      <c r="M239" s="21">
        <f t="shared" si="26"/>
        <v>105776184.51721099</v>
      </c>
      <c r="N239" s="21">
        <f t="shared" si="26"/>
        <v>135372840.88102099</v>
      </c>
      <c r="O239" s="21">
        <f t="shared" si="26"/>
        <v>148582723.54941028</v>
      </c>
      <c r="P239" s="21">
        <f t="shared" si="26"/>
        <v>164282756.196031</v>
      </c>
      <c r="Q239" s="21">
        <f t="shared" si="26"/>
        <v>173551045.36105618</v>
      </c>
      <c r="R239" s="21">
        <f t="shared" si="26"/>
        <v>177885694.95791954</v>
      </c>
      <c r="S239" s="21">
        <f t="shared" si="26"/>
        <v>149831513.85508409</v>
      </c>
      <c r="T239" s="21">
        <f t="shared" si="26"/>
        <v>186085427.29991889</v>
      </c>
      <c r="U239" s="21">
        <f t="shared" si="26"/>
        <v>164768260.88476095</v>
      </c>
      <c r="V239" s="21">
        <f t="shared" si="26"/>
        <v>42499759.782201052</v>
      </c>
      <c r="W239" s="21">
        <f t="shared" si="26"/>
        <v>10518907.671401918</v>
      </c>
      <c r="X239" s="21">
        <f t="shared" si="26"/>
        <v>7180030.7496517412</v>
      </c>
      <c r="Y239" s="21">
        <f t="shared" si="26"/>
        <v>6811039.7848258708</v>
      </c>
      <c r="Z239" s="21">
        <f t="shared" si="26"/>
        <v>6823077.7507462688</v>
      </c>
      <c r="AA239" s="21">
        <f t="shared" si="26"/>
        <v>6836161.7518905476</v>
      </c>
      <c r="AB239" s="21">
        <f t="shared" si="26"/>
        <v>2892677.8183333329</v>
      </c>
      <c r="AC239" s="21">
        <f t="shared" si="26"/>
        <v>2936861.2</v>
      </c>
      <c r="AD239" s="21">
        <f t="shared" si="26"/>
        <v>2979573.415</v>
      </c>
      <c r="AE239" s="21">
        <f t="shared" si="26"/>
        <v>3019022.6733333329</v>
      </c>
      <c r="AF239" s="21">
        <f t="shared" si="26"/>
        <v>3057248.74</v>
      </c>
      <c r="AG239" s="21">
        <f t="shared" si="26"/>
        <v>3089470.1716666664</v>
      </c>
    </row>
    <row r="240" spans="1:33" x14ac:dyDescent="0.25">
      <c r="A240" s="2" t="s">
        <v>96</v>
      </c>
      <c r="B240" s="2">
        <v>0.74117647058823533</v>
      </c>
      <c r="C240" s="8">
        <f>$B$240*C239</f>
        <v>57929929.507682636</v>
      </c>
      <c r="D240" s="8">
        <f t="shared" ref="D240:AG240" si="27">$B$240*D239</f>
        <v>59112479.17567949</v>
      </c>
      <c r="E240" s="8">
        <f t="shared" si="27"/>
        <v>61200476.842463844</v>
      </c>
      <c r="F240" s="8">
        <f t="shared" si="27"/>
        <v>63553933.874131575</v>
      </c>
      <c r="G240" s="8">
        <f t="shared" si="27"/>
        <v>65833889.569372304</v>
      </c>
      <c r="H240" s="8">
        <f t="shared" si="27"/>
        <v>67432847.239838421</v>
      </c>
      <c r="I240" s="8">
        <f t="shared" si="27"/>
        <v>69251248.932511717</v>
      </c>
      <c r="J240" s="8">
        <f t="shared" si="27"/>
        <v>72713308.610025212</v>
      </c>
      <c r="K240" s="8">
        <f t="shared" si="27"/>
        <v>74916965.684022754</v>
      </c>
      <c r="L240" s="8">
        <f t="shared" si="27"/>
        <v>77514308.391810313</v>
      </c>
      <c r="M240" s="8">
        <f t="shared" si="27"/>
        <v>78398819.112756386</v>
      </c>
      <c r="N240" s="8">
        <f t="shared" si="27"/>
        <v>100335164.41769792</v>
      </c>
      <c r="O240" s="8">
        <f t="shared" si="27"/>
        <v>110126018.63073939</v>
      </c>
      <c r="P240" s="8">
        <f t="shared" si="27"/>
        <v>121762513.41588181</v>
      </c>
      <c r="Q240" s="8">
        <f t="shared" si="27"/>
        <v>128631951.26760635</v>
      </c>
      <c r="R240" s="8">
        <f t="shared" si="27"/>
        <v>131844691.55704625</v>
      </c>
      <c r="S240" s="8">
        <f t="shared" si="27"/>
        <v>111051592.62200351</v>
      </c>
      <c r="T240" s="8">
        <f t="shared" si="27"/>
        <v>137922140.23405755</v>
      </c>
      <c r="U240" s="8">
        <f t="shared" si="27"/>
        <v>122122358.06752871</v>
      </c>
      <c r="V240" s="8">
        <f t="shared" si="27"/>
        <v>31499821.956219606</v>
      </c>
      <c r="W240" s="8">
        <f t="shared" si="27"/>
        <v>7796366.8623331869</v>
      </c>
      <c r="X240" s="8">
        <f t="shared" si="27"/>
        <v>5321669.8497418789</v>
      </c>
      <c r="Y240" s="8">
        <f t="shared" si="27"/>
        <v>5048182.4287532931</v>
      </c>
      <c r="Z240" s="8">
        <f t="shared" si="27"/>
        <v>5057104.6858472349</v>
      </c>
      <c r="AA240" s="8">
        <f t="shared" si="27"/>
        <v>5066802.2396365236</v>
      </c>
      <c r="AB240" s="8">
        <f t="shared" si="27"/>
        <v>2143984.7359411763</v>
      </c>
      <c r="AC240" s="8">
        <f t="shared" si="27"/>
        <v>2176732.4188235295</v>
      </c>
      <c r="AD240" s="8">
        <f t="shared" si="27"/>
        <v>2208389.7075882354</v>
      </c>
      <c r="AE240" s="8">
        <f t="shared" si="27"/>
        <v>2237628.5696470584</v>
      </c>
      <c r="AF240" s="8">
        <f t="shared" si="27"/>
        <v>2265960.8308235295</v>
      </c>
      <c r="AG240" s="8">
        <f t="shared" si="27"/>
        <v>2289842.5978235295</v>
      </c>
    </row>
    <row r="241" spans="1:33" x14ac:dyDescent="0.25">
      <c r="A241" s="2" t="s">
        <v>138</v>
      </c>
      <c r="B241" s="2">
        <v>0.1647058823529412</v>
      </c>
      <c r="C241" s="8">
        <f>$B$241*C239</f>
        <v>12873317.66837392</v>
      </c>
      <c r="D241" s="8">
        <f t="shared" ref="D241:AG241" si="28">$B$241*D239</f>
        <v>13136106.483484333</v>
      </c>
      <c r="E241" s="8">
        <f t="shared" si="28"/>
        <v>13600105.964991966</v>
      </c>
      <c r="F241" s="8">
        <f t="shared" si="28"/>
        <v>14123096.416473685</v>
      </c>
      <c r="G241" s="8">
        <f t="shared" si="28"/>
        <v>14629753.237638291</v>
      </c>
      <c r="H241" s="8">
        <f t="shared" si="28"/>
        <v>14985077.164408538</v>
      </c>
      <c r="I241" s="8">
        <f t="shared" si="28"/>
        <v>15389166.429447051</v>
      </c>
      <c r="J241" s="8">
        <f t="shared" si="28"/>
        <v>16158513.024450049</v>
      </c>
      <c r="K241" s="8">
        <f t="shared" si="28"/>
        <v>16648214.596449504</v>
      </c>
      <c r="L241" s="8">
        <f t="shared" si="28"/>
        <v>17225401.864846736</v>
      </c>
      <c r="M241" s="8">
        <f t="shared" si="28"/>
        <v>17421959.802834753</v>
      </c>
      <c r="N241" s="8">
        <f t="shared" si="28"/>
        <v>22296703.203932874</v>
      </c>
      <c r="O241" s="8">
        <f t="shared" si="28"/>
        <v>24472448.584608756</v>
      </c>
      <c r="P241" s="8">
        <f t="shared" si="28"/>
        <v>27058336.314640407</v>
      </c>
      <c r="Q241" s="8">
        <f t="shared" si="28"/>
        <v>28584878.059468079</v>
      </c>
      <c r="R241" s="8">
        <f t="shared" si="28"/>
        <v>29298820.346010283</v>
      </c>
      <c r="S241" s="8">
        <f t="shared" si="28"/>
        <v>24678131.69377856</v>
      </c>
      <c r="T241" s="8">
        <f t="shared" si="28"/>
        <v>30649364.496457234</v>
      </c>
      <c r="U241" s="8">
        <f t="shared" si="28"/>
        <v>27138301.792784162</v>
      </c>
      <c r="V241" s="8">
        <f t="shared" si="28"/>
        <v>6999960.4347154684</v>
      </c>
      <c r="W241" s="8">
        <f t="shared" si="28"/>
        <v>1732525.969407375</v>
      </c>
      <c r="X241" s="8">
        <f t="shared" si="28"/>
        <v>1182593.2999426399</v>
      </c>
      <c r="Y241" s="8">
        <f t="shared" si="28"/>
        <v>1121818.3175007319</v>
      </c>
      <c r="Z241" s="8">
        <f t="shared" si="28"/>
        <v>1123801.0412993857</v>
      </c>
      <c r="AA241" s="8">
        <f t="shared" si="28"/>
        <v>1125956.053252561</v>
      </c>
      <c r="AB241" s="8">
        <f t="shared" si="28"/>
        <v>476441.05243137258</v>
      </c>
      <c r="AC241" s="8">
        <f t="shared" si="28"/>
        <v>483718.31529411772</v>
      </c>
      <c r="AD241" s="8">
        <f t="shared" si="28"/>
        <v>490753.26835294126</v>
      </c>
      <c r="AE241" s="8">
        <f t="shared" si="28"/>
        <v>497250.79325490195</v>
      </c>
      <c r="AF241" s="8">
        <f t="shared" si="28"/>
        <v>503546.85129411775</v>
      </c>
      <c r="AG241" s="8">
        <f t="shared" si="28"/>
        <v>508853.91062745103</v>
      </c>
    </row>
    <row r="242" spans="1:33" ht="15.75" thickBot="1" x14ac:dyDescent="0.3">
      <c r="A242" s="2" t="s">
        <v>102</v>
      </c>
      <c r="B242" s="2">
        <v>9.4117647058823528E-2</v>
      </c>
      <c r="C242" s="8">
        <f>$B$242*C239</f>
        <v>7356181.5247850968</v>
      </c>
      <c r="D242" s="8">
        <f t="shared" ref="D242:AG242" si="29">$B$242*D239</f>
        <v>7506346.5619910462</v>
      </c>
      <c r="E242" s="8">
        <f t="shared" si="29"/>
        <v>7771489.1228525508</v>
      </c>
      <c r="F242" s="8">
        <f t="shared" si="29"/>
        <v>8070340.8094135327</v>
      </c>
      <c r="G242" s="8">
        <f t="shared" si="29"/>
        <v>8359858.9929361651</v>
      </c>
      <c r="H242" s="8">
        <f t="shared" si="29"/>
        <v>8562901.2368048783</v>
      </c>
      <c r="I242" s="8">
        <f t="shared" si="29"/>
        <v>8793809.3882554565</v>
      </c>
      <c r="J242" s="8">
        <f t="shared" si="29"/>
        <v>9233436.0139714554</v>
      </c>
      <c r="K242" s="8">
        <f t="shared" si="29"/>
        <v>9513265.4836854283</v>
      </c>
      <c r="L242" s="8">
        <f t="shared" si="29"/>
        <v>9843086.7799124196</v>
      </c>
      <c r="M242" s="8">
        <f t="shared" si="29"/>
        <v>9955405.6016198583</v>
      </c>
      <c r="N242" s="8">
        <f t="shared" si="29"/>
        <v>12740973.259390211</v>
      </c>
      <c r="O242" s="8">
        <f t="shared" si="29"/>
        <v>13984256.334062144</v>
      </c>
      <c r="P242" s="8">
        <f t="shared" si="29"/>
        <v>15461906.4655088</v>
      </c>
      <c r="Q242" s="8">
        <f t="shared" si="29"/>
        <v>16334216.033981757</v>
      </c>
      <c r="R242" s="8">
        <f t="shared" si="29"/>
        <v>16742183.054863015</v>
      </c>
      <c r="S242" s="8">
        <f t="shared" si="29"/>
        <v>14101789.539302032</v>
      </c>
      <c r="T242" s="8">
        <f t="shared" si="29"/>
        <v>17513922.569404129</v>
      </c>
      <c r="U242" s="8">
        <f t="shared" si="29"/>
        <v>15507601.024448089</v>
      </c>
      <c r="V242" s="8">
        <f t="shared" si="29"/>
        <v>3999977.3912659814</v>
      </c>
      <c r="W242" s="8">
        <f t="shared" si="29"/>
        <v>990014.83966135699</v>
      </c>
      <c r="X242" s="8">
        <f t="shared" si="29"/>
        <v>675767.59996722266</v>
      </c>
      <c r="Y242" s="8">
        <f t="shared" si="29"/>
        <v>641039.03857184667</v>
      </c>
      <c r="Z242" s="8">
        <f t="shared" si="29"/>
        <v>642172.02359964885</v>
      </c>
      <c r="AA242" s="8">
        <f t="shared" si="29"/>
        <v>643403.45900146326</v>
      </c>
      <c r="AB242" s="8">
        <f t="shared" si="29"/>
        <v>272252.02996078425</v>
      </c>
      <c r="AC242" s="8">
        <f t="shared" si="29"/>
        <v>276410.46588235296</v>
      </c>
      <c r="AD242" s="8">
        <f t="shared" si="29"/>
        <v>280430.43905882351</v>
      </c>
      <c r="AE242" s="8">
        <f t="shared" si="29"/>
        <v>284143.31043137249</v>
      </c>
      <c r="AF242" s="8">
        <f t="shared" si="29"/>
        <v>287741.05788235296</v>
      </c>
      <c r="AG242" s="8">
        <f t="shared" si="29"/>
        <v>290773.66321568622</v>
      </c>
    </row>
    <row r="243" spans="1:33" s="20" customFormat="1" ht="15.75" thickBot="1" x14ac:dyDescent="0.3">
      <c r="A243" s="19" t="s">
        <v>87</v>
      </c>
      <c r="C243" s="21">
        <f>C211</f>
        <v>50764265.476614729</v>
      </c>
      <c r="D243" s="21">
        <f t="shared" ref="D243:AG243" si="30">D211</f>
        <v>50774337.539247289</v>
      </c>
      <c r="E243" s="21">
        <f t="shared" si="30"/>
        <v>50335231.889878154</v>
      </c>
      <c r="F243" s="21">
        <f t="shared" si="30"/>
        <v>52856121.30412057</v>
      </c>
      <c r="G243" s="21">
        <f t="shared" si="30"/>
        <v>69969918.250373557</v>
      </c>
      <c r="H243" s="21">
        <f t="shared" si="30"/>
        <v>68257614.967450723</v>
      </c>
      <c r="I243" s="21">
        <f t="shared" si="30"/>
        <v>54723842.706776053</v>
      </c>
      <c r="J243" s="21">
        <f t="shared" si="30"/>
        <v>53185019.472065121</v>
      </c>
      <c r="K243" s="21">
        <f t="shared" si="30"/>
        <v>38358186.250233114</v>
      </c>
      <c r="L243" s="21">
        <f t="shared" si="30"/>
        <v>36289140.125531644</v>
      </c>
      <c r="M243" s="21">
        <f t="shared" si="30"/>
        <v>31847542.07414145</v>
      </c>
      <c r="N243" s="21">
        <f t="shared" si="30"/>
        <v>29878049.329418853</v>
      </c>
      <c r="O243" s="21">
        <f t="shared" si="30"/>
        <v>27224650.822669961</v>
      </c>
      <c r="P243" s="21">
        <f t="shared" si="30"/>
        <v>28389437.100745611</v>
      </c>
      <c r="Q243" s="21">
        <f t="shared" si="30"/>
        <v>29041953.411824565</v>
      </c>
      <c r="R243" s="21">
        <f t="shared" si="30"/>
        <v>34928665.468587726</v>
      </c>
      <c r="S243" s="21">
        <f t="shared" si="30"/>
        <v>74784905.956905723</v>
      </c>
      <c r="T243" s="21">
        <f t="shared" si="30"/>
        <v>94070115.624735251</v>
      </c>
      <c r="U243" s="21">
        <f t="shared" si="30"/>
        <v>129988736.12009519</v>
      </c>
      <c r="V243" s="21">
        <f t="shared" si="30"/>
        <v>244473057.03895932</v>
      </c>
      <c r="W243" s="21">
        <f t="shared" si="30"/>
        <v>268834027.91079444</v>
      </c>
      <c r="X243" s="21">
        <f t="shared" si="30"/>
        <v>243482508.59073868</v>
      </c>
      <c r="Y243" s="21">
        <f t="shared" si="30"/>
        <v>265683552.45220169</v>
      </c>
      <c r="Z243" s="21">
        <f t="shared" si="30"/>
        <v>267449255.31556958</v>
      </c>
      <c r="AA243" s="21">
        <f t="shared" si="30"/>
        <v>252260511.73202878</v>
      </c>
      <c r="AB243" s="21">
        <f t="shared" si="30"/>
        <v>254784837.78433856</v>
      </c>
      <c r="AC243" s="21">
        <f t="shared" si="30"/>
        <v>252649060.60826117</v>
      </c>
      <c r="AD243" s="21">
        <f t="shared" si="30"/>
        <v>255763567.71337724</v>
      </c>
      <c r="AE243" s="21">
        <f t="shared" si="30"/>
        <v>253520237.87101316</v>
      </c>
      <c r="AF243" s="21">
        <f t="shared" si="30"/>
        <v>257067992.06900519</v>
      </c>
      <c r="AG243" s="21">
        <f t="shared" si="30"/>
        <v>259612793.86153063</v>
      </c>
    </row>
    <row r="244" spans="1:33" x14ac:dyDescent="0.25">
      <c r="A244" s="2" t="s">
        <v>96</v>
      </c>
      <c r="B244" s="2">
        <v>0.74117647058823533</v>
      </c>
      <c r="C244" s="8">
        <f>$B$244*C243</f>
        <v>37625279.117961504</v>
      </c>
      <c r="D244" s="8">
        <f t="shared" ref="D244:AG244" si="31">$B$244*D243</f>
        <v>37632744.293795049</v>
      </c>
      <c r="E244" s="8">
        <f t="shared" si="31"/>
        <v>37307289.518380277</v>
      </c>
      <c r="F244" s="8">
        <f t="shared" si="31"/>
        <v>39175713.43717172</v>
      </c>
      <c r="G244" s="8">
        <f t="shared" si="31"/>
        <v>51860057.056159228</v>
      </c>
      <c r="H244" s="8">
        <f t="shared" si="31"/>
        <v>50590938.152345829</v>
      </c>
      <c r="I244" s="8">
        <f t="shared" si="31"/>
        <v>40560024.594434015</v>
      </c>
      <c r="J244" s="8">
        <f t="shared" si="31"/>
        <v>39419485.020471796</v>
      </c>
      <c r="K244" s="8">
        <f t="shared" si="31"/>
        <v>28430185.103113957</v>
      </c>
      <c r="L244" s="8">
        <f t="shared" si="31"/>
        <v>26896656.798923455</v>
      </c>
      <c r="M244" s="8">
        <f t="shared" si="31"/>
        <v>23604648.831422489</v>
      </c>
      <c r="N244" s="8">
        <f t="shared" si="31"/>
        <v>22144907.150039855</v>
      </c>
      <c r="O244" s="8">
        <f t="shared" si="31"/>
        <v>20178270.609743617</v>
      </c>
      <c r="P244" s="8">
        <f t="shared" si="31"/>
        <v>21041582.792317335</v>
      </c>
      <c r="Q244" s="8">
        <f t="shared" si="31"/>
        <v>21525212.528764091</v>
      </c>
      <c r="R244" s="8">
        <f t="shared" si="31"/>
        <v>25888304.994365022</v>
      </c>
      <c r="S244" s="8">
        <f t="shared" si="31"/>
        <v>55428812.650412478</v>
      </c>
      <c r="T244" s="8">
        <f t="shared" si="31"/>
        <v>69722556.286568478</v>
      </c>
      <c r="U244" s="8">
        <f t="shared" si="31"/>
        <v>96344592.653717622</v>
      </c>
      <c r="V244" s="8">
        <f t="shared" si="31"/>
        <v>181197677.57005221</v>
      </c>
      <c r="W244" s="8">
        <f t="shared" si="31"/>
        <v>199253455.98094177</v>
      </c>
      <c r="X244" s="8">
        <f t="shared" si="31"/>
        <v>180463506.36725339</v>
      </c>
      <c r="Y244" s="8">
        <f t="shared" si="31"/>
        <v>196918397.69986716</v>
      </c>
      <c r="Z244" s="8">
        <f t="shared" si="31"/>
        <v>198227095.11624569</v>
      </c>
      <c r="AA244" s="8">
        <f t="shared" si="31"/>
        <v>186969555.75432724</v>
      </c>
      <c r="AB244" s="8">
        <f t="shared" si="31"/>
        <v>188840526.82839212</v>
      </c>
      <c r="AC244" s="8">
        <f t="shared" si="31"/>
        <v>187257539.03906417</v>
      </c>
      <c r="AD244" s="8">
        <f t="shared" si="31"/>
        <v>189565938.42285609</v>
      </c>
      <c r="AE244" s="8">
        <f t="shared" si="31"/>
        <v>187903235.12792742</v>
      </c>
      <c r="AF244" s="8">
        <f t="shared" si="31"/>
        <v>190532747.06290975</v>
      </c>
      <c r="AG244" s="8">
        <f t="shared" si="31"/>
        <v>192418894.27384037</v>
      </c>
    </row>
    <row r="245" spans="1:33" x14ac:dyDescent="0.25">
      <c r="A245" s="2" t="s">
        <v>138</v>
      </c>
      <c r="B245" s="2">
        <v>0.1647058823529412</v>
      </c>
      <c r="C245" s="8">
        <f>$B$245*C243</f>
        <v>8361173.1373247802</v>
      </c>
      <c r="D245" s="8">
        <f t="shared" ref="D245:AG245" si="32">$B$245*D243</f>
        <v>8362832.0652877903</v>
      </c>
      <c r="E245" s="8">
        <f t="shared" si="32"/>
        <v>8290508.781862285</v>
      </c>
      <c r="F245" s="8">
        <f t="shared" si="32"/>
        <v>8705714.0971492715</v>
      </c>
      <c r="G245" s="8">
        <f t="shared" si="32"/>
        <v>11524457.123590941</v>
      </c>
      <c r="H245" s="8">
        <f t="shared" si="32"/>
        <v>11242430.700521298</v>
      </c>
      <c r="I245" s="8">
        <f t="shared" si="32"/>
        <v>9013338.7987631168</v>
      </c>
      <c r="J245" s="8">
        <f t="shared" si="32"/>
        <v>8759885.5601048451</v>
      </c>
      <c r="K245" s="8">
        <f t="shared" si="32"/>
        <v>6317818.9118031021</v>
      </c>
      <c r="L245" s="8">
        <f t="shared" si="32"/>
        <v>5977034.8442052128</v>
      </c>
      <c r="M245" s="8">
        <f t="shared" si="32"/>
        <v>5245477.5180938868</v>
      </c>
      <c r="N245" s="8">
        <f t="shared" si="32"/>
        <v>4921090.477786635</v>
      </c>
      <c r="O245" s="8">
        <f t="shared" si="32"/>
        <v>4484060.1354985824</v>
      </c>
      <c r="P245" s="8">
        <f t="shared" si="32"/>
        <v>4675907.2871816307</v>
      </c>
      <c r="Q245" s="8">
        <f t="shared" si="32"/>
        <v>4783380.5619475758</v>
      </c>
      <c r="R245" s="8">
        <f t="shared" si="32"/>
        <v>5752956.6654144498</v>
      </c>
      <c r="S245" s="8">
        <f t="shared" si="32"/>
        <v>12317513.922313886</v>
      </c>
      <c r="T245" s="8">
        <f t="shared" si="32"/>
        <v>15493901.39701522</v>
      </c>
      <c r="U245" s="8">
        <f t="shared" si="32"/>
        <v>21409909.478603918</v>
      </c>
      <c r="V245" s="8">
        <f t="shared" si="32"/>
        <v>40266150.571122721</v>
      </c>
      <c r="W245" s="8">
        <f t="shared" si="32"/>
        <v>44278545.77354262</v>
      </c>
      <c r="X245" s="8">
        <f t="shared" si="32"/>
        <v>40103001.4149452</v>
      </c>
      <c r="Y245" s="8">
        <f t="shared" si="32"/>
        <v>43759643.933303818</v>
      </c>
      <c r="Z245" s="8">
        <f t="shared" si="32"/>
        <v>44050465.581387937</v>
      </c>
      <c r="AA245" s="8">
        <f t="shared" si="32"/>
        <v>41548790.167628273</v>
      </c>
      <c r="AB245" s="8">
        <f t="shared" si="32"/>
        <v>41964561.517420478</v>
      </c>
      <c r="AC245" s="8">
        <f t="shared" si="32"/>
        <v>41612786.453125373</v>
      </c>
      <c r="AD245" s="8">
        <f t="shared" si="32"/>
        <v>42125764.093968019</v>
      </c>
      <c r="AE245" s="8">
        <f t="shared" si="32"/>
        <v>41756274.472872764</v>
      </c>
      <c r="AF245" s="8">
        <f t="shared" si="32"/>
        <v>42340610.458424389</v>
      </c>
      <c r="AG245" s="8">
        <f t="shared" si="32"/>
        <v>42759754.283075638</v>
      </c>
    </row>
    <row r="246" spans="1:33" ht="15.75" thickBot="1" x14ac:dyDescent="0.3">
      <c r="A246" s="2" t="s">
        <v>102</v>
      </c>
      <c r="B246" s="2">
        <v>9.4117647058823528E-2</v>
      </c>
      <c r="C246" s="8">
        <f>$B$246*C243</f>
        <v>4777813.2213284448</v>
      </c>
      <c r="D246" s="8">
        <f t="shared" ref="D246:AG246" si="33">$B$246*D243</f>
        <v>4778761.1801644508</v>
      </c>
      <c r="E246" s="8">
        <f t="shared" si="33"/>
        <v>4737433.589635591</v>
      </c>
      <c r="F246" s="8">
        <f t="shared" si="33"/>
        <v>4974693.7697995827</v>
      </c>
      <c r="G246" s="8">
        <f t="shared" si="33"/>
        <v>6585404.0706233932</v>
      </c>
      <c r="H246" s="8">
        <f t="shared" si="33"/>
        <v>6424246.1145835975</v>
      </c>
      <c r="I246" s="8">
        <f t="shared" si="33"/>
        <v>5150479.3135789223</v>
      </c>
      <c r="J246" s="8">
        <f t="shared" si="33"/>
        <v>5005648.8914884822</v>
      </c>
      <c r="K246" s="8">
        <f t="shared" si="33"/>
        <v>3610182.2353160577</v>
      </c>
      <c r="L246" s="8">
        <f t="shared" si="33"/>
        <v>3415448.482402978</v>
      </c>
      <c r="M246" s="8">
        <f t="shared" si="33"/>
        <v>2997415.7246250776</v>
      </c>
      <c r="N246" s="8">
        <f t="shared" si="33"/>
        <v>2812051.7015923625</v>
      </c>
      <c r="O246" s="8">
        <f t="shared" si="33"/>
        <v>2562320.0774277612</v>
      </c>
      <c r="P246" s="8">
        <f t="shared" si="33"/>
        <v>2671947.0212466456</v>
      </c>
      <c r="Q246" s="8">
        <f t="shared" si="33"/>
        <v>2733360.3211129</v>
      </c>
      <c r="R246" s="8">
        <f t="shared" si="33"/>
        <v>3287403.8088082564</v>
      </c>
      <c r="S246" s="8">
        <f t="shared" si="33"/>
        <v>7038579.3841793621</v>
      </c>
      <c r="T246" s="8">
        <f t="shared" si="33"/>
        <v>8853657.9411515538</v>
      </c>
      <c r="U246" s="8">
        <f t="shared" si="33"/>
        <v>12234233.987773664</v>
      </c>
      <c r="V246" s="8">
        <f t="shared" si="33"/>
        <v>23009228.897784408</v>
      </c>
      <c r="W246" s="8">
        <f t="shared" si="33"/>
        <v>25302026.156310063</v>
      </c>
      <c r="X246" s="8">
        <f t="shared" si="33"/>
        <v>22916000.80854011</v>
      </c>
      <c r="Y246" s="8">
        <f t="shared" si="33"/>
        <v>25005510.819030747</v>
      </c>
      <c r="Z246" s="8">
        <f t="shared" si="33"/>
        <v>25171694.617935959</v>
      </c>
      <c r="AA246" s="8">
        <f t="shared" si="33"/>
        <v>23742165.810073297</v>
      </c>
      <c r="AB246" s="8">
        <f t="shared" si="33"/>
        <v>23979749.438525982</v>
      </c>
      <c r="AC246" s="8">
        <f t="shared" si="33"/>
        <v>23778735.116071638</v>
      </c>
      <c r="AD246" s="8">
        <f t="shared" si="33"/>
        <v>24071865.196553152</v>
      </c>
      <c r="AE246" s="8">
        <f t="shared" si="33"/>
        <v>23860728.270213004</v>
      </c>
      <c r="AF246" s="8">
        <f t="shared" si="33"/>
        <v>24194634.547671076</v>
      </c>
      <c r="AG246" s="8">
        <f t="shared" si="33"/>
        <v>24434145.304614648</v>
      </c>
    </row>
    <row r="247" spans="1:33" s="20" customFormat="1" ht="15.75" thickBot="1" x14ac:dyDescent="0.3">
      <c r="A247" s="19" t="s">
        <v>128</v>
      </c>
      <c r="C247" s="20">
        <f t="shared" ref="C247:AG247" si="34">$B225*C212</f>
        <v>23016345.02235572</v>
      </c>
      <c r="D247" s="20">
        <f t="shared" si="34"/>
        <v>22585963.239165686</v>
      </c>
      <c r="E247" s="20">
        <f t="shared" si="34"/>
        <v>22122731.982950319</v>
      </c>
      <c r="F247" s="20">
        <f t="shared" si="34"/>
        <v>21331937.092768393</v>
      </c>
      <c r="G247" s="20">
        <f t="shared" si="34"/>
        <v>20960173.434599504</v>
      </c>
      <c r="H247" s="20">
        <f t="shared" si="34"/>
        <v>20563309.493522257</v>
      </c>
      <c r="I247" s="20">
        <f t="shared" si="34"/>
        <v>22336228.052101273</v>
      </c>
      <c r="J247" s="20">
        <f t="shared" si="34"/>
        <v>21907844.0673116</v>
      </c>
      <c r="K247" s="20">
        <f t="shared" si="34"/>
        <v>21931751.465510674</v>
      </c>
      <c r="L247" s="20">
        <f t="shared" si="34"/>
        <v>21807943.872771926</v>
      </c>
      <c r="M247" s="20">
        <f t="shared" si="34"/>
        <v>21070828.734517541</v>
      </c>
      <c r="N247" s="20">
        <f t="shared" si="34"/>
        <v>21258930.92776316</v>
      </c>
      <c r="O247" s="20">
        <f t="shared" si="34"/>
        <v>2151717.1985833338</v>
      </c>
      <c r="P247" s="20">
        <f t="shared" si="34"/>
        <v>2055746.1026666667</v>
      </c>
      <c r="Q247" s="20">
        <f t="shared" si="34"/>
        <v>2090957.487666667</v>
      </c>
      <c r="R247" s="20">
        <f t="shared" si="34"/>
        <v>2076008.7929166669</v>
      </c>
      <c r="S247" s="20">
        <f t="shared" si="34"/>
        <v>1962935.2077500003</v>
      </c>
      <c r="T247" s="20">
        <f t="shared" si="34"/>
        <v>2420563.8957500001</v>
      </c>
      <c r="U247" s="20">
        <f t="shared" si="34"/>
        <v>2439458.1621666667</v>
      </c>
      <c r="V247" s="20">
        <f t="shared" si="34"/>
        <v>2395566.3095833338</v>
      </c>
      <c r="W247" s="20">
        <f t="shared" si="34"/>
        <v>5569093.2494999999</v>
      </c>
      <c r="X247" s="20">
        <f t="shared" si="34"/>
        <v>7045392.1558552645</v>
      </c>
      <c r="Y247" s="20">
        <f t="shared" si="34"/>
        <v>7086573.4450307023</v>
      </c>
      <c r="Z247" s="20">
        <f t="shared" si="34"/>
        <v>7195724.6102500008</v>
      </c>
      <c r="AA247" s="20">
        <f t="shared" si="34"/>
        <v>6885289.9389517549</v>
      </c>
      <c r="AB247" s="20">
        <f t="shared" si="34"/>
        <v>6974115.3475921061</v>
      </c>
      <c r="AC247" s="20">
        <f t="shared" si="34"/>
        <v>7060217.5141184218</v>
      </c>
      <c r="AD247" s="20">
        <f t="shared" si="34"/>
        <v>6692018.1383289481</v>
      </c>
      <c r="AE247" s="20">
        <f t="shared" si="34"/>
        <v>6737449.4233508771</v>
      </c>
      <c r="AF247" s="20">
        <f t="shared" si="34"/>
        <v>6794867.1551798247</v>
      </c>
      <c r="AG247" s="20">
        <f t="shared" si="34"/>
        <v>6857607.4892368419</v>
      </c>
    </row>
    <row r="248" spans="1:33" x14ac:dyDescent="0.25">
      <c r="A248" s="2" t="s">
        <v>96</v>
      </c>
      <c r="B248" s="2">
        <v>0.74117647058823533</v>
      </c>
      <c r="C248" s="8">
        <f>$B$248*C247</f>
        <v>17059173.36951071</v>
      </c>
      <c r="D248" s="8">
        <f t="shared" ref="D248:AG248" si="35">$B$248*D247</f>
        <v>16740184.51844045</v>
      </c>
      <c r="E248" s="8">
        <f t="shared" si="35"/>
        <v>16396848.410892589</v>
      </c>
      <c r="F248" s="8">
        <f t="shared" si="35"/>
        <v>15810729.845228339</v>
      </c>
      <c r="G248" s="8">
        <f t="shared" si="35"/>
        <v>15535187.36917375</v>
      </c>
      <c r="H248" s="8">
        <f t="shared" si="35"/>
        <v>15241041.154022379</v>
      </c>
      <c r="I248" s="8">
        <f t="shared" si="35"/>
        <v>16555086.673910355</v>
      </c>
      <c r="J248" s="8">
        <f t="shared" si="35"/>
        <v>16237578.544007422</v>
      </c>
      <c r="K248" s="8">
        <f t="shared" si="35"/>
        <v>16255298.145025559</v>
      </c>
      <c r="L248" s="8">
        <f t="shared" si="35"/>
        <v>16163534.870407429</v>
      </c>
      <c r="M248" s="8">
        <f t="shared" si="35"/>
        <v>15617202.473818883</v>
      </c>
      <c r="N248" s="8">
        <f t="shared" si="35"/>
        <v>15756619.393518578</v>
      </c>
      <c r="O248" s="8">
        <f t="shared" si="35"/>
        <v>1594802.1589500003</v>
      </c>
      <c r="P248" s="8">
        <f t="shared" si="35"/>
        <v>1523670.6408000002</v>
      </c>
      <c r="Q248" s="8">
        <f t="shared" si="35"/>
        <v>1549768.4908588238</v>
      </c>
      <c r="R248" s="8">
        <f t="shared" si="35"/>
        <v>1538688.870044118</v>
      </c>
      <c r="S248" s="8">
        <f t="shared" si="35"/>
        <v>1454881.3892735296</v>
      </c>
      <c r="T248" s="8">
        <f t="shared" si="35"/>
        <v>1794065.0050852944</v>
      </c>
      <c r="U248" s="8">
        <f t="shared" si="35"/>
        <v>1808068.9907823531</v>
      </c>
      <c r="V248" s="8">
        <f t="shared" si="35"/>
        <v>1775537.3823970591</v>
      </c>
      <c r="W248" s="8">
        <f t="shared" si="35"/>
        <v>4127680.8790411768</v>
      </c>
      <c r="X248" s="8">
        <f t="shared" si="35"/>
        <v>5221878.8919868432</v>
      </c>
      <c r="Y248" s="8">
        <f t="shared" si="35"/>
        <v>5252401.4945521681</v>
      </c>
      <c r="Z248" s="8">
        <f t="shared" si="35"/>
        <v>5333301.7699500006</v>
      </c>
      <c r="AA248" s="8">
        <f t="shared" si="35"/>
        <v>5103214.8959289482</v>
      </c>
      <c r="AB248" s="8">
        <f t="shared" si="35"/>
        <v>5169050.1988035608</v>
      </c>
      <c r="AC248" s="8">
        <f t="shared" si="35"/>
        <v>5232867.0986995362</v>
      </c>
      <c r="AD248" s="8">
        <f t="shared" si="35"/>
        <v>4959966.3848791029</v>
      </c>
      <c r="AE248" s="8">
        <f t="shared" si="35"/>
        <v>4993638.9843659448</v>
      </c>
      <c r="AF248" s="8">
        <f t="shared" si="35"/>
        <v>5036195.6561921053</v>
      </c>
      <c r="AG248" s="8">
        <f t="shared" si="35"/>
        <v>5082697.3155520121</v>
      </c>
    </row>
    <row r="249" spans="1:33" x14ac:dyDescent="0.25">
      <c r="A249" s="2" t="s">
        <v>138</v>
      </c>
      <c r="B249" s="2">
        <v>0.1647058823529412</v>
      </c>
      <c r="C249" s="8">
        <f>$B$249*C247</f>
        <v>3790927.4154468253</v>
      </c>
      <c r="D249" s="8">
        <f t="shared" ref="D249:AG249" si="36">$B$249*D247</f>
        <v>3720041.0040978785</v>
      </c>
      <c r="E249" s="8">
        <f t="shared" si="36"/>
        <v>3643744.091309465</v>
      </c>
      <c r="F249" s="8">
        <f t="shared" si="36"/>
        <v>3513495.5211618538</v>
      </c>
      <c r="G249" s="8">
        <f t="shared" si="36"/>
        <v>3452263.8598163896</v>
      </c>
      <c r="H249" s="8">
        <f t="shared" si="36"/>
        <v>3386898.0342271957</v>
      </c>
      <c r="I249" s="8">
        <f t="shared" si="36"/>
        <v>3678908.1497578574</v>
      </c>
      <c r="J249" s="8">
        <f t="shared" si="36"/>
        <v>3608350.7875572052</v>
      </c>
      <c r="K249" s="8">
        <f t="shared" si="36"/>
        <v>3612288.4766723467</v>
      </c>
      <c r="L249" s="8">
        <f t="shared" si="36"/>
        <v>3591896.6378683178</v>
      </c>
      <c r="M249" s="8">
        <f t="shared" si="36"/>
        <v>3470489.4386264188</v>
      </c>
      <c r="N249" s="8">
        <f t="shared" si="36"/>
        <v>3501470.9763374622</v>
      </c>
      <c r="O249" s="8">
        <f t="shared" si="36"/>
        <v>354400.47976666677</v>
      </c>
      <c r="P249" s="8">
        <f t="shared" si="36"/>
        <v>338593.47573333338</v>
      </c>
      <c r="Q249" s="8">
        <f t="shared" si="36"/>
        <v>344392.99796862755</v>
      </c>
      <c r="R249" s="8">
        <f t="shared" si="36"/>
        <v>341930.86000980402</v>
      </c>
      <c r="S249" s="8">
        <f t="shared" si="36"/>
        <v>323306.97539411776</v>
      </c>
      <c r="T249" s="8">
        <f t="shared" si="36"/>
        <v>398681.11224117654</v>
      </c>
      <c r="U249" s="8">
        <f t="shared" si="36"/>
        <v>401793.10906274518</v>
      </c>
      <c r="V249" s="8">
        <f t="shared" si="36"/>
        <v>394563.8627549021</v>
      </c>
      <c r="W249" s="8">
        <f t="shared" si="36"/>
        <v>917262.41756470606</v>
      </c>
      <c r="X249" s="8">
        <f t="shared" si="36"/>
        <v>1160417.5315526319</v>
      </c>
      <c r="Y249" s="8">
        <f t="shared" si="36"/>
        <v>1167200.332122704</v>
      </c>
      <c r="Z249" s="8">
        <f t="shared" si="36"/>
        <v>1185178.1711000004</v>
      </c>
      <c r="AA249" s="8">
        <f t="shared" si="36"/>
        <v>1134047.7546508776</v>
      </c>
      <c r="AB249" s="8">
        <f t="shared" si="36"/>
        <v>1148677.821956347</v>
      </c>
      <c r="AC249" s="8">
        <f t="shared" si="36"/>
        <v>1162859.3552665638</v>
      </c>
      <c r="AD249" s="8">
        <f t="shared" si="36"/>
        <v>1102214.7521953564</v>
      </c>
      <c r="AE249" s="8">
        <f t="shared" si="36"/>
        <v>1109697.5520813211</v>
      </c>
      <c r="AF249" s="8">
        <f t="shared" si="36"/>
        <v>1119154.5902649125</v>
      </c>
      <c r="AG249" s="8">
        <f t="shared" si="36"/>
        <v>1129488.2923448917</v>
      </c>
    </row>
    <row r="250" spans="1:33" ht="15.75" thickBot="1" x14ac:dyDescent="0.3">
      <c r="A250" s="2" t="s">
        <v>102</v>
      </c>
      <c r="B250" s="2">
        <v>9.4117647058823528E-2</v>
      </c>
      <c r="C250" s="8">
        <f>$B$250*C247</f>
        <v>2166244.2373981853</v>
      </c>
      <c r="D250" s="8">
        <f t="shared" ref="D250:AG250" si="37">$B$250*D247</f>
        <v>2125737.7166273585</v>
      </c>
      <c r="E250" s="8">
        <f t="shared" si="37"/>
        <v>2082139.4807482653</v>
      </c>
      <c r="F250" s="8">
        <f t="shared" si="37"/>
        <v>2007711.7263782017</v>
      </c>
      <c r="G250" s="8">
        <f t="shared" si="37"/>
        <v>1972722.2056093651</v>
      </c>
      <c r="H250" s="8">
        <f t="shared" si="37"/>
        <v>1935370.305272683</v>
      </c>
      <c r="I250" s="8">
        <f t="shared" si="37"/>
        <v>2102233.2284330609</v>
      </c>
      <c r="J250" s="8">
        <f t="shared" si="37"/>
        <v>2061914.7357469741</v>
      </c>
      <c r="K250" s="8">
        <f t="shared" si="37"/>
        <v>2064164.8438127693</v>
      </c>
      <c r="L250" s="8">
        <f t="shared" si="37"/>
        <v>2052512.3644961813</v>
      </c>
      <c r="M250" s="8">
        <f t="shared" si="37"/>
        <v>1983136.8220722391</v>
      </c>
      <c r="N250" s="8">
        <f t="shared" si="37"/>
        <v>2000840.557907121</v>
      </c>
      <c r="O250" s="8">
        <f t="shared" si="37"/>
        <v>202514.55986666671</v>
      </c>
      <c r="P250" s="8">
        <f t="shared" si="37"/>
        <v>193481.98613333332</v>
      </c>
      <c r="Q250" s="8">
        <f t="shared" si="37"/>
        <v>196795.99883921572</v>
      </c>
      <c r="R250" s="8">
        <f t="shared" si="37"/>
        <v>195389.06286274511</v>
      </c>
      <c r="S250" s="8">
        <f t="shared" si="37"/>
        <v>184746.84308235298</v>
      </c>
      <c r="T250" s="8">
        <f t="shared" si="37"/>
        <v>227817.77842352941</v>
      </c>
      <c r="U250" s="8">
        <f t="shared" si="37"/>
        <v>229596.06232156864</v>
      </c>
      <c r="V250" s="8">
        <f t="shared" si="37"/>
        <v>225465.06443137259</v>
      </c>
      <c r="W250" s="8">
        <f t="shared" si="37"/>
        <v>524149.95289411762</v>
      </c>
      <c r="X250" s="8">
        <f t="shared" si="37"/>
        <v>663095.73231578956</v>
      </c>
      <c r="Y250" s="8">
        <f t="shared" si="37"/>
        <v>666971.61835583078</v>
      </c>
      <c r="Z250" s="8">
        <f t="shared" si="37"/>
        <v>677244.66920000012</v>
      </c>
      <c r="AA250" s="8">
        <f t="shared" si="37"/>
        <v>648027.2883719299</v>
      </c>
      <c r="AB250" s="8">
        <f t="shared" si="37"/>
        <v>656387.32683219819</v>
      </c>
      <c r="AC250" s="8">
        <f t="shared" si="37"/>
        <v>664491.06015232205</v>
      </c>
      <c r="AD250" s="8">
        <f t="shared" si="37"/>
        <v>629837.00125448918</v>
      </c>
      <c r="AE250" s="8">
        <f t="shared" si="37"/>
        <v>634112.88690361194</v>
      </c>
      <c r="AF250" s="8">
        <f t="shared" si="37"/>
        <v>639516.90872280707</v>
      </c>
      <c r="AG250" s="8">
        <f t="shared" si="37"/>
        <v>645421.88133993803</v>
      </c>
    </row>
    <row r="251" spans="1:33" s="20" customFormat="1" ht="15.75" thickBot="1" x14ac:dyDescent="0.3">
      <c r="A251" s="19" t="s">
        <v>129</v>
      </c>
      <c r="C251" s="20">
        <f t="shared" ref="C251:AG251" si="38">$B225*C213</f>
        <v>342758695.46779001</v>
      </c>
      <c r="D251" s="20">
        <f t="shared" si="38"/>
        <v>346404533.84962791</v>
      </c>
      <c r="E251" s="20">
        <f t="shared" si="38"/>
        <v>302608043.61163944</v>
      </c>
      <c r="F251" s="20">
        <f t="shared" si="38"/>
        <v>289158605.75561082</v>
      </c>
      <c r="G251" s="20">
        <f t="shared" si="38"/>
        <v>287241499.82494414</v>
      </c>
      <c r="H251" s="20">
        <f t="shared" si="38"/>
        <v>282741805.42506039</v>
      </c>
      <c r="I251" s="20">
        <f t="shared" si="38"/>
        <v>267670644.20541641</v>
      </c>
      <c r="J251" s="20">
        <f t="shared" si="38"/>
        <v>250580870.60594818</v>
      </c>
      <c r="K251" s="20">
        <f t="shared" si="38"/>
        <v>248539933.35356328</v>
      </c>
      <c r="L251" s="20">
        <f t="shared" si="38"/>
        <v>256094886.59564543</v>
      </c>
      <c r="M251" s="20">
        <f t="shared" si="38"/>
        <v>258860938.22515541</v>
      </c>
      <c r="N251" s="20">
        <f t="shared" si="38"/>
        <v>256253272.4160341</v>
      </c>
      <c r="O251" s="20">
        <f t="shared" si="38"/>
        <v>158859613.48096263</v>
      </c>
      <c r="P251" s="20">
        <f t="shared" si="38"/>
        <v>156410998.47589552</v>
      </c>
      <c r="Q251" s="20">
        <f t="shared" si="38"/>
        <v>152884608.65728733</v>
      </c>
      <c r="R251" s="20">
        <f t="shared" si="38"/>
        <v>100438749.8800187</v>
      </c>
      <c r="S251" s="20">
        <f t="shared" si="38"/>
        <v>71449583.63495785</v>
      </c>
      <c r="T251" s="20">
        <f t="shared" si="38"/>
        <v>73293456.580281451</v>
      </c>
      <c r="U251" s="20">
        <f t="shared" si="38"/>
        <v>73101280.406092882</v>
      </c>
      <c r="V251" s="20">
        <f t="shared" si="38"/>
        <v>72463972.831903726</v>
      </c>
      <c r="W251" s="20">
        <f t="shared" si="38"/>
        <v>67663173.88394776</v>
      </c>
      <c r="X251" s="20">
        <f t="shared" si="38"/>
        <v>68259566.670606643</v>
      </c>
      <c r="Y251" s="20">
        <f t="shared" si="38"/>
        <v>71955385.650588542</v>
      </c>
      <c r="Z251" s="20">
        <f t="shared" si="38"/>
        <v>72426026.041623309</v>
      </c>
      <c r="AA251" s="20">
        <f t="shared" si="38"/>
        <v>68148001.069169462</v>
      </c>
      <c r="AB251" s="20">
        <f t="shared" si="38"/>
        <v>66571616.650144748</v>
      </c>
      <c r="AC251" s="20">
        <f t="shared" si="38"/>
        <v>63798439.253131576</v>
      </c>
      <c r="AD251" s="20">
        <f t="shared" si="38"/>
        <v>63929685.091249987</v>
      </c>
      <c r="AE251" s="20">
        <f t="shared" si="38"/>
        <v>63682652.819499999</v>
      </c>
      <c r="AF251" s="20">
        <f t="shared" si="38"/>
        <v>63523714.605999999</v>
      </c>
      <c r="AG251" s="20">
        <f t="shared" si="38"/>
        <v>63356147.769749992</v>
      </c>
    </row>
    <row r="252" spans="1:33" x14ac:dyDescent="0.25">
      <c r="A252" s="2" t="s">
        <v>96</v>
      </c>
      <c r="B252" s="2">
        <v>0.72413793103448276</v>
      </c>
      <c r="C252" s="8">
        <f>$B$252*C251</f>
        <v>248204572.58012381</v>
      </c>
      <c r="D252" s="8">
        <f t="shared" ref="D252:AG252" si="39">$B$252*D251</f>
        <v>250844662.44283402</v>
      </c>
      <c r="E252" s="8">
        <f t="shared" si="39"/>
        <v>219129962.61532512</v>
      </c>
      <c r="F252" s="8">
        <f t="shared" si="39"/>
        <v>209390714.51268369</v>
      </c>
      <c r="G252" s="8">
        <f t="shared" si="39"/>
        <v>208002465.39047679</v>
      </c>
      <c r="H252" s="8">
        <f t="shared" si="39"/>
        <v>204744065.99745753</v>
      </c>
      <c r="I252" s="8">
        <f t="shared" si="39"/>
        <v>193830466.49357739</v>
      </c>
      <c r="J252" s="8">
        <f t="shared" si="39"/>
        <v>181455113.19741076</v>
      </c>
      <c r="K252" s="8">
        <f t="shared" si="39"/>
        <v>179977193.11809754</v>
      </c>
      <c r="L252" s="8">
        <f t="shared" si="39"/>
        <v>185448021.32788119</v>
      </c>
      <c r="M252" s="8">
        <f t="shared" si="39"/>
        <v>187451024.23200908</v>
      </c>
      <c r="N252" s="8">
        <f t="shared" si="39"/>
        <v>185562714.50816262</v>
      </c>
      <c r="O252" s="8">
        <f t="shared" si="39"/>
        <v>115036271.8310419</v>
      </c>
      <c r="P252" s="8">
        <f t="shared" si="39"/>
        <v>113263136.82737263</v>
      </c>
      <c r="Q252" s="8">
        <f t="shared" si="39"/>
        <v>110709544.20010462</v>
      </c>
      <c r="R252" s="8">
        <f t="shared" si="39"/>
        <v>72731508.533806637</v>
      </c>
      <c r="S252" s="8">
        <f t="shared" si="39"/>
        <v>51739353.666693613</v>
      </c>
      <c r="T252" s="8">
        <f t="shared" si="39"/>
        <v>53074572.006410703</v>
      </c>
      <c r="U252" s="8">
        <f t="shared" si="39"/>
        <v>52935409.949239671</v>
      </c>
      <c r="V252" s="8">
        <f t="shared" si="39"/>
        <v>52473911.36103373</v>
      </c>
      <c r="W252" s="8">
        <f t="shared" si="39"/>
        <v>48997470.743548378</v>
      </c>
      <c r="X252" s="8">
        <f t="shared" si="39"/>
        <v>49429341.382163428</v>
      </c>
      <c r="Y252" s="8">
        <f t="shared" si="39"/>
        <v>52105624.091805495</v>
      </c>
      <c r="Z252" s="8">
        <f t="shared" si="39"/>
        <v>52446432.650830671</v>
      </c>
      <c r="AA252" s="8">
        <f t="shared" si="39"/>
        <v>49348552.498364091</v>
      </c>
      <c r="AB252" s="8">
        <f t="shared" si="39"/>
        <v>48207032.746656545</v>
      </c>
      <c r="AC252" s="8">
        <f t="shared" si="39"/>
        <v>46198869.803991832</v>
      </c>
      <c r="AD252" s="8">
        <f t="shared" si="39"/>
        <v>46293909.893663786</v>
      </c>
      <c r="AE252" s="8">
        <f t="shared" si="39"/>
        <v>46115024.455499999</v>
      </c>
      <c r="AF252" s="8">
        <f t="shared" si="39"/>
        <v>45999931.266413793</v>
      </c>
      <c r="AG252" s="8">
        <f t="shared" si="39"/>
        <v>45878589.764301717</v>
      </c>
    </row>
    <row r="253" spans="1:33" ht="15.75" thickBot="1" x14ac:dyDescent="0.3">
      <c r="A253" s="2" t="s">
        <v>139</v>
      </c>
      <c r="B253" s="2">
        <v>0.27586206896551724</v>
      </c>
      <c r="C253" s="2">
        <f>$B$253*C251</f>
        <v>94554122.887666211</v>
      </c>
      <c r="D253" s="2">
        <f t="shared" ref="D253:AG253" si="40">$B$253*D251</f>
        <v>95559871.406793907</v>
      </c>
      <c r="E253" s="2">
        <f t="shared" si="40"/>
        <v>83478080.996314332</v>
      </c>
      <c r="F253" s="2">
        <f t="shared" si="40"/>
        <v>79767891.242927119</v>
      </c>
      <c r="G253" s="2">
        <f t="shared" si="40"/>
        <v>79239034.434467345</v>
      </c>
      <c r="H253" s="2">
        <f t="shared" si="40"/>
        <v>77997739.427602872</v>
      </c>
      <c r="I253" s="2">
        <f t="shared" si="40"/>
        <v>73840177.711839005</v>
      </c>
      <c r="J253" s="2">
        <f t="shared" si="40"/>
        <v>69125757.408537433</v>
      </c>
      <c r="K253" s="2">
        <f t="shared" si="40"/>
        <v>68562740.235465735</v>
      </c>
      <c r="L253" s="2">
        <f t="shared" si="40"/>
        <v>70646865.267764255</v>
      </c>
      <c r="M253" s="2">
        <f t="shared" si="40"/>
        <v>71409913.993146315</v>
      </c>
      <c r="N253" s="2">
        <f t="shared" si="40"/>
        <v>70690557.90787147</v>
      </c>
      <c r="O253" s="2">
        <f t="shared" si="40"/>
        <v>43823341.649920724</v>
      </c>
      <c r="P253" s="2">
        <f t="shared" si="40"/>
        <v>43147861.648522906</v>
      </c>
      <c r="Q253" s="2">
        <f t="shared" si="40"/>
        <v>42175064.457182713</v>
      </c>
      <c r="R253" s="2">
        <f t="shared" si="40"/>
        <v>27707241.346212056</v>
      </c>
      <c r="S253" s="2">
        <f t="shared" si="40"/>
        <v>19710229.968264233</v>
      </c>
      <c r="T253" s="2">
        <f t="shared" si="40"/>
        <v>20218884.573870745</v>
      </c>
      <c r="U253" s="2">
        <f t="shared" si="40"/>
        <v>20165870.456853207</v>
      </c>
      <c r="V253" s="2">
        <f t="shared" si="40"/>
        <v>19990061.470869992</v>
      </c>
      <c r="W253" s="2">
        <f t="shared" si="40"/>
        <v>18665703.140399382</v>
      </c>
      <c r="X253" s="2">
        <f t="shared" si="40"/>
        <v>18830225.288443211</v>
      </c>
      <c r="Y253" s="2">
        <f t="shared" si="40"/>
        <v>19849761.558783047</v>
      </c>
      <c r="Z253" s="2">
        <f t="shared" si="40"/>
        <v>19979593.390792638</v>
      </c>
      <c r="AA253" s="2">
        <f t="shared" si="40"/>
        <v>18799448.570805367</v>
      </c>
      <c r="AB253" s="2">
        <f t="shared" si="40"/>
        <v>18364583.903488208</v>
      </c>
      <c r="AC253" s="2">
        <f t="shared" si="40"/>
        <v>17599569.449139744</v>
      </c>
      <c r="AD253" s="2">
        <f t="shared" si="40"/>
        <v>17635775.197586205</v>
      </c>
      <c r="AE253" s="2">
        <f t="shared" si="40"/>
        <v>17567628.364</v>
      </c>
      <c r="AF253" s="2">
        <f t="shared" si="40"/>
        <v>17523783.339586206</v>
      </c>
      <c r="AG253" s="2">
        <f t="shared" si="40"/>
        <v>17477558.005448274</v>
      </c>
    </row>
    <row r="254" spans="1:33" s="20" customFormat="1" ht="15.75" thickBot="1" x14ac:dyDescent="0.3">
      <c r="A254" s="19" t="s">
        <v>118</v>
      </c>
      <c r="C254" s="21">
        <f t="shared" ref="C254:AG254" si="41">C214</f>
        <v>4569986.5263157897</v>
      </c>
      <c r="D254" s="21">
        <f t="shared" si="41"/>
        <v>2613786.0340789473</v>
      </c>
      <c r="E254" s="21">
        <f t="shared" si="41"/>
        <v>2314794.7413157895</v>
      </c>
      <c r="F254" s="21">
        <f t="shared" si="41"/>
        <v>4993056.5542105269</v>
      </c>
      <c r="G254" s="21">
        <f t="shared" si="41"/>
        <v>6731549.5777631579</v>
      </c>
      <c r="H254" s="21">
        <f t="shared" si="41"/>
        <v>5829500.5882894741</v>
      </c>
      <c r="I254" s="21">
        <f t="shared" si="41"/>
        <v>2388879.1685526315</v>
      </c>
      <c r="J254" s="21">
        <f t="shared" si="41"/>
        <v>2682333.9976315787</v>
      </c>
      <c r="K254" s="21">
        <f t="shared" si="41"/>
        <v>5503855.038947368</v>
      </c>
      <c r="L254" s="21">
        <f t="shared" si="41"/>
        <v>6149962.5543421051</v>
      </c>
      <c r="M254" s="21">
        <f t="shared" si="41"/>
        <v>2755123.0750000002</v>
      </c>
      <c r="N254" s="21">
        <f t="shared" si="41"/>
        <v>3016433.5149999997</v>
      </c>
      <c r="O254" s="21">
        <f t="shared" si="41"/>
        <v>2770511.5999999996</v>
      </c>
      <c r="P254" s="21">
        <f t="shared" si="41"/>
        <v>2616817.8899999997</v>
      </c>
      <c r="Q254" s="21">
        <f t="shared" si="41"/>
        <v>0</v>
      </c>
      <c r="R254" s="21">
        <f t="shared" si="41"/>
        <v>0</v>
      </c>
      <c r="S254" s="21">
        <f t="shared" si="41"/>
        <v>0</v>
      </c>
      <c r="T254" s="21">
        <f t="shared" si="41"/>
        <v>0</v>
      </c>
      <c r="U254" s="21">
        <f t="shared" si="41"/>
        <v>0</v>
      </c>
      <c r="V254" s="21">
        <f t="shared" si="41"/>
        <v>2577182.4</v>
      </c>
      <c r="W254" s="21">
        <f t="shared" si="41"/>
        <v>2545600.65</v>
      </c>
      <c r="X254" s="21">
        <f t="shared" si="41"/>
        <v>5826576.9305263162</v>
      </c>
      <c r="Y254" s="21">
        <f t="shared" si="41"/>
        <v>5816636.375</v>
      </c>
      <c r="Z254" s="21">
        <f t="shared" si="41"/>
        <v>5854584.8755263165</v>
      </c>
      <c r="AA254" s="21">
        <f t="shared" si="41"/>
        <v>5896821.9957894739</v>
      </c>
      <c r="AB254" s="21">
        <f t="shared" si="41"/>
        <v>5926170.5989473686</v>
      </c>
      <c r="AC254" s="21">
        <f t="shared" si="41"/>
        <v>5954082.8915789481</v>
      </c>
      <c r="AD254" s="21">
        <f t="shared" si="41"/>
        <v>5991783.4488157891</v>
      </c>
      <c r="AE254" s="21">
        <f t="shared" si="41"/>
        <v>6035049.5778947361</v>
      </c>
      <c r="AF254" s="21">
        <f t="shared" si="41"/>
        <v>6086680.1910526324</v>
      </c>
      <c r="AG254" s="21">
        <f t="shared" si="41"/>
        <v>6145863.4007894751</v>
      </c>
    </row>
    <row r="255" spans="1:33" ht="15.75" thickBot="1" x14ac:dyDescent="0.3">
      <c r="A255" s="2" t="s">
        <v>96</v>
      </c>
      <c r="B255" s="2">
        <v>1</v>
      </c>
      <c r="C255" s="8">
        <f>$B$255*C254</f>
        <v>4569986.5263157897</v>
      </c>
      <c r="D255" s="8">
        <f t="shared" ref="D255:AG255" si="42">$B$255*D254</f>
        <v>2613786.0340789473</v>
      </c>
      <c r="E255" s="8">
        <f t="shared" si="42"/>
        <v>2314794.7413157895</v>
      </c>
      <c r="F255" s="8">
        <f t="shared" si="42"/>
        <v>4993056.5542105269</v>
      </c>
      <c r="G255" s="8">
        <f t="shared" si="42"/>
        <v>6731549.5777631579</v>
      </c>
      <c r="H255" s="8">
        <f t="shared" si="42"/>
        <v>5829500.5882894741</v>
      </c>
      <c r="I255" s="8">
        <f t="shared" si="42"/>
        <v>2388879.1685526315</v>
      </c>
      <c r="J255" s="8">
        <f t="shared" si="42"/>
        <v>2682333.9976315787</v>
      </c>
      <c r="K255" s="8">
        <f t="shared" si="42"/>
        <v>5503855.038947368</v>
      </c>
      <c r="L255" s="8">
        <f t="shared" si="42"/>
        <v>6149962.5543421051</v>
      </c>
      <c r="M255" s="8">
        <f t="shared" si="42"/>
        <v>2755123.0750000002</v>
      </c>
      <c r="N255" s="8">
        <f t="shared" si="42"/>
        <v>3016433.5149999997</v>
      </c>
      <c r="O255" s="8">
        <f t="shared" si="42"/>
        <v>2770511.5999999996</v>
      </c>
      <c r="P255" s="8">
        <f t="shared" si="42"/>
        <v>2616817.8899999997</v>
      </c>
      <c r="Q255" s="8">
        <f t="shared" si="42"/>
        <v>0</v>
      </c>
      <c r="R255" s="8">
        <f t="shared" si="42"/>
        <v>0</v>
      </c>
      <c r="S255" s="8">
        <f t="shared" si="42"/>
        <v>0</v>
      </c>
      <c r="T255" s="8">
        <f t="shared" si="42"/>
        <v>0</v>
      </c>
      <c r="U255" s="8">
        <f t="shared" si="42"/>
        <v>0</v>
      </c>
      <c r="V255" s="8">
        <f t="shared" si="42"/>
        <v>2577182.4</v>
      </c>
      <c r="W255" s="8">
        <f t="shared" si="42"/>
        <v>2545600.65</v>
      </c>
      <c r="X255" s="8">
        <f t="shared" si="42"/>
        <v>5826576.9305263162</v>
      </c>
      <c r="Y255" s="8">
        <f t="shared" si="42"/>
        <v>5816636.375</v>
      </c>
      <c r="Z255" s="8">
        <f t="shared" si="42"/>
        <v>5854584.8755263165</v>
      </c>
      <c r="AA255" s="8">
        <f t="shared" si="42"/>
        <v>5896821.9957894739</v>
      </c>
      <c r="AB255" s="8">
        <f t="shared" si="42"/>
        <v>5926170.5989473686</v>
      </c>
      <c r="AC255" s="8">
        <f t="shared" si="42"/>
        <v>5954082.8915789481</v>
      </c>
      <c r="AD255" s="8">
        <f t="shared" si="42"/>
        <v>5991783.4488157891</v>
      </c>
      <c r="AE255" s="8">
        <f t="shared" si="42"/>
        <v>6035049.5778947361</v>
      </c>
      <c r="AF255" s="8">
        <f t="shared" si="42"/>
        <v>6086680.1910526324</v>
      </c>
      <c r="AG255" s="8">
        <f t="shared" si="42"/>
        <v>6145863.4007894751</v>
      </c>
    </row>
    <row r="256" spans="1:33" s="20" customFormat="1" ht="15.75" thickBot="1" x14ac:dyDescent="0.3">
      <c r="A256" s="19" t="s">
        <v>119</v>
      </c>
      <c r="C256" s="20">
        <f t="shared" ref="C256:AG256" si="43">$B225*C215</f>
        <v>6158222.6619736841</v>
      </c>
      <c r="D256" s="20">
        <f t="shared" si="43"/>
        <v>12453410.210276315</v>
      </c>
      <c r="E256" s="20">
        <f t="shared" si="43"/>
        <v>23916405.311815791</v>
      </c>
      <c r="F256" s="20">
        <f t="shared" si="43"/>
        <v>25689493.923934214</v>
      </c>
      <c r="G256" s="20">
        <f t="shared" si="43"/>
        <v>37745305.151342094</v>
      </c>
      <c r="H256" s="20">
        <f t="shared" si="43"/>
        <v>48831078.884934209</v>
      </c>
      <c r="I256" s="20">
        <f t="shared" si="43"/>
        <v>54085300.185342111</v>
      </c>
      <c r="J256" s="20">
        <f t="shared" si="43"/>
        <v>67496577.863144726</v>
      </c>
      <c r="K256" s="20">
        <f t="shared" si="43"/>
        <v>75088805.02243422</v>
      </c>
      <c r="L256" s="20">
        <f t="shared" si="43"/>
        <v>134065428.34748685</v>
      </c>
      <c r="M256" s="20">
        <f t="shared" si="43"/>
        <v>136106626.44473246</v>
      </c>
      <c r="N256" s="20">
        <f t="shared" si="43"/>
        <v>142829656.00082603</v>
      </c>
      <c r="O256" s="20">
        <f t="shared" si="43"/>
        <v>157087421.03855264</v>
      </c>
      <c r="P256" s="20">
        <f t="shared" si="43"/>
        <v>166351402.07810089</v>
      </c>
      <c r="Q256" s="20">
        <f t="shared" si="43"/>
        <v>193042386.40974414</v>
      </c>
      <c r="R256" s="20">
        <f t="shared" si="43"/>
        <v>257546661.08006582</v>
      </c>
      <c r="S256" s="20">
        <f t="shared" si="43"/>
        <v>287403962.41421145</v>
      </c>
      <c r="T256" s="20">
        <f t="shared" si="43"/>
        <v>293433303.82753831</v>
      </c>
      <c r="U256" s="20">
        <f t="shared" si="43"/>
        <v>302982825.69309908</v>
      </c>
      <c r="V256" s="20">
        <f t="shared" si="43"/>
        <v>308177821.74668276</v>
      </c>
      <c r="W256" s="20">
        <f t="shared" si="43"/>
        <v>295918253.04801607</v>
      </c>
      <c r="X256" s="20">
        <f t="shared" si="43"/>
        <v>278060214.63434213</v>
      </c>
      <c r="Y256" s="20">
        <f t="shared" si="43"/>
        <v>303801740.35737705</v>
      </c>
      <c r="Z256" s="20">
        <f t="shared" si="43"/>
        <v>308844966.00231403</v>
      </c>
      <c r="AA256" s="20">
        <f t="shared" si="43"/>
        <v>294634212.94739461</v>
      </c>
      <c r="AB256" s="20">
        <f t="shared" si="43"/>
        <v>294942374.71382898</v>
      </c>
      <c r="AC256" s="20">
        <f t="shared" si="43"/>
        <v>290180150.20963156</v>
      </c>
      <c r="AD256" s="20">
        <f t="shared" si="43"/>
        <v>293525541.60252637</v>
      </c>
      <c r="AE256" s="20">
        <f t="shared" si="43"/>
        <v>290818601.21918428</v>
      </c>
      <c r="AF256" s="20">
        <f t="shared" si="43"/>
        <v>294389398.16839474</v>
      </c>
      <c r="AG256" s="20">
        <f t="shared" si="43"/>
        <v>297626581.2915132</v>
      </c>
    </row>
    <row r="257" spans="1:33" x14ac:dyDescent="0.25">
      <c r="A257" s="2" t="s">
        <v>96</v>
      </c>
      <c r="B257">
        <v>0.5575221238938054</v>
      </c>
      <c r="C257" s="2">
        <f>$B$257*C256</f>
        <v>3433345.3779145326</v>
      </c>
      <c r="D257" s="2">
        <f t="shared" ref="D257:AG257" si="44">$B$257*D256</f>
        <v>6943051.7101540528</v>
      </c>
      <c r="E257" s="2">
        <f t="shared" si="44"/>
        <v>13333925.085348628</v>
      </c>
      <c r="F257" s="2">
        <f t="shared" si="44"/>
        <v>14322461.214228813</v>
      </c>
      <c r="G257" s="2">
        <f t="shared" si="44"/>
        <v>21043842.694996037</v>
      </c>
      <c r="H257" s="2">
        <f t="shared" si="44"/>
        <v>27224406.811954476</v>
      </c>
      <c r="I257" s="2">
        <f t="shared" si="44"/>
        <v>30153751.43076596</v>
      </c>
      <c r="J257" s="2">
        <f t="shared" si="44"/>
        <v>37630835.445824057</v>
      </c>
      <c r="K257" s="2">
        <f t="shared" si="44"/>
        <v>41863670.056755371</v>
      </c>
      <c r="L257" s="2">
        <f t="shared" si="44"/>
        <v>74744442.353023663</v>
      </c>
      <c r="M257" s="2">
        <f t="shared" si="44"/>
        <v>75882455.451488018</v>
      </c>
      <c r="N257" s="2">
        <f t="shared" si="44"/>
        <v>79630693.168602139</v>
      </c>
      <c r="O257" s="2">
        <f t="shared" si="44"/>
        <v>87579712.614414319</v>
      </c>
      <c r="P257" s="2">
        <f t="shared" si="44"/>
        <v>92744586.999295205</v>
      </c>
      <c r="Q257" s="2">
        <f t="shared" si="44"/>
        <v>107625401.27268922</v>
      </c>
      <c r="R257" s="2">
        <f t="shared" si="44"/>
        <v>143587961.48711637</v>
      </c>
      <c r="S257" s="2">
        <f t="shared" si="44"/>
        <v>160234067.54066658</v>
      </c>
      <c r="T257" s="2">
        <f t="shared" si="44"/>
        <v>163595558.77110547</v>
      </c>
      <c r="U257" s="2">
        <f t="shared" si="44"/>
        <v>168919628.48376322</v>
      </c>
      <c r="V257" s="2">
        <f t="shared" si="44"/>
        <v>171815953.71717715</v>
      </c>
      <c r="W257" s="2">
        <f t="shared" si="44"/>
        <v>164980972.93827447</v>
      </c>
      <c r="X257" s="2">
        <f t="shared" si="44"/>
        <v>155024721.43330583</v>
      </c>
      <c r="Y257" s="2">
        <f t="shared" si="44"/>
        <v>169376191.52667928</v>
      </c>
      <c r="Z257" s="2">
        <f t="shared" si="44"/>
        <v>172187901.39952025</v>
      </c>
      <c r="AA257" s="2">
        <f t="shared" si="44"/>
        <v>164265092.17421117</v>
      </c>
      <c r="AB257" s="2">
        <f t="shared" si="44"/>
        <v>164436899.17673653</v>
      </c>
      <c r="AC257" s="2">
        <f t="shared" si="44"/>
        <v>161781853.65669727</v>
      </c>
      <c r="AD257" s="2">
        <f t="shared" si="44"/>
        <v>163646983.37132004</v>
      </c>
      <c r="AE257" s="2">
        <f t="shared" si="44"/>
        <v>162137804.21954525</v>
      </c>
      <c r="AF257" s="2">
        <f t="shared" si="44"/>
        <v>164128602.51866257</v>
      </c>
      <c r="AG257" s="2">
        <f t="shared" si="44"/>
        <v>165933403.72889677</v>
      </c>
    </row>
    <row r="258" spans="1:33" x14ac:dyDescent="0.25">
      <c r="A258" s="2" t="s">
        <v>138</v>
      </c>
      <c r="B258">
        <v>0.12389380530973453</v>
      </c>
      <c r="C258" s="2">
        <f>$B$258*C256</f>
        <v>762965.63953656272</v>
      </c>
      <c r="D258" s="2">
        <f t="shared" ref="D258:AG258" si="45">$B$258*D256</f>
        <v>1542900.3800342339</v>
      </c>
      <c r="E258" s="2">
        <f t="shared" si="45"/>
        <v>2963094.4634108064</v>
      </c>
      <c r="F258" s="2">
        <f t="shared" si="45"/>
        <v>3182769.1587175136</v>
      </c>
      <c r="G258" s="2">
        <f t="shared" si="45"/>
        <v>4676409.4877768969</v>
      </c>
      <c r="H258" s="2">
        <f t="shared" si="45"/>
        <v>6049868.1804343276</v>
      </c>
      <c r="I258" s="2">
        <f t="shared" si="45"/>
        <v>6700833.6512813242</v>
      </c>
      <c r="J258" s="2">
        <f t="shared" si="45"/>
        <v>8362407.8768497901</v>
      </c>
      <c r="K258" s="2">
        <f t="shared" si="45"/>
        <v>9303037.7903900817</v>
      </c>
      <c r="L258" s="2">
        <f t="shared" si="45"/>
        <v>16609876.0784497</v>
      </c>
      <c r="M258" s="2">
        <f t="shared" si="45"/>
        <v>16862767.878108449</v>
      </c>
      <c r="N258" s="2">
        <f t="shared" si="45"/>
        <v>17695709.593022697</v>
      </c>
      <c r="O258" s="2">
        <f t="shared" si="45"/>
        <v>19462158.358758736</v>
      </c>
      <c r="P258" s="2">
        <f t="shared" si="45"/>
        <v>20609908.222065598</v>
      </c>
      <c r="Q258" s="2">
        <f t="shared" si="45"/>
        <v>23916755.838375382</v>
      </c>
      <c r="R258" s="2">
        <f t="shared" si="45"/>
        <v>31908435.886025857</v>
      </c>
      <c r="S258" s="2">
        <f t="shared" si="45"/>
        <v>35607570.56459257</v>
      </c>
      <c r="T258" s="2">
        <f t="shared" si="45"/>
        <v>36354568.615801208</v>
      </c>
      <c r="U258" s="2">
        <f t="shared" si="45"/>
        <v>37537695.218614049</v>
      </c>
      <c r="V258" s="2">
        <f t="shared" si="45"/>
        <v>38181323.048261583</v>
      </c>
      <c r="W258" s="2">
        <f t="shared" si="45"/>
        <v>36662438.430727661</v>
      </c>
      <c r="X258" s="2">
        <f t="shared" si="45"/>
        <v>34449938.096290179</v>
      </c>
      <c r="Y258" s="2">
        <f t="shared" si="45"/>
        <v>37639153.672595389</v>
      </c>
      <c r="Z258" s="2">
        <f t="shared" si="45"/>
        <v>38263978.088782273</v>
      </c>
      <c r="AA258" s="2">
        <f t="shared" si="45"/>
        <v>36503353.816491373</v>
      </c>
      <c r="AB258" s="2">
        <f t="shared" si="45"/>
        <v>36541533.150385894</v>
      </c>
      <c r="AC258" s="2">
        <f t="shared" si="45"/>
        <v>35951523.034821615</v>
      </c>
      <c r="AD258" s="2">
        <f t="shared" si="45"/>
        <v>36365996.304737784</v>
      </c>
      <c r="AE258" s="2">
        <f t="shared" si="45"/>
        <v>36030623.159898944</v>
      </c>
      <c r="AF258" s="2">
        <f t="shared" si="45"/>
        <v>36473022.781925015</v>
      </c>
      <c r="AG258" s="2">
        <f t="shared" si="45"/>
        <v>36874089.717532612</v>
      </c>
    </row>
    <row r="259" spans="1:33" x14ac:dyDescent="0.25">
      <c r="A259" s="2" t="s">
        <v>139</v>
      </c>
      <c r="B259">
        <v>0.21238938053097345</v>
      </c>
      <c r="C259" s="2">
        <f>$B$259*C256</f>
        <v>1307941.096348393</v>
      </c>
      <c r="D259" s="2">
        <f t="shared" ref="D259:AG259" si="46">$B$259*D256</f>
        <v>2644972.0800586864</v>
      </c>
      <c r="E259" s="2">
        <f t="shared" si="46"/>
        <v>5079590.5087042386</v>
      </c>
      <c r="F259" s="2">
        <f t="shared" si="46"/>
        <v>5456175.7006585943</v>
      </c>
      <c r="G259" s="2">
        <f t="shared" si="46"/>
        <v>8016701.9790461082</v>
      </c>
      <c r="H259" s="2">
        <f t="shared" si="46"/>
        <v>10371202.595030274</v>
      </c>
      <c r="I259" s="2">
        <f t="shared" si="46"/>
        <v>11487143.402196554</v>
      </c>
      <c r="J259" s="2">
        <f t="shared" si="46"/>
        <v>14335556.360313924</v>
      </c>
      <c r="K259" s="2">
        <f t="shared" si="46"/>
        <v>15948064.783525852</v>
      </c>
      <c r="L259" s="2">
        <f t="shared" si="46"/>
        <v>28474073.277342342</v>
      </c>
      <c r="M259" s="2">
        <f t="shared" si="46"/>
        <v>28907602.076757334</v>
      </c>
      <c r="N259" s="2">
        <f t="shared" si="46"/>
        <v>30335502.159467474</v>
      </c>
      <c r="O259" s="2">
        <f t="shared" si="46"/>
        <v>33363700.043586403</v>
      </c>
      <c r="P259" s="2">
        <f t="shared" si="46"/>
        <v>35331271.237826735</v>
      </c>
      <c r="Q259" s="2">
        <f t="shared" si="46"/>
        <v>41000152.865786366</v>
      </c>
      <c r="R259" s="2">
        <f t="shared" si="46"/>
        <v>54700175.804615751</v>
      </c>
      <c r="S259" s="2">
        <f t="shared" si="46"/>
        <v>61041549.539301544</v>
      </c>
      <c r="T259" s="2">
        <f t="shared" si="46"/>
        <v>62322117.627087779</v>
      </c>
      <c r="U259" s="2">
        <f t="shared" si="46"/>
        <v>64350334.660481222</v>
      </c>
      <c r="V259" s="2">
        <f t="shared" si="46"/>
        <v>65453696.654162712</v>
      </c>
      <c r="W259" s="2">
        <f t="shared" si="46"/>
        <v>62849894.452675976</v>
      </c>
      <c r="X259" s="2">
        <f t="shared" si="46"/>
        <v>59057036.736497447</v>
      </c>
      <c r="Y259" s="2">
        <f t="shared" si="46"/>
        <v>64524263.438734949</v>
      </c>
      <c r="Z259" s="2">
        <f t="shared" si="46"/>
        <v>65595391.009341031</v>
      </c>
      <c r="AA259" s="2">
        <f t="shared" si="46"/>
        <v>62577177.971128061</v>
      </c>
      <c r="AB259" s="2">
        <f t="shared" si="46"/>
        <v>62642628.257804386</v>
      </c>
      <c r="AC259" s="2">
        <f t="shared" si="46"/>
        <v>61631182.345408469</v>
      </c>
      <c r="AD259" s="2">
        <f t="shared" si="46"/>
        <v>62341707.950979054</v>
      </c>
      <c r="AE259" s="2">
        <f t="shared" si="46"/>
        <v>61766782.559826747</v>
      </c>
      <c r="AF259" s="2">
        <f t="shared" si="46"/>
        <v>62525181.911871448</v>
      </c>
      <c r="AG259" s="2">
        <f t="shared" si="46"/>
        <v>63212725.230055898</v>
      </c>
    </row>
    <row r="260" spans="1:33" x14ac:dyDescent="0.25">
      <c r="A260" s="2" t="s">
        <v>103</v>
      </c>
      <c r="B260">
        <v>7.0796460176991163E-2</v>
      </c>
      <c r="C260" s="2">
        <f>$B$260*C256</f>
        <v>435980.36544946441</v>
      </c>
      <c r="D260" s="2">
        <f t="shared" ref="D260:AG260" si="47">$B$260*D256</f>
        <v>881657.3600195623</v>
      </c>
      <c r="E260" s="2">
        <f t="shared" si="47"/>
        <v>1693196.8362347465</v>
      </c>
      <c r="F260" s="2">
        <f t="shared" si="47"/>
        <v>1818725.233552865</v>
      </c>
      <c r="G260" s="2">
        <f t="shared" si="47"/>
        <v>2672233.9930153699</v>
      </c>
      <c r="H260" s="2">
        <f t="shared" si="47"/>
        <v>3457067.531676759</v>
      </c>
      <c r="I260" s="2">
        <f t="shared" si="47"/>
        <v>3829047.8007321856</v>
      </c>
      <c r="J260" s="2">
        <f t="shared" si="47"/>
        <v>4778518.7867713086</v>
      </c>
      <c r="K260" s="2">
        <f t="shared" si="47"/>
        <v>5316021.5945086181</v>
      </c>
      <c r="L260" s="2">
        <f t="shared" si="47"/>
        <v>9491357.7591141146</v>
      </c>
      <c r="M260" s="2">
        <f t="shared" si="47"/>
        <v>9635867.3589191139</v>
      </c>
      <c r="N260" s="2">
        <f t="shared" si="47"/>
        <v>10111834.053155826</v>
      </c>
      <c r="O260" s="2">
        <f t="shared" si="47"/>
        <v>11121233.347862136</v>
      </c>
      <c r="P260" s="2">
        <f t="shared" si="47"/>
        <v>11777090.412608914</v>
      </c>
      <c r="Q260" s="2">
        <f t="shared" si="47"/>
        <v>13666717.621928791</v>
      </c>
      <c r="R260" s="2">
        <f t="shared" si="47"/>
        <v>18233391.934871919</v>
      </c>
      <c r="S260" s="2">
        <f t="shared" si="47"/>
        <v>20347183.179767188</v>
      </c>
      <c r="T260" s="2">
        <f t="shared" si="47"/>
        <v>20774039.209029265</v>
      </c>
      <c r="U260" s="2">
        <f t="shared" si="47"/>
        <v>21450111.553493746</v>
      </c>
      <c r="V260" s="2">
        <f t="shared" si="47"/>
        <v>21817898.884720907</v>
      </c>
      <c r="W260" s="2">
        <f t="shared" si="47"/>
        <v>20949964.817558665</v>
      </c>
      <c r="X260" s="2">
        <f t="shared" si="47"/>
        <v>19685678.912165817</v>
      </c>
      <c r="Y260" s="2">
        <f t="shared" si="47"/>
        <v>21508087.812911652</v>
      </c>
      <c r="Z260" s="2">
        <f t="shared" si="47"/>
        <v>21865130.336447015</v>
      </c>
      <c r="AA260" s="2">
        <f t="shared" si="47"/>
        <v>20859059.323709358</v>
      </c>
      <c r="AB260" s="2">
        <f t="shared" si="47"/>
        <v>20880876.085934799</v>
      </c>
      <c r="AC260" s="2">
        <f t="shared" si="47"/>
        <v>20543727.448469494</v>
      </c>
      <c r="AD260" s="2">
        <f t="shared" si="47"/>
        <v>20780569.31699302</v>
      </c>
      <c r="AE260" s="2">
        <f t="shared" si="47"/>
        <v>20588927.519942254</v>
      </c>
      <c r="AF260" s="2">
        <f t="shared" si="47"/>
        <v>20841727.303957153</v>
      </c>
      <c r="AG260" s="2">
        <f t="shared" si="47"/>
        <v>21070908.410018638</v>
      </c>
    </row>
    <row r="261" spans="1:33" ht="15.75" thickBot="1" x14ac:dyDescent="0.3">
      <c r="A261" s="2" t="s">
        <v>104</v>
      </c>
      <c r="B261">
        <v>3.5398230088495582E-2</v>
      </c>
      <c r="C261" s="2">
        <f>$B$261*C256</f>
        <v>217990.18272473221</v>
      </c>
      <c r="D261" s="2">
        <f t="shared" ref="D261:AG261" si="48">$B$261*D256</f>
        <v>440828.68000978115</v>
      </c>
      <c r="E261" s="2">
        <f t="shared" si="48"/>
        <v>846598.41811737325</v>
      </c>
      <c r="F261" s="2">
        <f t="shared" si="48"/>
        <v>909362.61677643249</v>
      </c>
      <c r="G261" s="2">
        <f t="shared" si="48"/>
        <v>1336116.9965076849</v>
      </c>
      <c r="H261" s="2">
        <f t="shared" si="48"/>
        <v>1728533.7658383795</v>
      </c>
      <c r="I261" s="2">
        <f t="shared" si="48"/>
        <v>1914523.9003660928</v>
      </c>
      <c r="J261" s="2">
        <f t="shared" si="48"/>
        <v>2389259.3933856543</v>
      </c>
      <c r="K261" s="2">
        <f t="shared" si="48"/>
        <v>2658010.7972543091</v>
      </c>
      <c r="L261" s="2">
        <f t="shared" si="48"/>
        <v>4745678.8795570573</v>
      </c>
      <c r="M261" s="2">
        <f t="shared" si="48"/>
        <v>4817933.6794595569</v>
      </c>
      <c r="N261" s="2">
        <f t="shared" si="48"/>
        <v>5055917.0265779132</v>
      </c>
      <c r="O261" s="2">
        <f t="shared" si="48"/>
        <v>5560616.6739310678</v>
      </c>
      <c r="P261" s="2">
        <f t="shared" si="48"/>
        <v>5888545.206304457</v>
      </c>
      <c r="Q261" s="2">
        <f t="shared" si="48"/>
        <v>6833358.8109643953</v>
      </c>
      <c r="R261" s="2">
        <f t="shared" si="48"/>
        <v>9116695.9674359597</v>
      </c>
      <c r="S261" s="2">
        <f t="shared" si="48"/>
        <v>10173591.589883594</v>
      </c>
      <c r="T261" s="2">
        <f t="shared" si="48"/>
        <v>10387019.604514632</v>
      </c>
      <c r="U261" s="2">
        <f t="shared" si="48"/>
        <v>10725055.776746873</v>
      </c>
      <c r="V261" s="2">
        <f t="shared" si="48"/>
        <v>10908949.442360453</v>
      </c>
      <c r="W261" s="2">
        <f t="shared" si="48"/>
        <v>10474982.408779332</v>
      </c>
      <c r="X261" s="2">
        <f t="shared" si="48"/>
        <v>9842839.4560829084</v>
      </c>
      <c r="Y261" s="2">
        <f t="shared" si="48"/>
        <v>10754043.906455826</v>
      </c>
      <c r="Z261" s="2">
        <f t="shared" si="48"/>
        <v>10932565.168223508</v>
      </c>
      <c r="AA261" s="2">
        <f t="shared" si="48"/>
        <v>10429529.661854679</v>
      </c>
      <c r="AB261" s="2">
        <f t="shared" si="48"/>
        <v>10440438.0429674</v>
      </c>
      <c r="AC261" s="2">
        <f t="shared" si="48"/>
        <v>10271863.724234747</v>
      </c>
      <c r="AD261" s="2">
        <f t="shared" si="48"/>
        <v>10390284.65849651</v>
      </c>
      <c r="AE261" s="2">
        <f t="shared" si="48"/>
        <v>10294463.759971127</v>
      </c>
      <c r="AF261" s="2">
        <f t="shared" si="48"/>
        <v>10420863.651978577</v>
      </c>
      <c r="AG261" s="2">
        <f t="shared" si="48"/>
        <v>10535454.205009319</v>
      </c>
    </row>
    <row r="262" spans="1:33" s="22" customFormat="1" ht="15.75" thickBot="1" x14ac:dyDescent="0.3">
      <c r="A262" s="24" t="s">
        <v>120</v>
      </c>
    </row>
    <row r="263" spans="1:33" ht="15.75" thickBot="1" x14ac:dyDescent="0.3">
      <c r="A263" s="16"/>
    </row>
    <row r="264" spans="1:33" s="20" customFormat="1" ht="15.75" thickBot="1" x14ac:dyDescent="0.3">
      <c r="A264" s="19" t="s">
        <v>121</v>
      </c>
      <c r="C264" s="20">
        <f t="shared" ref="C264:AG264" si="49">$B225*C217</f>
        <v>0</v>
      </c>
      <c r="D264" s="20">
        <f t="shared" si="49"/>
        <v>0</v>
      </c>
      <c r="E264" s="20">
        <f t="shared" si="49"/>
        <v>0</v>
      </c>
      <c r="F264" s="20">
        <f t="shared" si="49"/>
        <v>0</v>
      </c>
      <c r="G264" s="20">
        <f t="shared" si="49"/>
        <v>0</v>
      </c>
      <c r="H264" s="20">
        <f t="shared" si="49"/>
        <v>0</v>
      </c>
      <c r="I264" s="20">
        <f t="shared" si="49"/>
        <v>592425.67999999993</v>
      </c>
      <c r="J264" s="20">
        <f t="shared" si="49"/>
        <v>629461.44799999997</v>
      </c>
      <c r="K264" s="20">
        <f t="shared" si="49"/>
        <v>1720459.4825000004</v>
      </c>
      <c r="L264" s="20">
        <f t="shared" si="49"/>
        <v>1982664.8297499998</v>
      </c>
      <c r="M264" s="20">
        <f t="shared" si="49"/>
        <v>1755958.9850000003</v>
      </c>
      <c r="N264" s="20">
        <f t="shared" si="49"/>
        <v>1575423.4924999999</v>
      </c>
      <c r="O264" s="20">
        <f t="shared" si="49"/>
        <v>1312526.996</v>
      </c>
      <c r="P264" s="20">
        <f t="shared" si="49"/>
        <v>1156925.0373421051</v>
      </c>
      <c r="Q264" s="20">
        <f t="shared" si="49"/>
        <v>921980.11191337719</v>
      </c>
      <c r="R264" s="20">
        <f t="shared" si="49"/>
        <v>15548199.954756754</v>
      </c>
      <c r="S264" s="20">
        <f t="shared" si="49"/>
        <v>50116308.227560356</v>
      </c>
      <c r="T264" s="20">
        <f t="shared" si="49"/>
        <v>56835411.427591875</v>
      </c>
      <c r="U264" s="20">
        <f t="shared" si="49"/>
        <v>71562172.852060661</v>
      </c>
      <c r="V264" s="20">
        <f t="shared" si="49"/>
        <v>90281596.793742657</v>
      </c>
      <c r="W264" s="20">
        <f t="shared" si="49"/>
        <v>87843336.109295309</v>
      </c>
      <c r="X264" s="20">
        <f t="shared" si="49"/>
        <v>92156951.532235399</v>
      </c>
      <c r="Y264" s="20">
        <f t="shared" si="49"/>
        <v>123102063.86598659</v>
      </c>
      <c r="Z264" s="20">
        <f t="shared" si="49"/>
        <v>143900083.9556033</v>
      </c>
      <c r="AA264" s="20">
        <f t="shared" si="49"/>
        <v>143351345.04634282</v>
      </c>
      <c r="AB264" s="20">
        <f t="shared" si="49"/>
        <v>143100762.34842792</v>
      </c>
      <c r="AC264" s="20">
        <f t="shared" si="49"/>
        <v>141013145.87288186</v>
      </c>
      <c r="AD264" s="20">
        <f t="shared" si="49"/>
        <v>143591479.97921395</v>
      </c>
      <c r="AE264" s="20">
        <f t="shared" si="49"/>
        <v>141367873.41087139</v>
      </c>
      <c r="AF264" s="20">
        <f t="shared" si="49"/>
        <v>143888005.36557484</v>
      </c>
      <c r="AG264" s="20">
        <f t="shared" si="49"/>
        <v>146251573.40648168</v>
      </c>
    </row>
    <row r="265" spans="1:33" x14ac:dyDescent="0.25">
      <c r="A265" t="s">
        <v>103</v>
      </c>
      <c r="B265" s="2">
        <v>0.36363636363636365</v>
      </c>
      <c r="C265" s="2">
        <f>$B$265*C264</f>
        <v>0</v>
      </c>
      <c r="D265" s="2">
        <f t="shared" ref="D265:AG265" si="50">$B$265*D264</f>
        <v>0</v>
      </c>
      <c r="E265" s="2">
        <f t="shared" si="50"/>
        <v>0</v>
      </c>
      <c r="F265" s="2">
        <f t="shared" si="50"/>
        <v>0</v>
      </c>
      <c r="G265" s="2">
        <f t="shared" si="50"/>
        <v>0</v>
      </c>
      <c r="H265" s="2">
        <f t="shared" si="50"/>
        <v>0</v>
      </c>
      <c r="I265" s="2">
        <f t="shared" si="50"/>
        <v>215427.52</v>
      </c>
      <c r="J265" s="2">
        <f t="shared" si="50"/>
        <v>228895.07199999999</v>
      </c>
      <c r="K265" s="2">
        <f t="shared" si="50"/>
        <v>625621.63000000012</v>
      </c>
      <c r="L265" s="2">
        <f t="shared" si="50"/>
        <v>720969.02899999998</v>
      </c>
      <c r="M265" s="2">
        <f t="shared" si="50"/>
        <v>638530.54000000015</v>
      </c>
      <c r="N265" s="2">
        <f t="shared" si="50"/>
        <v>572881.27</v>
      </c>
      <c r="O265" s="2">
        <f t="shared" si="50"/>
        <v>477282.54400000005</v>
      </c>
      <c r="P265" s="2">
        <f t="shared" si="50"/>
        <v>420700.01357894728</v>
      </c>
      <c r="Q265" s="2">
        <f t="shared" si="50"/>
        <v>335265.49524122808</v>
      </c>
      <c r="R265" s="2">
        <f t="shared" si="50"/>
        <v>5653890.8926388193</v>
      </c>
      <c r="S265" s="2">
        <f t="shared" si="50"/>
        <v>18224112.082749221</v>
      </c>
      <c r="T265" s="2">
        <f t="shared" si="50"/>
        <v>20667422.337306138</v>
      </c>
      <c r="U265" s="2">
        <f t="shared" si="50"/>
        <v>26022608.30984024</v>
      </c>
      <c r="V265" s="2">
        <f t="shared" si="50"/>
        <v>32829671.561360966</v>
      </c>
      <c r="W265" s="2">
        <f t="shared" si="50"/>
        <v>31943031.312471021</v>
      </c>
      <c r="X265" s="2">
        <f t="shared" si="50"/>
        <v>33511618.738994692</v>
      </c>
      <c r="Y265" s="2">
        <f t="shared" si="50"/>
        <v>44764386.86035876</v>
      </c>
      <c r="Z265" s="2">
        <f t="shared" si="50"/>
        <v>52327303.25658302</v>
      </c>
      <c r="AA265" s="2">
        <f t="shared" si="50"/>
        <v>52127761.835033752</v>
      </c>
      <c r="AB265" s="2">
        <f t="shared" si="50"/>
        <v>52036640.853973791</v>
      </c>
      <c r="AC265" s="2">
        <f t="shared" si="50"/>
        <v>51277507.59013886</v>
      </c>
      <c r="AD265" s="2">
        <f t="shared" si="50"/>
        <v>52215083.628805079</v>
      </c>
      <c r="AE265" s="2">
        <f t="shared" si="50"/>
        <v>51406499.422135048</v>
      </c>
      <c r="AF265" s="2">
        <f t="shared" si="50"/>
        <v>52322911.042027213</v>
      </c>
      <c r="AG265" s="2">
        <f t="shared" si="50"/>
        <v>53182390.329629704</v>
      </c>
    </row>
    <row r="266" spans="1:33" x14ac:dyDescent="0.25">
      <c r="A266" t="s">
        <v>105</v>
      </c>
      <c r="B266" s="2">
        <v>0.13636363636363635</v>
      </c>
      <c r="C266" s="2">
        <f>$B$266*C264</f>
        <v>0</v>
      </c>
      <c r="D266" s="2">
        <f t="shared" ref="D266:AG266" si="51">$B$266*D264</f>
        <v>0</v>
      </c>
      <c r="E266" s="2">
        <f t="shared" si="51"/>
        <v>0</v>
      </c>
      <c r="F266" s="2">
        <f t="shared" si="51"/>
        <v>0</v>
      </c>
      <c r="G266" s="2">
        <f t="shared" si="51"/>
        <v>0</v>
      </c>
      <c r="H266" s="2">
        <f t="shared" si="51"/>
        <v>0</v>
      </c>
      <c r="I266" s="2">
        <f t="shared" si="51"/>
        <v>80785.319999999978</v>
      </c>
      <c r="J266" s="2">
        <f t="shared" si="51"/>
        <v>85835.651999999987</v>
      </c>
      <c r="K266" s="2">
        <f t="shared" si="51"/>
        <v>234608.11125000005</v>
      </c>
      <c r="L266" s="2">
        <f t="shared" si="51"/>
        <v>270363.38587499998</v>
      </c>
      <c r="M266" s="2">
        <f t="shared" si="51"/>
        <v>239448.95250000001</v>
      </c>
      <c r="N266" s="2">
        <f t="shared" si="51"/>
        <v>214830.47624999998</v>
      </c>
      <c r="O266" s="2">
        <f t="shared" si="51"/>
        <v>178980.954</v>
      </c>
      <c r="P266" s="2">
        <f t="shared" si="51"/>
        <v>157762.50509210522</v>
      </c>
      <c r="Q266" s="2">
        <f t="shared" si="51"/>
        <v>125724.56071546051</v>
      </c>
      <c r="R266" s="2">
        <f t="shared" si="51"/>
        <v>2120209.084739557</v>
      </c>
      <c r="S266" s="2">
        <f t="shared" si="51"/>
        <v>6834042.0310309576</v>
      </c>
      <c r="T266" s="2">
        <f t="shared" si="51"/>
        <v>7750283.3764898004</v>
      </c>
      <c r="U266" s="2">
        <f t="shared" si="51"/>
        <v>9758478.1161900889</v>
      </c>
      <c r="V266" s="2">
        <f t="shared" si="51"/>
        <v>12311126.835510362</v>
      </c>
      <c r="W266" s="2">
        <f t="shared" si="51"/>
        <v>11978636.742176631</v>
      </c>
      <c r="X266" s="2">
        <f t="shared" si="51"/>
        <v>12566857.027123008</v>
      </c>
      <c r="Y266" s="2">
        <f t="shared" si="51"/>
        <v>16786645.072634533</v>
      </c>
      <c r="Z266" s="2">
        <f t="shared" si="51"/>
        <v>19622738.721218631</v>
      </c>
      <c r="AA266" s="2">
        <f t="shared" si="51"/>
        <v>19547910.688137654</v>
      </c>
      <c r="AB266" s="2">
        <f t="shared" si="51"/>
        <v>19513740.32024017</v>
      </c>
      <c r="AC266" s="2">
        <f t="shared" si="51"/>
        <v>19229065.34630207</v>
      </c>
      <c r="AD266" s="2">
        <f t="shared" si="51"/>
        <v>19580656.360801902</v>
      </c>
      <c r="AE266" s="2">
        <f t="shared" si="51"/>
        <v>19277437.283300642</v>
      </c>
      <c r="AF266" s="2">
        <f t="shared" si="51"/>
        <v>19621091.640760202</v>
      </c>
      <c r="AG266" s="2">
        <f t="shared" si="51"/>
        <v>19943396.373611137</v>
      </c>
    </row>
    <row r="267" spans="1:33" x14ac:dyDescent="0.25">
      <c r="A267" t="s">
        <v>106</v>
      </c>
      <c r="B267" s="2">
        <v>9.0909090909090912E-2</v>
      </c>
      <c r="C267" s="2">
        <f>$B$267*C264</f>
        <v>0</v>
      </c>
      <c r="D267" s="2">
        <f t="shared" ref="D267:AG267" si="52">$B$267*D264</f>
        <v>0</v>
      </c>
      <c r="E267" s="2">
        <f t="shared" si="52"/>
        <v>0</v>
      </c>
      <c r="F267" s="2">
        <f t="shared" si="52"/>
        <v>0</v>
      </c>
      <c r="G267" s="2">
        <f t="shared" si="52"/>
        <v>0</v>
      </c>
      <c r="H267" s="2">
        <f t="shared" si="52"/>
        <v>0</v>
      </c>
      <c r="I267" s="2">
        <f t="shared" si="52"/>
        <v>53856.88</v>
      </c>
      <c r="J267" s="2">
        <f t="shared" si="52"/>
        <v>57223.767999999996</v>
      </c>
      <c r="K267" s="2">
        <f t="shared" si="52"/>
        <v>156405.40750000003</v>
      </c>
      <c r="L267" s="2">
        <f t="shared" si="52"/>
        <v>180242.25725</v>
      </c>
      <c r="M267" s="2">
        <f t="shared" si="52"/>
        <v>159632.63500000004</v>
      </c>
      <c r="N267" s="2">
        <f t="shared" si="52"/>
        <v>143220.3175</v>
      </c>
      <c r="O267" s="2">
        <f t="shared" si="52"/>
        <v>119320.63600000001</v>
      </c>
      <c r="P267" s="2">
        <f t="shared" si="52"/>
        <v>105175.00339473682</v>
      </c>
      <c r="Q267" s="2">
        <f t="shared" si="52"/>
        <v>83816.373810307021</v>
      </c>
      <c r="R267" s="2">
        <f t="shared" si="52"/>
        <v>1413472.7231597048</v>
      </c>
      <c r="S267" s="2">
        <f t="shared" si="52"/>
        <v>4556028.0206873054</v>
      </c>
      <c r="T267" s="2">
        <f t="shared" si="52"/>
        <v>5166855.5843265345</v>
      </c>
      <c r="U267" s="2">
        <f t="shared" si="52"/>
        <v>6505652.0774600599</v>
      </c>
      <c r="V267" s="2">
        <f t="shared" si="52"/>
        <v>8207417.8903402416</v>
      </c>
      <c r="W267" s="2">
        <f t="shared" si="52"/>
        <v>7985757.8281177552</v>
      </c>
      <c r="X267" s="2">
        <f t="shared" si="52"/>
        <v>8377904.6847486729</v>
      </c>
      <c r="Y267" s="2">
        <f t="shared" si="52"/>
        <v>11191096.71508969</v>
      </c>
      <c r="Z267" s="2">
        <f t="shared" si="52"/>
        <v>13081825.814145755</v>
      </c>
      <c r="AA267" s="2">
        <f t="shared" si="52"/>
        <v>13031940.458758438</v>
      </c>
      <c r="AB267" s="2">
        <f t="shared" si="52"/>
        <v>13009160.213493448</v>
      </c>
      <c r="AC267" s="2">
        <f t="shared" si="52"/>
        <v>12819376.897534715</v>
      </c>
      <c r="AD267" s="2">
        <f t="shared" si="52"/>
        <v>13053770.90720127</v>
      </c>
      <c r="AE267" s="2">
        <f t="shared" si="52"/>
        <v>12851624.855533762</v>
      </c>
      <c r="AF267" s="2">
        <f t="shared" si="52"/>
        <v>13080727.760506803</v>
      </c>
      <c r="AG267" s="2">
        <f t="shared" si="52"/>
        <v>13295597.582407426</v>
      </c>
    </row>
    <row r="268" spans="1:33" ht="15.75" thickBot="1" x14ac:dyDescent="0.3">
      <c r="A268" t="s">
        <v>107</v>
      </c>
      <c r="B268" s="2">
        <v>0.40909090909090912</v>
      </c>
      <c r="C268" s="2">
        <f>$B$268*C264</f>
        <v>0</v>
      </c>
      <c r="D268" s="2">
        <f t="shared" ref="D268:AG268" si="53">$B$268*D264</f>
        <v>0</v>
      </c>
      <c r="E268" s="2">
        <f t="shared" si="53"/>
        <v>0</v>
      </c>
      <c r="F268" s="2">
        <f t="shared" si="53"/>
        <v>0</v>
      </c>
      <c r="G268" s="2">
        <f t="shared" si="53"/>
        <v>0</v>
      </c>
      <c r="H268" s="2">
        <f t="shared" si="53"/>
        <v>0</v>
      </c>
      <c r="I268" s="2">
        <f t="shared" si="53"/>
        <v>242355.96</v>
      </c>
      <c r="J268" s="2">
        <f t="shared" si="53"/>
        <v>257506.95600000001</v>
      </c>
      <c r="K268" s="2">
        <f t="shared" si="53"/>
        <v>703824.33375000022</v>
      </c>
      <c r="L268" s="2">
        <f t="shared" si="53"/>
        <v>811090.15762499999</v>
      </c>
      <c r="M268" s="2">
        <f t="shared" si="53"/>
        <v>718346.85750000016</v>
      </c>
      <c r="N268" s="2">
        <f t="shared" si="53"/>
        <v>644491.42874999996</v>
      </c>
      <c r="O268" s="2">
        <f t="shared" si="53"/>
        <v>536942.86200000008</v>
      </c>
      <c r="P268" s="2">
        <f t="shared" si="53"/>
        <v>473287.51527631574</v>
      </c>
      <c r="Q268" s="2">
        <f t="shared" si="53"/>
        <v>377173.68214638159</v>
      </c>
      <c r="R268" s="2">
        <f t="shared" si="53"/>
        <v>6360627.2542186724</v>
      </c>
      <c r="S268" s="2">
        <f t="shared" si="53"/>
        <v>20502126.093092874</v>
      </c>
      <c r="T268" s="2">
        <f t="shared" si="53"/>
        <v>23250850.129469406</v>
      </c>
      <c r="U268" s="2">
        <f t="shared" si="53"/>
        <v>29275434.348570272</v>
      </c>
      <c r="V268" s="2">
        <f t="shared" si="53"/>
        <v>36933380.50653109</v>
      </c>
      <c r="W268" s="2">
        <f t="shared" si="53"/>
        <v>35935910.226529904</v>
      </c>
      <c r="X268" s="2">
        <f t="shared" si="53"/>
        <v>37700571.081369027</v>
      </c>
      <c r="Y268" s="2">
        <f t="shared" si="53"/>
        <v>50359935.217903607</v>
      </c>
      <c r="Z268" s="2">
        <f t="shared" si="53"/>
        <v>58868216.163655899</v>
      </c>
      <c r="AA268" s="2">
        <f t="shared" si="53"/>
        <v>58643732.064412974</v>
      </c>
      <c r="AB268" s="2">
        <f t="shared" si="53"/>
        <v>58541220.960720517</v>
      </c>
      <c r="AC268" s="2">
        <f t="shared" si="53"/>
        <v>57687196.038906217</v>
      </c>
      <c r="AD268" s="2">
        <f t="shared" si="53"/>
        <v>58741969.082405709</v>
      </c>
      <c r="AE268" s="2">
        <f t="shared" si="53"/>
        <v>57832311.849901937</v>
      </c>
      <c r="AF268" s="2">
        <f t="shared" si="53"/>
        <v>58863274.922280617</v>
      </c>
      <c r="AG268" s="2">
        <f t="shared" si="53"/>
        <v>59830189.120833419</v>
      </c>
    </row>
    <row r="269" spans="1:33" s="20" customFormat="1" ht="15.75" thickBot="1" x14ac:dyDescent="0.3">
      <c r="A269" s="19" t="s">
        <v>122</v>
      </c>
      <c r="C269" s="20">
        <f t="shared" ref="C269:AC269" si="54">$B226*C218</f>
        <v>0</v>
      </c>
      <c r="D269" s="20">
        <f t="shared" si="54"/>
        <v>0</v>
      </c>
      <c r="E269" s="20">
        <f t="shared" si="54"/>
        <v>0</v>
      </c>
      <c r="F269" s="20">
        <f t="shared" si="54"/>
        <v>0</v>
      </c>
      <c r="G269" s="20">
        <f t="shared" si="54"/>
        <v>0</v>
      </c>
      <c r="H269" s="20">
        <f t="shared" si="54"/>
        <v>0</v>
      </c>
      <c r="I269" s="20">
        <f t="shared" si="54"/>
        <v>0</v>
      </c>
      <c r="J269" s="20">
        <f t="shared" si="54"/>
        <v>0</v>
      </c>
      <c r="K269" s="20">
        <f t="shared" si="54"/>
        <v>0</v>
      </c>
      <c r="L269" s="20">
        <f t="shared" si="54"/>
        <v>0</v>
      </c>
      <c r="M269" s="20">
        <f t="shared" si="54"/>
        <v>0</v>
      </c>
      <c r="N269" s="20">
        <f t="shared" si="54"/>
        <v>0</v>
      </c>
      <c r="O269" s="20">
        <f t="shared" si="54"/>
        <v>0</v>
      </c>
      <c r="P269" s="20">
        <f t="shared" si="54"/>
        <v>0</v>
      </c>
      <c r="Q269" s="20">
        <f t="shared" si="54"/>
        <v>0</v>
      </c>
      <c r="R269" s="20">
        <f t="shared" si="54"/>
        <v>0</v>
      </c>
      <c r="S269" s="20">
        <f t="shared" si="54"/>
        <v>288789165.2713502</v>
      </c>
      <c r="T269" s="20">
        <f t="shared" si="54"/>
        <v>413172887.01000875</v>
      </c>
      <c r="U269" s="20">
        <f t="shared" si="54"/>
        <v>410003657.12216377</v>
      </c>
      <c r="V269" s="20">
        <f t="shared" si="54"/>
        <v>417436366.80762458</v>
      </c>
      <c r="W269" s="20">
        <f t="shared" si="54"/>
        <v>401241154.03786778</v>
      </c>
      <c r="X269" s="20">
        <f t="shared" si="54"/>
        <v>394562665.8401103</v>
      </c>
      <c r="Y269" s="20">
        <f t="shared" si="54"/>
        <v>423244183.59993792</v>
      </c>
      <c r="Z269" s="20">
        <f t="shared" si="54"/>
        <v>430032156.14306992</v>
      </c>
      <c r="AA269" s="20">
        <f t="shared" si="54"/>
        <v>414082770.96558297</v>
      </c>
      <c r="AB269" s="20">
        <f t="shared" si="54"/>
        <v>415234701.58905321</v>
      </c>
      <c r="AC269" s="20">
        <f t="shared" si="54"/>
        <v>399623580.7166121</v>
      </c>
      <c r="AD269" s="20">
        <f>AVERAGE(AB269:AC269)</f>
        <v>407429141.15283263</v>
      </c>
      <c r="AE269" s="20">
        <f t="shared" ref="AE269:AG269" si="55">AVERAGE(AC269:AD269)</f>
        <v>403526360.93472236</v>
      </c>
      <c r="AF269" s="20">
        <f t="shared" si="55"/>
        <v>405477751.04377747</v>
      </c>
      <c r="AG269" s="20">
        <f t="shared" si="55"/>
        <v>404502055.98924994</v>
      </c>
    </row>
    <row r="270" spans="1:33" x14ac:dyDescent="0.25">
      <c r="A270" t="s">
        <v>96</v>
      </c>
      <c r="B270">
        <v>0.42567567567567571</v>
      </c>
      <c r="C270" s="2">
        <f>C269*$B$270</f>
        <v>0</v>
      </c>
      <c r="D270" s="2">
        <f t="shared" ref="D270:AG270" si="56">D269*$B$270</f>
        <v>0</v>
      </c>
      <c r="E270" s="2">
        <f t="shared" si="56"/>
        <v>0</v>
      </c>
      <c r="F270" s="2">
        <f t="shared" si="56"/>
        <v>0</v>
      </c>
      <c r="G270" s="2">
        <f t="shared" si="56"/>
        <v>0</v>
      </c>
      <c r="H270" s="2">
        <f t="shared" si="56"/>
        <v>0</v>
      </c>
      <c r="I270" s="2">
        <f t="shared" si="56"/>
        <v>0</v>
      </c>
      <c r="J270" s="2">
        <f t="shared" si="56"/>
        <v>0</v>
      </c>
      <c r="K270" s="2">
        <f t="shared" si="56"/>
        <v>0</v>
      </c>
      <c r="L270" s="2">
        <f t="shared" si="56"/>
        <v>0</v>
      </c>
      <c r="M270" s="2">
        <f t="shared" si="56"/>
        <v>0</v>
      </c>
      <c r="N270" s="2">
        <f t="shared" si="56"/>
        <v>0</v>
      </c>
      <c r="O270" s="2">
        <f t="shared" si="56"/>
        <v>0</v>
      </c>
      <c r="P270" s="2">
        <f t="shared" si="56"/>
        <v>0</v>
      </c>
      <c r="Q270" s="2">
        <f t="shared" si="56"/>
        <v>0</v>
      </c>
      <c r="R270" s="2">
        <f t="shared" si="56"/>
        <v>0</v>
      </c>
      <c r="S270" s="2">
        <f t="shared" si="56"/>
        <v>122930523.05469638</v>
      </c>
      <c r="T270" s="2">
        <f t="shared" si="56"/>
        <v>175877647.84885508</v>
      </c>
      <c r="U270" s="2">
        <f t="shared" si="56"/>
        <v>174528583.77497512</v>
      </c>
      <c r="V270" s="2">
        <f t="shared" si="56"/>
        <v>177692507.4924348</v>
      </c>
      <c r="W270" s="2">
        <f t="shared" si="56"/>
        <v>170798599.35395724</v>
      </c>
      <c r="X270" s="2">
        <f t="shared" si="56"/>
        <v>167955729.37788481</v>
      </c>
      <c r="Y270" s="2">
        <f t="shared" si="56"/>
        <v>180164753.82970333</v>
      </c>
      <c r="Z270" s="2">
        <f t="shared" si="56"/>
        <v>183054228.62846896</v>
      </c>
      <c r="AA270" s="2">
        <f t="shared" si="56"/>
        <v>176264963.3164306</v>
      </c>
      <c r="AB270" s="2">
        <f t="shared" si="56"/>
        <v>176755312.16290781</v>
      </c>
      <c r="AC270" s="2">
        <f t="shared" si="56"/>
        <v>170110037.7374768</v>
      </c>
      <c r="AD270" s="2">
        <f t="shared" si="56"/>
        <v>173432674.95019227</v>
      </c>
      <c r="AE270" s="2">
        <f t="shared" si="56"/>
        <v>171771356.34383455</v>
      </c>
      <c r="AF270" s="2">
        <f t="shared" si="56"/>
        <v>172602015.6470134</v>
      </c>
      <c r="AG270" s="2">
        <f t="shared" si="56"/>
        <v>172186685.99542397</v>
      </c>
    </row>
    <row r="271" spans="1:33" x14ac:dyDescent="0.25">
      <c r="A271" s="23" t="s">
        <v>97</v>
      </c>
      <c r="B271">
        <v>9.45945945945946E-2</v>
      </c>
      <c r="C271" s="2">
        <f>C269*$B$271</f>
        <v>0</v>
      </c>
      <c r="D271" s="2">
        <f t="shared" ref="D271:AG271" si="57">D269*$B$271</f>
        <v>0</v>
      </c>
      <c r="E271" s="2">
        <f t="shared" si="57"/>
        <v>0</v>
      </c>
      <c r="F271" s="2">
        <f t="shared" si="57"/>
        <v>0</v>
      </c>
      <c r="G271" s="2">
        <f t="shared" si="57"/>
        <v>0</v>
      </c>
      <c r="H271" s="2">
        <f t="shared" si="57"/>
        <v>0</v>
      </c>
      <c r="I271" s="2">
        <f t="shared" si="57"/>
        <v>0</v>
      </c>
      <c r="J271" s="2">
        <f t="shared" si="57"/>
        <v>0</v>
      </c>
      <c r="K271" s="2">
        <f t="shared" si="57"/>
        <v>0</v>
      </c>
      <c r="L271" s="2">
        <f t="shared" si="57"/>
        <v>0</v>
      </c>
      <c r="M271" s="2">
        <f t="shared" si="57"/>
        <v>0</v>
      </c>
      <c r="N271" s="2">
        <f t="shared" si="57"/>
        <v>0</v>
      </c>
      <c r="O271" s="2">
        <f t="shared" si="57"/>
        <v>0</v>
      </c>
      <c r="P271" s="2">
        <f t="shared" si="57"/>
        <v>0</v>
      </c>
      <c r="Q271" s="2">
        <f t="shared" si="57"/>
        <v>0</v>
      </c>
      <c r="R271" s="2">
        <f t="shared" si="57"/>
        <v>0</v>
      </c>
      <c r="S271" s="2">
        <f t="shared" si="57"/>
        <v>27317894.012154751</v>
      </c>
      <c r="T271" s="2">
        <f t="shared" si="57"/>
        <v>39083921.744190022</v>
      </c>
      <c r="U271" s="2">
        <f t="shared" si="57"/>
        <v>38784129.727772251</v>
      </c>
      <c r="V271" s="2">
        <f t="shared" si="57"/>
        <v>39487223.887207732</v>
      </c>
      <c r="W271" s="2">
        <f t="shared" si="57"/>
        <v>37955244.300879389</v>
      </c>
      <c r="X271" s="2">
        <f t="shared" si="57"/>
        <v>37323495.417307734</v>
      </c>
      <c r="Y271" s="2">
        <f t="shared" si="57"/>
        <v>40036611.962156288</v>
      </c>
      <c r="Z271" s="2">
        <f t="shared" si="57"/>
        <v>40678717.472993106</v>
      </c>
      <c r="AA271" s="2">
        <f t="shared" si="57"/>
        <v>39169991.848095685</v>
      </c>
      <c r="AB271" s="2">
        <f t="shared" si="57"/>
        <v>39278958.258423954</v>
      </c>
      <c r="AC271" s="2">
        <f t="shared" si="57"/>
        <v>37802230.608328171</v>
      </c>
      <c r="AD271" s="2">
        <f t="shared" si="57"/>
        <v>38540594.433376059</v>
      </c>
      <c r="AE271" s="2">
        <f t="shared" si="57"/>
        <v>38171412.520852119</v>
      </c>
      <c r="AF271" s="2">
        <f t="shared" si="57"/>
        <v>38356003.477114089</v>
      </c>
      <c r="AG271" s="2">
        <f t="shared" si="57"/>
        <v>38263707.998983108</v>
      </c>
    </row>
    <row r="272" spans="1:33" x14ac:dyDescent="0.25">
      <c r="A272" t="s">
        <v>98</v>
      </c>
      <c r="B272">
        <v>0.17567567567567569</v>
      </c>
      <c r="C272" s="2">
        <f>C269*$B$272</f>
        <v>0</v>
      </c>
      <c r="D272" s="2">
        <f t="shared" ref="D272:AG272" si="58">D269*$B$272</f>
        <v>0</v>
      </c>
      <c r="E272" s="2">
        <f t="shared" si="58"/>
        <v>0</v>
      </c>
      <c r="F272" s="2">
        <f t="shared" si="58"/>
        <v>0</v>
      </c>
      <c r="G272" s="2">
        <f t="shared" si="58"/>
        <v>0</v>
      </c>
      <c r="H272" s="2">
        <f t="shared" si="58"/>
        <v>0</v>
      </c>
      <c r="I272" s="2">
        <f t="shared" si="58"/>
        <v>0</v>
      </c>
      <c r="J272" s="2">
        <f t="shared" si="58"/>
        <v>0</v>
      </c>
      <c r="K272" s="2">
        <f t="shared" si="58"/>
        <v>0</v>
      </c>
      <c r="L272" s="2">
        <f t="shared" si="58"/>
        <v>0</v>
      </c>
      <c r="M272" s="2">
        <f t="shared" si="58"/>
        <v>0</v>
      </c>
      <c r="N272" s="2">
        <f t="shared" si="58"/>
        <v>0</v>
      </c>
      <c r="O272" s="2">
        <f t="shared" si="58"/>
        <v>0</v>
      </c>
      <c r="P272" s="2">
        <f t="shared" si="58"/>
        <v>0</v>
      </c>
      <c r="Q272" s="2">
        <f t="shared" si="58"/>
        <v>0</v>
      </c>
      <c r="R272" s="2">
        <f t="shared" si="58"/>
        <v>0</v>
      </c>
      <c r="S272" s="2">
        <f t="shared" si="58"/>
        <v>50733231.736858822</v>
      </c>
      <c r="T272" s="2">
        <f t="shared" si="58"/>
        <v>72584426.09635289</v>
      </c>
      <c r="U272" s="2">
        <f t="shared" si="58"/>
        <v>72027669.494434178</v>
      </c>
      <c r="V272" s="2">
        <f t="shared" si="58"/>
        <v>73333415.79052864</v>
      </c>
      <c r="W272" s="2">
        <f t="shared" si="58"/>
        <v>70488310.84449029</v>
      </c>
      <c r="X272" s="2">
        <f t="shared" si="58"/>
        <v>69315062.917857215</v>
      </c>
      <c r="Y272" s="2">
        <f t="shared" si="58"/>
        <v>74353707.929718822</v>
      </c>
      <c r="Z272" s="2">
        <f t="shared" si="58"/>
        <v>75546189.59270148</v>
      </c>
      <c r="AA272" s="2">
        <f t="shared" si="58"/>
        <v>72744270.575034857</v>
      </c>
      <c r="AB272" s="2">
        <f t="shared" si="58"/>
        <v>72946636.765644491</v>
      </c>
      <c r="AC272" s="2">
        <f t="shared" si="58"/>
        <v>70204142.558323756</v>
      </c>
      <c r="AD272" s="2">
        <f t="shared" si="58"/>
        <v>71575389.661984116</v>
      </c>
      <c r="AE272" s="2">
        <f t="shared" si="58"/>
        <v>70889766.110153928</v>
      </c>
      <c r="AF272" s="2">
        <f t="shared" si="58"/>
        <v>71232577.886069015</v>
      </c>
      <c r="AG272" s="2">
        <f t="shared" si="58"/>
        <v>71061171.998111486</v>
      </c>
    </row>
    <row r="273" spans="1:33" x14ac:dyDescent="0.25">
      <c r="A273" t="s">
        <v>101</v>
      </c>
      <c r="B273">
        <v>0.16891891891891894</v>
      </c>
      <c r="C273" s="2">
        <f>C269*$B$273</f>
        <v>0</v>
      </c>
      <c r="D273" s="2">
        <f t="shared" ref="D273:AG273" si="59">D269*$B$273</f>
        <v>0</v>
      </c>
      <c r="E273" s="2">
        <f t="shared" si="59"/>
        <v>0</v>
      </c>
      <c r="F273" s="2">
        <f t="shared" si="59"/>
        <v>0</v>
      </c>
      <c r="G273" s="2">
        <f t="shared" si="59"/>
        <v>0</v>
      </c>
      <c r="H273" s="2">
        <f t="shared" si="59"/>
        <v>0</v>
      </c>
      <c r="I273" s="2">
        <f t="shared" si="59"/>
        <v>0</v>
      </c>
      <c r="J273" s="2">
        <f t="shared" si="59"/>
        <v>0</v>
      </c>
      <c r="K273" s="2">
        <f t="shared" si="59"/>
        <v>0</v>
      </c>
      <c r="L273" s="2">
        <f t="shared" si="59"/>
        <v>0</v>
      </c>
      <c r="M273" s="2">
        <f t="shared" si="59"/>
        <v>0</v>
      </c>
      <c r="N273" s="2">
        <f t="shared" si="59"/>
        <v>0</v>
      </c>
      <c r="O273" s="2">
        <f t="shared" si="59"/>
        <v>0</v>
      </c>
      <c r="P273" s="2">
        <f t="shared" si="59"/>
        <v>0</v>
      </c>
      <c r="Q273" s="2">
        <f t="shared" si="59"/>
        <v>0</v>
      </c>
      <c r="R273" s="2">
        <f t="shared" si="59"/>
        <v>0</v>
      </c>
      <c r="S273" s="2">
        <f t="shared" si="59"/>
        <v>48781953.593133487</v>
      </c>
      <c r="T273" s="2">
        <f t="shared" si="59"/>
        <v>69792717.40033932</v>
      </c>
      <c r="U273" s="2">
        <f t="shared" si="59"/>
        <v>69257374.513879031</v>
      </c>
      <c r="V273" s="2">
        <f t="shared" si="59"/>
        <v>70512899.798585236</v>
      </c>
      <c r="W273" s="2">
        <f t="shared" si="59"/>
        <v>67777221.96585606</v>
      </c>
      <c r="X273" s="2">
        <f t="shared" si="59"/>
        <v>66649098.959478103</v>
      </c>
      <c r="Y273" s="2">
        <f t="shared" si="59"/>
        <v>71493949.932421952</v>
      </c>
      <c r="Z273" s="2">
        <f t="shared" si="59"/>
        <v>72640566.916059121</v>
      </c>
      <c r="AA273" s="2">
        <f t="shared" si="59"/>
        <v>69946414.014456585</v>
      </c>
      <c r="AB273" s="2">
        <f t="shared" si="59"/>
        <v>70140996.890042782</v>
      </c>
      <c r="AC273" s="2">
        <f t="shared" si="59"/>
        <v>67503983.229157463</v>
      </c>
      <c r="AD273" s="2">
        <f t="shared" si="59"/>
        <v>68822490.059600115</v>
      </c>
      <c r="AE273" s="2">
        <f t="shared" si="59"/>
        <v>68163236.644378781</v>
      </c>
      <c r="AF273" s="2">
        <f t="shared" si="59"/>
        <v>68492863.351989448</v>
      </c>
      <c r="AG273" s="2">
        <f t="shared" si="59"/>
        <v>68328049.998184115</v>
      </c>
    </row>
    <row r="274" spans="1:33" x14ac:dyDescent="0.25">
      <c r="A274" t="s">
        <v>104</v>
      </c>
      <c r="B274">
        <v>2.7027027027027029E-2</v>
      </c>
      <c r="C274" s="2">
        <f>C269*$B$274</f>
        <v>0</v>
      </c>
      <c r="D274" s="2">
        <f t="shared" ref="D274:AG274" si="60">D269*$B$274</f>
        <v>0</v>
      </c>
      <c r="E274" s="2">
        <f t="shared" si="60"/>
        <v>0</v>
      </c>
      <c r="F274" s="2">
        <f t="shared" si="60"/>
        <v>0</v>
      </c>
      <c r="G274" s="2">
        <f t="shared" si="60"/>
        <v>0</v>
      </c>
      <c r="H274" s="2">
        <f t="shared" si="60"/>
        <v>0</v>
      </c>
      <c r="I274" s="2">
        <f t="shared" si="60"/>
        <v>0</v>
      </c>
      <c r="J274" s="2">
        <f t="shared" si="60"/>
        <v>0</v>
      </c>
      <c r="K274" s="2">
        <f t="shared" si="60"/>
        <v>0</v>
      </c>
      <c r="L274" s="2">
        <f t="shared" si="60"/>
        <v>0</v>
      </c>
      <c r="M274" s="2">
        <f t="shared" si="60"/>
        <v>0</v>
      </c>
      <c r="N274" s="2">
        <f t="shared" si="60"/>
        <v>0</v>
      </c>
      <c r="O274" s="2">
        <f t="shared" si="60"/>
        <v>0</v>
      </c>
      <c r="P274" s="2">
        <f t="shared" si="60"/>
        <v>0</v>
      </c>
      <c r="Q274" s="2">
        <f t="shared" si="60"/>
        <v>0</v>
      </c>
      <c r="R274" s="2">
        <f t="shared" si="60"/>
        <v>0</v>
      </c>
      <c r="S274" s="2">
        <f t="shared" si="60"/>
        <v>7805112.5749013573</v>
      </c>
      <c r="T274" s="2">
        <f t="shared" si="60"/>
        <v>11166834.784054291</v>
      </c>
      <c r="U274" s="2">
        <f t="shared" si="60"/>
        <v>11081179.922220644</v>
      </c>
      <c r="V274" s="2">
        <f t="shared" si="60"/>
        <v>11282063.967773639</v>
      </c>
      <c r="W274" s="2">
        <f t="shared" si="60"/>
        <v>10844355.514536968</v>
      </c>
      <c r="X274" s="2">
        <f t="shared" si="60"/>
        <v>10663855.833516495</v>
      </c>
      <c r="Y274" s="2">
        <f t="shared" si="60"/>
        <v>11439031.989187513</v>
      </c>
      <c r="Z274" s="2">
        <f t="shared" si="60"/>
        <v>11622490.706569457</v>
      </c>
      <c r="AA274" s="2">
        <f t="shared" si="60"/>
        <v>11191426.242313053</v>
      </c>
      <c r="AB274" s="2">
        <f t="shared" si="60"/>
        <v>11222559.502406845</v>
      </c>
      <c r="AC274" s="2">
        <f t="shared" si="60"/>
        <v>10800637.316665193</v>
      </c>
      <c r="AD274" s="2">
        <f t="shared" si="60"/>
        <v>11011598.409536017</v>
      </c>
      <c r="AE274" s="2">
        <f t="shared" si="60"/>
        <v>10906117.863100605</v>
      </c>
      <c r="AF274" s="2">
        <f t="shared" si="60"/>
        <v>10958858.136318311</v>
      </c>
      <c r="AG274" s="2">
        <f t="shared" si="60"/>
        <v>10932487.999709459</v>
      </c>
    </row>
    <row r="275" spans="1:33" x14ac:dyDescent="0.25">
      <c r="A275" t="s">
        <v>108</v>
      </c>
      <c r="B275">
        <v>2.0270270270270268E-2</v>
      </c>
      <c r="C275" s="2">
        <f>C269*$B$275</f>
        <v>0</v>
      </c>
      <c r="D275" s="2">
        <f t="shared" ref="D275:AG275" si="61">D269*$B$275</f>
        <v>0</v>
      </c>
      <c r="E275" s="2">
        <f t="shared" si="61"/>
        <v>0</v>
      </c>
      <c r="F275" s="2">
        <f t="shared" si="61"/>
        <v>0</v>
      </c>
      <c r="G275" s="2">
        <f t="shared" si="61"/>
        <v>0</v>
      </c>
      <c r="H275" s="2">
        <f t="shared" si="61"/>
        <v>0</v>
      </c>
      <c r="I275" s="2">
        <f t="shared" si="61"/>
        <v>0</v>
      </c>
      <c r="J275" s="2">
        <f t="shared" si="61"/>
        <v>0</v>
      </c>
      <c r="K275" s="2">
        <f t="shared" si="61"/>
        <v>0</v>
      </c>
      <c r="L275" s="2">
        <f t="shared" si="61"/>
        <v>0</v>
      </c>
      <c r="M275" s="2">
        <f t="shared" si="61"/>
        <v>0</v>
      </c>
      <c r="N275" s="2">
        <f t="shared" si="61"/>
        <v>0</v>
      </c>
      <c r="O275" s="2">
        <f t="shared" si="61"/>
        <v>0</v>
      </c>
      <c r="P275" s="2">
        <f t="shared" si="61"/>
        <v>0</v>
      </c>
      <c r="Q275" s="2">
        <f t="shared" si="61"/>
        <v>0</v>
      </c>
      <c r="R275" s="2">
        <f t="shared" si="61"/>
        <v>0</v>
      </c>
      <c r="S275" s="2">
        <f t="shared" si="61"/>
        <v>5853834.431176017</v>
      </c>
      <c r="T275" s="2">
        <f t="shared" si="61"/>
        <v>8375126.0880407169</v>
      </c>
      <c r="U275" s="2">
        <f t="shared" si="61"/>
        <v>8310884.9416654808</v>
      </c>
      <c r="V275" s="2">
        <f t="shared" si="61"/>
        <v>8461547.9758302271</v>
      </c>
      <c r="W275" s="2">
        <f t="shared" si="61"/>
        <v>8133266.6359027242</v>
      </c>
      <c r="X275" s="2">
        <f t="shared" si="61"/>
        <v>7997891.8751373701</v>
      </c>
      <c r="Y275" s="2">
        <f t="shared" si="61"/>
        <v>8579273.9918906316</v>
      </c>
      <c r="Z275" s="2">
        <f t="shared" si="61"/>
        <v>8716868.0299270917</v>
      </c>
      <c r="AA275" s="2">
        <f t="shared" si="61"/>
        <v>8393569.6817347892</v>
      </c>
      <c r="AB275" s="2">
        <f t="shared" si="61"/>
        <v>8416919.6268051323</v>
      </c>
      <c r="AC275" s="2">
        <f t="shared" si="61"/>
        <v>8100477.9874988934</v>
      </c>
      <c r="AD275" s="2">
        <f t="shared" si="61"/>
        <v>8258698.8071520114</v>
      </c>
      <c r="AE275" s="2">
        <f t="shared" si="61"/>
        <v>8179588.3973254524</v>
      </c>
      <c r="AF275" s="2">
        <f t="shared" si="61"/>
        <v>8219143.6022387315</v>
      </c>
      <c r="AG275" s="2">
        <f t="shared" si="61"/>
        <v>8199365.9997820929</v>
      </c>
    </row>
    <row r="276" spans="1:33" x14ac:dyDescent="0.25">
      <c r="A276" t="s">
        <v>109</v>
      </c>
      <c r="B276">
        <v>6.7567567567567571E-2</v>
      </c>
      <c r="C276" s="2">
        <f>C269*$B$276</f>
        <v>0</v>
      </c>
      <c r="D276" s="2">
        <f t="shared" ref="D276:AG276" si="62">D269*$B$276</f>
        <v>0</v>
      </c>
      <c r="E276" s="2">
        <f t="shared" si="62"/>
        <v>0</v>
      </c>
      <c r="F276" s="2">
        <f t="shared" si="62"/>
        <v>0</v>
      </c>
      <c r="G276" s="2">
        <f t="shared" si="62"/>
        <v>0</v>
      </c>
      <c r="H276" s="2">
        <f t="shared" si="62"/>
        <v>0</v>
      </c>
      <c r="I276" s="2">
        <f t="shared" si="62"/>
        <v>0</v>
      </c>
      <c r="J276" s="2">
        <f t="shared" si="62"/>
        <v>0</v>
      </c>
      <c r="K276" s="2">
        <f t="shared" si="62"/>
        <v>0</v>
      </c>
      <c r="L276" s="2">
        <f t="shared" si="62"/>
        <v>0</v>
      </c>
      <c r="M276" s="2">
        <f t="shared" si="62"/>
        <v>0</v>
      </c>
      <c r="N276" s="2">
        <f t="shared" si="62"/>
        <v>0</v>
      </c>
      <c r="O276" s="2">
        <f t="shared" si="62"/>
        <v>0</v>
      </c>
      <c r="P276" s="2">
        <f t="shared" si="62"/>
        <v>0</v>
      </c>
      <c r="Q276" s="2">
        <f t="shared" si="62"/>
        <v>0</v>
      </c>
      <c r="R276" s="2">
        <f t="shared" si="62"/>
        <v>0</v>
      </c>
      <c r="S276" s="2">
        <f t="shared" si="62"/>
        <v>19512781.437253393</v>
      </c>
      <c r="T276" s="2">
        <f t="shared" si="62"/>
        <v>27917086.960135728</v>
      </c>
      <c r="U276" s="2">
        <f t="shared" si="62"/>
        <v>27702949.805551607</v>
      </c>
      <c r="V276" s="2">
        <f t="shared" si="62"/>
        <v>28205159.919434093</v>
      </c>
      <c r="W276" s="2">
        <f t="shared" si="62"/>
        <v>27110888.78634242</v>
      </c>
      <c r="X276" s="2">
        <f t="shared" si="62"/>
        <v>26659639.583791237</v>
      </c>
      <c r="Y276" s="2">
        <f t="shared" si="62"/>
        <v>28597579.97296878</v>
      </c>
      <c r="Z276" s="2">
        <f t="shared" si="62"/>
        <v>29056226.766423646</v>
      </c>
      <c r="AA276" s="2">
        <f t="shared" si="62"/>
        <v>27978565.605782636</v>
      </c>
      <c r="AB276" s="2">
        <f t="shared" si="62"/>
        <v>28056398.756017111</v>
      </c>
      <c r="AC276" s="2">
        <f t="shared" si="62"/>
        <v>27001593.29166298</v>
      </c>
      <c r="AD276" s="2">
        <f t="shared" si="62"/>
        <v>27528996.023840044</v>
      </c>
      <c r="AE276" s="2">
        <f t="shared" si="62"/>
        <v>27265294.657751512</v>
      </c>
      <c r="AF276" s="2">
        <f t="shared" si="62"/>
        <v>27397145.340795778</v>
      </c>
      <c r="AG276" s="2">
        <f t="shared" si="62"/>
        <v>27331219.999273647</v>
      </c>
    </row>
    <row r="277" spans="1:33" ht="15.75" thickBot="1" x14ac:dyDescent="0.3">
      <c r="A277" t="s">
        <v>110</v>
      </c>
      <c r="B277">
        <v>2.0270270270270268E-2</v>
      </c>
      <c r="C277" s="2">
        <f>C269*$B$277</f>
        <v>0</v>
      </c>
      <c r="D277" s="2">
        <f t="shared" ref="D277:AG277" si="63">D269*$B$277</f>
        <v>0</v>
      </c>
      <c r="E277" s="2">
        <f t="shared" si="63"/>
        <v>0</v>
      </c>
      <c r="F277" s="2">
        <f t="shared" si="63"/>
        <v>0</v>
      </c>
      <c r="G277" s="2">
        <f t="shared" si="63"/>
        <v>0</v>
      </c>
      <c r="H277" s="2">
        <f t="shared" si="63"/>
        <v>0</v>
      </c>
      <c r="I277" s="2">
        <f t="shared" si="63"/>
        <v>0</v>
      </c>
      <c r="J277" s="2">
        <f t="shared" si="63"/>
        <v>0</v>
      </c>
      <c r="K277" s="2">
        <f t="shared" si="63"/>
        <v>0</v>
      </c>
      <c r="L277" s="2">
        <f t="shared" si="63"/>
        <v>0</v>
      </c>
      <c r="M277" s="2">
        <f t="shared" si="63"/>
        <v>0</v>
      </c>
      <c r="N277" s="2">
        <f t="shared" si="63"/>
        <v>0</v>
      </c>
      <c r="O277" s="2">
        <f t="shared" si="63"/>
        <v>0</v>
      </c>
      <c r="P277" s="2">
        <f t="shared" si="63"/>
        <v>0</v>
      </c>
      <c r="Q277" s="2">
        <f t="shared" si="63"/>
        <v>0</v>
      </c>
      <c r="R277" s="2">
        <f t="shared" si="63"/>
        <v>0</v>
      </c>
      <c r="S277" s="2">
        <f t="shared" si="63"/>
        <v>5853834.431176017</v>
      </c>
      <c r="T277" s="2">
        <f t="shared" si="63"/>
        <v>8375126.0880407169</v>
      </c>
      <c r="U277" s="2">
        <f t="shared" si="63"/>
        <v>8310884.9416654808</v>
      </c>
      <c r="V277" s="2">
        <f t="shared" si="63"/>
        <v>8461547.9758302271</v>
      </c>
      <c r="W277" s="2">
        <f t="shared" si="63"/>
        <v>8133266.6359027242</v>
      </c>
      <c r="X277" s="2">
        <f t="shared" si="63"/>
        <v>7997891.8751373701</v>
      </c>
      <c r="Y277" s="2">
        <f t="shared" si="63"/>
        <v>8579273.9918906316</v>
      </c>
      <c r="Z277" s="2">
        <f t="shared" si="63"/>
        <v>8716868.0299270917</v>
      </c>
      <c r="AA277" s="2">
        <f t="shared" si="63"/>
        <v>8393569.6817347892</v>
      </c>
      <c r="AB277" s="2">
        <f t="shared" si="63"/>
        <v>8416919.6268051323</v>
      </c>
      <c r="AC277" s="2">
        <f t="shared" si="63"/>
        <v>8100477.9874988934</v>
      </c>
      <c r="AD277" s="2">
        <f t="shared" si="63"/>
        <v>8258698.8071520114</v>
      </c>
      <c r="AE277" s="2">
        <f t="shared" si="63"/>
        <v>8179588.3973254524</v>
      </c>
      <c r="AF277" s="2">
        <f t="shared" si="63"/>
        <v>8219143.6022387315</v>
      </c>
      <c r="AG277" s="2">
        <f t="shared" si="63"/>
        <v>8199365.9997820929</v>
      </c>
    </row>
    <row r="278" spans="1:33" s="20" customFormat="1" ht="15.75" thickBot="1" x14ac:dyDescent="0.3">
      <c r="A278" s="19" t="s">
        <v>123</v>
      </c>
      <c r="C278" s="20">
        <f>$B226*C219</f>
        <v>0</v>
      </c>
      <c r="D278" s="20">
        <f t="shared" ref="D278:AG278" si="64">$B226*D219</f>
        <v>0</v>
      </c>
      <c r="E278" s="20">
        <f t="shared" si="64"/>
        <v>0</v>
      </c>
      <c r="F278" s="20">
        <f t="shared" si="64"/>
        <v>0</v>
      </c>
      <c r="G278" s="20">
        <f t="shared" si="64"/>
        <v>0</v>
      </c>
      <c r="H278" s="20">
        <f t="shared" si="64"/>
        <v>0</v>
      </c>
      <c r="I278" s="20">
        <f t="shared" si="64"/>
        <v>0</v>
      </c>
      <c r="J278" s="20">
        <f t="shared" si="64"/>
        <v>0</v>
      </c>
      <c r="K278" s="20">
        <f t="shared" si="64"/>
        <v>8492.9684210526339</v>
      </c>
      <c r="L278" s="20">
        <f t="shared" si="64"/>
        <v>13529.605894736844</v>
      </c>
      <c r="M278" s="20">
        <f t="shared" si="64"/>
        <v>6307.051973310884</v>
      </c>
      <c r="N278" s="20">
        <f t="shared" si="64"/>
        <v>13785.83154327792</v>
      </c>
      <c r="O278" s="20">
        <f t="shared" si="64"/>
        <v>54753.650945065521</v>
      </c>
      <c r="P278" s="20">
        <f t="shared" si="64"/>
        <v>163206.84247285913</v>
      </c>
      <c r="Q278" s="20">
        <f t="shared" si="64"/>
        <v>314932.11507194396</v>
      </c>
      <c r="R278" s="20">
        <f t="shared" si="64"/>
        <v>463188.16864553868</v>
      </c>
      <c r="S278" s="20">
        <f t="shared" si="64"/>
        <v>1391091.5439465046</v>
      </c>
      <c r="T278" s="20">
        <f t="shared" si="64"/>
        <v>2239020.75506764</v>
      </c>
      <c r="U278" s="20">
        <f t="shared" si="64"/>
        <v>6263745.028251281</v>
      </c>
      <c r="V278" s="20">
        <f t="shared" si="64"/>
        <v>9248364.4510664716</v>
      </c>
      <c r="W278" s="20">
        <f t="shared" si="64"/>
        <v>10810783.66698347</v>
      </c>
      <c r="X278" s="20">
        <f t="shared" si="64"/>
        <v>17089388.749203499</v>
      </c>
      <c r="Y278" s="20">
        <f t="shared" si="64"/>
        <v>16901851.376106206</v>
      </c>
      <c r="Z278" s="20">
        <f t="shared" si="64"/>
        <v>24713978.951873932</v>
      </c>
      <c r="AA278" s="20">
        <f t="shared" si="64"/>
        <v>65564538.652931139</v>
      </c>
      <c r="AB278" s="20">
        <f t="shared" si="64"/>
        <v>83403544.681806788</v>
      </c>
      <c r="AC278" s="20">
        <f t="shared" si="64"/>
        <v>58233396.360563003</v>
      </c>
      <c r="AD278" s="20">
        <f t="shared" si="64"/>
        <v>38013277.207676649</v>
      </c>
      <c r="AE278" s="20">
        <f t="shared" si="64"/>
        <v>38131590.777497351</v>
      </c>
      <c r="AF278" s="20">
        <f t="shared" si="64"/>
        <v>30357420.180054598</v>
      </c>
      <c r="AG278" s="20">
        <f t="shared" si="64"/>
        <v>31534690.498127222</v>
      </c>
    </row>
    <row r="279" spans="1:33" x14ac:dyDescent="0.25">
      <c r="A279" t="s">
        <v>98</v>
      </c>
      <c r="B279">
        <v>0.78787878787878796</v>
      </c>
      <c r="C279" s="2">
        <f>C278*$B$279</f>
        <v>0</v>
      </c>
      <c r="D279" s="2">
        <f t="shared" ref="D279:AG279" si="65">D278*$B$279</f>
        <v>0</v>
      </c>
      <c r="E279" s="2">
        <f t="shared" si="65"/>
        <v>0</v>
      </c>
      <c r="F279" s="2">
        <f t="shared" si="65"/>
        <v>0</v>
      </c>
      <c r="G279" s="2">
        <f t="shared" si="65"/>
        <v>0</v>
      </c>
      <c r="H279" s="2">
        <f t="shared" si="65"/>
        <v>0</v>
      </c>
      <c r="I279" s="2">
        <f t="shared" si="65"/>
        <v>0</v>
      </c>
      <c r="J279" s="2">
        <f t="shared" si="65"/>
        <v>0</v>
      </c>
      <c r="K279" s="2">
        <f t="shared" si="65"/>
        <v>6691.4296650717724</v>
      </c>
      <c r="L279" s="2">
        <f t="shared" si="65"/>
        <v>10659.689492822969</v>
      </c>
      <c r="M279" s="2">
        <f t="shared" si="65"/>
        <v>4969.1924638206974</v>
      </c>
      <c r="N279" s="2">
        <f t="shared" si="65"/>
        <v>10861.564246218968</v>
      </c>
      <c r="O279" s="2">
        <f t="shared" si="65"/>
        <v>43139.240138536472</v>
      </c>
      <c r="P279" s="2">
        <f t="shared" si="65"/>
        <v>128587.20922104054</v>
      </c>
      <c r="Q279" s="2">
        <f t="shared" si="65"/>
        <v>248128.33308698618</v>
      </c>
      <c r="R279" s="2">
        <f t="shared" si="65"/>
        <v>364936.13287224266</v>
      </c>
      <c r="S279" s="2">
        <f t="shared" si="65"/>
        <v>1096011.5194730037</v>
      </c>
      <c r="T279" s="2">
        <f t="shared" si="65"/>
        <v>1764076.9585381409</v>
      </c>
      <c r="U279" s="2">
        <f t="shared" si="65"/>
        <v>4935071.8404404037</v>
      </c>
      <c r="V279" s="2">
        <f t="shared" si="65"/>
        <v>7286590.1735675242</v>
      </c>
      <c r="W279" s="2">
        <f t="shared" si="65"/>
        <v>8517587.1315627359</v>
      </c>
      <c r="X279" s="2">
        <f t="shared" si="65"/>
        <v>13464366.893311849</v>
      </c>
      <c r="Y279" s="2">
        <f t="shared" si="65"/>
        <v>13316610.175113982</v>
      </c>
      <c r="Z279" s="2">
        <f t="shared" si="65"/>
        <v>19471619.780264311</v>
      </c>
      <c r="AA279" s="2">
        <f t="shared" si="65"/>
        <v>51656909.241703324</v>
      </c>
      <c r="AB279" s="2">
        <f t="shared" si="65"/>
        <v>65711883.688696265</v>
      </c>
      <c r="AC279" s="2">
        <f t="shared" si="65"/>
        <v>45880857.7386254</v>
      </c>
      <c r="AD279" s="2">
        <f t="shared" si="65"/>
        <v>29949854.769684635</v>
      </c>
      <c r="AE279" s="2">
        <f t="shared" si="65"/>
        <v>30043071.521664582</v>
      </c>
      <c r="AF279" s="2">
        <f t="shared" si="65"/>
        <v>23917967.414588474</v>
      </c>
      <c r="AG279" s="2">
        <f t="shared" si="65"/>
        <v>24845513.725797206</v>
      </c>
    </row>
    <row r="280" spans="1:33" x14ac:dyDescent="0.25">
      <c r="A280" s="2" t="s">
        <v>100</v>
      </c>
      <c r="B280" s="2">
        <v>0.1818181818181818</v>
      </c>
      <c r="C280" s="2">
        <f>C278*$B$280</f>
        <v>0</v>
      </c>
      <c r="D280" s="2">
        <f t="shared" ref="D280:AG280" si="66">D278*$B$280</f>
        <v>0</v>
      </c>
      <c r="E280" s="2">
        <f t="shared" si="66"/>
        <v>0</v>
      </c>
      <c r="F280" s="2">
        <f t="shared" si="66"/>
        <v>0</v>
      </c>
      <c r="G280" s="2">
        <f t="shared" si="66"/>
        <v>0</v>
      </c>
      <c r="H280" s="2">
        <f t="shared" si="66"/>
        <v>0</v>
      </c>
      <c r="I280" s="2">
        <f t="shared" si="66"/>
        <v>0</v>
      </c>
      <c r="J280" s="2">
        <f t="shared" si="66"/>
        <v>0</v>
      </c>
      <c r="K280" s="2">
        <f t="shared" si="66"/>
        <v>1544.1760765550241</v>
      </c>
      <c r="L280" s="2">
        <f t="shared" si="66"/>
        <v>2459.9283444976077</v>
      </c>
      <c r="M280" s="2">
        <f t="shared" si="66"/>
        <v>1146.7367224201605</v>
      </c>
      <c r="N280" s="2">
        <f t="shared" si="66"/>
        <v>2506.5148260505307</v>
      </c>
      <c r="O280" s="2">
        <f t="shared" si="66"/>
        <v>9955.2092627391849</v>
      </c>
      <c r="P280" s="2">
        <f t="shared" si="66"/>
        <v>29673.971358701656</v>
      </c>
      <c r="Q280" s="2">
        <f t="shared" si="66"/>
        <v>57260.384558535261</v>
      </c>
      <c r="R280" s="2">
        <f t="shared" si="66"/>
        <v>84216.0306628252</v>
      </c>
      <c r="S280" s="2">
        <f t="shared" si="66"/>
        <v>252925.7352630008</v>
      </c>
      <c r="T280" s="2">
        <f t="shared" si="66"/>
        <v>407094.68273957085</v>
      </c>
      <c r="U280" s="2">
        <f t="shared" si="66"/>
        <v>1138862.7324093236</v>
      </c>
      <c r="V280" s="2">
        <f t="shared" si="66"/>
        <v>1681520.8092848128</v>
      </c>
      <c r="W280" s="2">
        <f t="shared" si="66"/>
        <v>1965597.0303606307</v>
      </c>
      <c r="X280" s="2">
        <f t="shared" si="66"/>
        <v>3107161.590764272</v>
      </c>
      <c r="Y280" s="2">
        <f t="shared" si="66"/>
        <v>3073063.8865647642</v>
      </c>
      <c r="Z280" s="2">
        <f t="shared" si="66"/>
        <v>4493450.7185225328</v>
      </c>
      <c r="AA280" s="2">
        <f t="shared" si="66"/>
        <v>11920825.209623842</v>
      </c>
      <c r="AB280" s="2">
        <f t="shared" si="66"/>
        <v>15164280.851237595</v>
      </c>
      <c r="AC280" s="2">
        <f t="shared" si="66"/>
        <v>10587890.24737509</v>
      </c>
      <c r="AD280" s="2">
        <f t="shared" si="66"/>
        <v>6911504.9468502989</v>
      </c>
      <c r="AE280" s="2">
        <f t="shared" si="66"/>
        <v>6933016.5049995175</v>
      </c>
      <c r="AF280" s="2">
        <f t="shared" si="66"/>
        <v>5519530.9418281084</v>
      </c>
      <c r="AG280" s="2">
        <f t="shared" si="66"/>
        <v>5733580.0905685853</v>
      </c>
    </row>
    <row r="281" spans="1:33" x14ac:dyDescent="0.25">
      <c r="A281" s="2" t="s">
        <v>111</v>
      </c>
      <c r="B281" s="2">
        <v>3.03030303030303E-2</v>
      </c>
      <c r="C281" s="2">
        <f t="shared" ref="C281:AG281" si="67">C278*$B$281</f>
        <v>0</v>
      </c>
      <c r="D281" s="2">
        <f t="shared" si="67"/>
        <v>0</v>
      </c>
      <c r="E281" s="2">
        <f t="shared" si="67"/>
        <v>0</v>
      </c>
      <c r="F281" s="2">
        <f t="shared" si="67"/>
        <v>0</v>
      </c>
      <c r="G281" s="2">
        <f t="shared" si="67"/>
        <v>0</v>
      </c>
      <c r="H281" s="2">
        <f t="shared" si="67"/>
        <v>0</v>
      </c>
      <c r="I281" s="2">
        <f t="shared" si="67"/>
        <v>0</v>
      </c>
      <c r="J281" s="2">
        <f t="shared" si="67"/>
        <v>0</v>
      </c>
      <c r="K281" s="2">
        <f t="shared" si="67"/>
        <v>257.36267942583737</v>
      </c>
      <c r="L281" s="2">
        <f t="shared" si="67"/>
        <v>409.98805741626796</v>
      </c>
      <c r="M281" s="2">
        <f t="shared" si="67"/>
        <v>191.12278707002676</v>
      </c>
      <c r="N281" s="2">
        <f t="shared" si="67"/>
        <v>417.75247100842176</v>
      </c>
      <c r="O281" s="2">
        <f t="shared" si="67"/>
        <v>1659.2015437898642</v>
      </c>
      <c r="P281" s="2">
        <f t="shared" si="67"/>
        <v>4945.6618931169432</v>
      </c>
      <c r="Q281" s="2">
        <f t="shared" si="67"/>
        <v>9543.3974264225435</v>
      </c>
      <c r="R281" s="2">
        <f t="shared" si="67"/>
        <v>14036.005110470867</v>
      </c>
      <c r="S281" s="2">
        <f t="shared" si="67"/>
        <v>42154.289210500137</v>
      </c>
      <c r="T281" s="2">
        <f t="shared" si="67"/>
        <v>67849.11378992848</v>
      </c>
      <c r="U281" s="2">
        <f t="shared" si="67"/>
        <v>189810.45540155395</v>
      </c>
      <c r="V281" s="2">
        <f t="shared" si="67"/>
        <v>280253.4682141355</v>
      </c>
      <c r="W281" s="2">
        <f t="shared" si="67"/>
        <v>327599.50506010512</v>
      </c>
      <c r="X281" s="2">
        <f t="shared" si="67"/>
        <v>517860.26512737875</v>
      </c>
      <c r="Y281" s="2">
        <f t="shared" si="67"/>
        <v>512177.31442746078</v>
      </c>
      <c r="Z281" s="2">
        <f t="shared" si="67"/>
        <v>748908.45308708877</v>
      </c>
      <c r="AA281" s="2">
        <f t="shared" si="67"/>
        <v>1986804.2016039738</v>
      </c>
      <c r="AB281" s="2">
        <f t="shared" si="67"/>
        <v>2527380.1418729327</v>
      </c>
      <c r="AC281" s="2">
        <f t="shared" si="67"/>
        <v>1764648.3745625152</v>
      </c>
      <c r="AD281" s="2">
        <f t="shared" si="67"/>
        <v>1151917.4911417165</v>
      </c>
      <c r="AE281" s="2">
        <f t="shared" si="67"/>
        <v>1155502.7508332529</v>
      </c>
      <c r="AF281" s="2">
        <f t="shared" si="67"/>
        <v>919921.82363801799</v>
      </c>
      <c r="AG281" s="2">
        <f t="shared" si="67"/>
        <v>955596.68176143093</v>
      </c>
    </row>
    <row r="282" spans="1:33" ht="15.75" thickBot="1" x14ac:dyDescent="0.3">
      <c r="A282" s="32" t="s">
        <v>145</v>
      </c>
      <c r="B282" s="2">
        <v>3.0303030303030304E-2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f>AC278*$B$282</f>
        <v>1764648.3745625152</v>
      </c>
      <c r="AD282" s="2">
        <f t="shared" ref="AD282:AG282" si="68">AD278*$B$282</f>
        <v>1151917.4911417167</v>
      </c>
      <c r="AE282" s="2">
        <f t="shared" si="68"/>
        <v>1155502.7508332531</v>
      </c>
      <c r="AF282" s="2">
        <f t="shared" si="68"/>
        <v>919921.8236380181</v>
      </c>
      <c r="AG282" s="2">
        <f t="shared" si="68"/>
        <v>955596.68176143104</v>
      </c>
    </row>
    <row r="283" spans="1:33" s="20" customFormat="1" ht="15.75" thickBot="1" x14ac:dyDescent="0.3">
      <c r="A283" s="19" t="s">
        <v>124</v>
      </c>
      <c r="C283" s="20">
        <f t="shared" ref="C283:AG283" si="69">$B225*C220</f>
        <v>22977633.269298248</v>
      </c>
      <c r="D283" s="20">
        <f t="shared" si="69"/>
        <v>25790697.107324563</v>
      </c>
      <c r="E283" s="20">
        <f t="shared" si="69"/>
        <v>74528478.938209474</v>
      </c>
      <c r="F283" s="20">
        <f t="shared" si="69"/>
        <v>82305659.564322919</v>
      </c>
      <c r="G283" s="20">
        <f t="shared" si="69"/>
        <v>90372067.772089839</v>
      </c>
      <c r="H283" s="20">
        <f t="shared" si="69"/>
        <v>94290261.488411486</v>
      </c>
      <c r="I283" s="20">
        <f t="shared" si="69"/>
        <v>92281643.198060125</v>
      </c>
      <c r="J283" s="20">
        <f t="shared" si="69"/>
        <v>94477398.424237266</v>
      </c>
      <c r="K283" s="20">
        <f t="shared" si="69"/>
        <v>113108184.34837635</v>
      </c>
      <c r="L283" s="20">
        <f t="shared" si="69"/>
        <v>126625327.07085901</v>
      </c>
      <c r="M283" s="20">
        <f t="shared" si="69"/>
        <v>121960080.33810781</v>
      </c>
      <c r="N283" s="20">
        <f t="shared" si="69"/>
        <v>172975627.97461841</v>
      </c>
      <c r="O283" s="20">
        <f t="shared" si="69"/>
        <v>135970414.82088032</v>
      </c>
      <c r="P283" s="20">
        <f t="shared" si="69"/>
        <v>135432243.90849674</v>
      </c>
      <c r="Q283" s="20">
        <f t="shared" si="69"/>
        <v>131673495.1797737</v>
      </c>
      <c r="R283" s="20">
        <f t="shared" si="69"/>
        <v>79698596.504038274</v>
      </c>
      <c r="S283" s="20">
        <f t="shared" si="69"/>
        <v>54602863.874079816</v>
      </c>
      <c r="T283" s="20">
        <f t="shared" si="69"/>
        <v>57270441.237388603</v>
      </c>
      <c r="U283" s="20">
        <f t="shared" si="69"/>
        <v>62588800.720532462</v>
      </c>
      <c r="V283" s="20">
        <f t="shared" si="69"/>
        <v>65887652.718449421</v>
      </c>
      <c r="W283" s="20">
        <f t="shared" si="69"/>
        <v>66301088.320557907</v>
      </c>
      <c r="X283" s="20">
        <f t="shared" si="69"/>
        <v>65452807.358494878</v>
      </c>
      <c r="Y283" s="20">
        <f t="shared" si="69"/>
        <v>73507231.928842098</v>
      </c>
      <c r="Z283" s="20">
        <f t="shared" si="69"/>
        <v>78044591.712610826</v>
      </c>
      <c r="AA283" s="20">
        <f t="shared" si="69"/>
        <v>73530740.276428953</v>
      </c>
      <c r="AB283" s="20">
        <f t="shared" si="69"/>
        <v>72650734.809197366</v>
      </c>
      <c r="AC283" s="20">
        <f t="shared" si="69"/>
        <v>70781675.329460517</v>
      </c>
      <c r="AD283" s="20">
        <f t="shared" si="69"/>
        <v>71699191.767065793</v>
      </c>
      <c r="AE283" s="20">
        <f t="shared" si="69"/>
        <v>70201955.95860526</v>
      </c>
      <c r="AF283" s="20">
        <f t="shared" si="69"/>
        <v>71047043.627855256</v>
      </c>
      <c r="AG283" s="20">
        <f t="shared" si="69"/>
        <v>71451386.809868425</v>
      </c>
    </row>
    <row r="284" spans="1:33" x14ac:dyDescent="0.25">
      <c r="A284" t="s">
        <v>96</v>
      </c>
      <c r="B284">
        <v>0.88732394366197187</v>
      </c>
      <c r="C284" s="2">
        <f>$B$284*C283</f>
        <v>20388604.168532249</v>
      </c>
      <c r="D284" s="2">
        <f t="shared" ref="D284:AG284" si="70">$B$284*D283</f>
        <v>22884703.067062642</v>
      </c>
      <c r="E284" s="2">
        <f t="shared" si="70"/>
        <v>66130903.846580237</v>
      </c>
      <c r="F284" s="2">
        <f t="shared" si="70"/>
        <v>73031782.430314705</v>
      </c>
      <c r="G284" s="2">
        <f t="shared" si="70"/>
        <v>80189299.572417751</v>
      </c>
      <c r="H284" s="2">
        <f t="shared" si="70"/>
        <v>83666006.67281583</v>
      </c>
      <c r="I284" s="2">
        <f t="shared" si="70"/>
        <v>81883711.570109695</v>
      </c>
      <c r="J284" s="2">
        <f t="shared" si="70"/>
        <v>83832057.756717578</v>
      </c>
      <c r="K284" s="2">
        <f t="shared" si="70"/>
        <v>100363600.19644663</v>
      </c>
      <c r="L284" s="2">
        <f t="shared" si="70"/>
        <v>112357684.58400166</v>
      </c>
      <c r="M284" s="2">
        <f t="shared" si="70"/>
        <v>108218099.45494074</v>
      </c>
      <c r="N284" s="2">
        <f t="shared" si="70"/>
        <v>153485416.3718445</v>
      </c>
      <c r="O284" s="2">
        <f t="shared" si="70"/>
        <v>120649804.70021775</v>
      </c>
      <c r="P284" s="2">
        <f t="shared" si="70"/>
        <v>120172272.76387739</v>
      </c>
      <c r="Q284" s="2">
        <f t="shared" si="70"/>
        <v>116837045.01867245</v>
      </c>
      <c r="R284" s="2">
        <f t="shared" si="70"/>
        <v>70718472.954287484</v>
      </c>
      <c r="S284" s="2">
        <f t="shared" si="70"/>
        <v>48450428.507986315</v>
      </c>
      <c r="T284" s="2">
        <f t="shared" si="70"/>
        <v>50817433.774020873</v>
      </c>
      <c r="U284" s="2">
        <f t="shared" si="70"/>
        <v>55536541.484416127</v>
      </c>
      <c r="V284" s="2">
        <f t="shared" si="70"/>
        <v>58463691.848764978</v>
      </c>
      <c r="W284" s="2">
        <f t="shared" si="70"/>
        <v>58830543.157678142</v>
      </c>
      <c r="X284" s="2">
        <f t="shared" si="70"/>
        <v>58077843.149087004</v>
      </c>
      <c r="Y284" s="2">
        <f t="shared" si="70"/>
        <v>65224726.922775388</v>
      </c>
      <c r="Z284" s="2">
        <f t="shared" si="70"/>
        <v>69250834.899922282</v>
      </c>
      <c r="AA284" s="2">
        <f t="shared" si="70"/>
        <v>65245586.442465127</v>
      </c>
      <c r="AB284" s="2">
        <f t="shared" si="70"/>
        <v>64464736.520837106</v>
      </c>
      <c r="AC284" s="2">
        <f t="shared" si="70"/>
        <v>62806275.292338207</v>
      </c>
      <c r="AD284" s="2">
        <f t="shared" si="70"/>
        <v>63620409.596128806</v>
      </c>
      <c r="AE284" s="2">
        <f t="shared" si="70"/>
        <v>62291876.413973682</v>
      </c>
      <c r="AF284" s="2">
        <f t="shared" si="70"/>
        <v>63041742.937392697</v>
      </c>
      <c r="AG284" s="2">
        <f t="shared" si="70"/>
        <v>63400526.324249454</v>
      </c>
    </row>
    <row r="285" spans="1:33" ht="15.75" thickBot="1" x14ac:dyDescent="0.3">
      <c r="A285" s="2" t="s">
        <v>103</v>
      </c>
      <c r="B285">
        <v>0.11267605633802813</v>
      </c>
      <c r="C285" s="2">
        <f>$B$285*C283</f>
        <v>2589029.1007659989</v>
      </c>
      <c r="D285" s="2">
        <f t="shared" ref="D285:AG285" si="71">$B$285*D283</f>
        <v>2905994.0402619215</v>
      </c>
      <c r="E285" s="2">
        <f t="shared" si="71"/>
        <v>8397575.0916292332</v>
      </c>
      <c r="F285" s="2">
        <f t="shared" si="71"/>
        <v>9273877.1340082139</v>
      </c>
      <c r="G285" s="2">
        <f t="shared" si="71"/>
        <v>10182768.199672092</v>
      </c>
      <c r="H285" s="2">
        <f t="shared" si="71"/>
        <v>10624254.815595657</v>
      </c>
      <c r="I285" s="2">
        <f t="shared" si="71"/>
        <v>10397931.627950434</v>
      </c>
      <c r="J285" s="2">
        <f t="shared" si="71"/>
        <v>10645340.667519689</v>
      </c>
      <c r="K285" s="2">
        <f t="shared" si="71"/>
        <v>12744584.151929725</v>
      </c>
      <c r="L285" s="2">
        <f t="shared" si="71"/>
        <v>14267642.486857349</v>
      </c>
      <c r="M285" s="2">
        <f t="shared" si="71"/>
        <v>13741980.883167073</v>
      </c>
      <c r="N285" s="2">
        <f t="shared" si="71"/>
        <v>19490211.602773897</v>
      </c>
      <c r="O285" s="2">
        <f t="shared" si="71"/>
        <v>15320610.120662566</v>
      </c>
      <c r="P285" s="2">
        <f t="shared" si="71"/>
        <v>15259971.144619346</v>
      </c>
      <c r="Q285" s="2">
        <f t="shared" si="71"/>
        <v>14836450.161101257</v>
      </c>
      <c r="R285" s="2">
        <f t="shared" si="71"/>
        <v>8980123.5497507881</v>
      </c>
      <c r="S285" s="2">
        <f t="shared" si="71"/>
        <v>6152435.3660934987</v>
      </c>
      <c r="T285" s="2">
        <f t="shared" si="71"/>
        <v>6453007.4633677276</v>
      </c>
      <c r="U285" s="2">
        <f t="shared" si="71"/>
        <v>7052259.2361163311</v>
      </c>
      <c r="V285" s="2">
        <f t="shared" si="71"/>
        <v>7423960.8696844392</v>
      </c>
      <c r="W285" s="2">
        <f t="shared" si="71"/>
        <v>7470545.1628797613</v>
      </c>
      <c r="X285" s="2">
        <f t="shared" si="71"/>
        <v>7374964.2094078707</v>
      </c>
      <c r="Y285" s="2">
        <f t="shared" si="71"/>
        <v>8282505.0060667126</v>
      </c>
      <c r="Z285" s="2">
        <f t="shared" si="71"/>
        <v>8793756.8126885407</v>
      </c>
      <c r="AA285" s="2">
        <f t="shared" si="71"/>
        <v>8285153.8339638226</v>
      </c>
      <c r="AB285" s="2">
        <f t="shared" si="71"/>
        <v>8185998.2883602642</v>
      </c>
      <c r="AC285" s="2">
        <f t="shared" si="71"/>
        <v>7975400.0371223092</v>
      </c>
      <c r="AD285" s="2">
        <f t="shared" si="71"/>
        <v>8078782.1709369877</v>
      </c>
      <c r="AE285" s="2">
        <f t="shared" si="71"/>
        <v>7910079.5446315762</v>
      </c>
      <c r="AF285" s="2">
        <f t="shared" si="71"/>
        <v>8005300.6904625613</v>
      </c>
      <c r="AG285" s="2">
        <f t="shared" si="71"/>
        <v>8050860.485618975</v>
      </c>
    </row>
    <row r="286" spans="1:33" s="20" customFormat="1" ht="15.75" thickBot="1" x14ac:dyDescent="0.3">
      <c r="A286" s="19" t="s">
        <v>125</v>
      </c>
      <c r="C286" s="21">
        <f t="shared" ref="C286:AC286" si="72">C221</f>
        <v>804259.78947368416</v>
      </c>
      <c r="D286" s="21">
        <f t="shared" si="72"/>
        <v>814409.56736842101</v>
      </c>
      <c r="E286" s="21">
        <f t="shared" si="72"/>
        <v>791281.72789473692</v>
      </c>
      <c r="F286" s="21">
        <f t="shared" si="72"/>
        <v>745679.86605263175</v>
      </c>
      <c r="G286" s="21">
        <f t="shared" si="72"/>
        <v>797608.27776315797</v>
      </c>
      <c r="H286" s="21">
        <f t="shared" si="72"/>
        <v>793505.3601315791</v>
      </c>
      <c r="I286" s="21">
        <f t="shared" si="72"/>
        <v>807322.46184210526</v>
      </c>
      <c r="J286" s="21">
        <f t="shared" si="72"/>
        <v>15497985.037631581</v>
      </c>
      <c r="K286" s="21">
        <f t="shared" si="72"/>
        <v>23015253.727710523</v>
      </c>
      <c r="L286" s="21">
        <f t="shared" si="72"/>
        <v>29554012.882236842</v>
      </c>
      <c r="M286" s="21">
        <f t="shared" si="72"/>
        <v>28143333.279144734</v>
      </c>
      <c r="N286" s="21">
        <f t="shared" si="72"/>
        <v>27963363.659868423</v>
      </c>
      <c r="O286" s="21">
        <f t="shared" si="72"/>
        <v>287270.77894736844</v>
      </c>
      <c r="P286" s="21">
        <f t="shared" si="72"/>
        <v>295912.22842105263</v>
      </c>
      <c r="Q286" s="21">
        <f t="shared" si="72"/>
        <v>313516.50986842107</v>
      </c>
      <c r="R286" s="21">
        <f t="shared" si="72"/>
        <v>300997.51578947366</v>
      </c>
      <c r="S286" s="21">
        <f t="shared" si="72"/>
        <v>430151.70526315796</v>
      </c>
      <c r="T286" s="21">
        <f t="shared" si="72"/>
        <v>1240330.3978947368</v>
      </c>
      <c r="U286" s="21">
        <f t="shared" si="72"/>
        <v>1797781.6965789474</v>
      </c>
      <c r="V286" s="21">
        <f t="shared" si="72"/>
        <v>1041960.3836842106</v>
      </c>
      <c r="W286" s="21">
        <f t="shared" si="72"/>
        <v>903155.61315789458</v>
      </c>
      <c r="X286" s="21">
        <f t="shared" si="72"/>
        <v>927637.83394736843</v>
      </c>
      <c r="Y286" s="21">
        <f t="shared" si="72"/>
        <v>777066.97697368416</v>
      </c>
      <c r="Z286" s="21">
        <f t="shared" si="72"/>
        <v>630153.08855263167</v>
      </c>
      <c r="AA286" s="21">
        <f t="shared" si="72"/>
        <v>3543.6963157894734</v>
      </c>
      <c r="AB286" s="21">
        <f t="shared" si="72"/>
        <v>3783.6457894736841</v>
      </c>
      <c r="AC286" s="21">
        <f t="shared" si="72"/>
        <v>4031.9913157894744</v>
      </c>
      <c r="AD286" s="21">
        <f>AVERAGE(AB286:AC286)</f>
        <v>3907.8185526315792</v>
      </c>
      <c r="AE286" s="21">
        <f t="shared" ref="AE286:AG286" si="73">AVERAGE(AC286:AD286)</f>
        <v>3969.9049342105268</v>
      </c>
      <c r="AF286" s="21">
        <f t="shared" si="73"/>
        <v>3938.8617434210528</v>
      </c>
      <c r="AG286" s="21">
        <f t="shared" si="73"/>
        <v>3954.38333881579</v>
      </c>
    </row>
    <row r="287" spans="1:33" x14ac:dyDescent="0.25">
      <c r="A287" t="s">
        <v>96</v>
      </c>
      <c r="B287" s="2">
        <v>0.69230769230769229</v>
      </c>
      <c r="C287" s="2">
        <f>C286*$B$287</f>
        <v>556795.23886639671</v>
      </c>
      <c r="D287" s="2">
        <f t="shared" ref="D287:AG287" si="74">D286*$B$287</f>
        <v>563822.00817813759</v>
      </c>
      <c r="E287" s="2">
        <f t="shared" si="74"/>
        <v>547810.4270040486</v>
      </c>
      <c r="F287" s="2">
        <f t="shared" si="74"/>
        <v>516239.90726720658</v>
      </c>
      <c r="G287" s="2">
        <f t="shared" si="74"/>
        <v>552190.34614372475</v>
      </c>
      <c r="H287" s="2">
        <f t="shared" si="74"/>
        <v>549349.86470647785</v>
      </c>
      <c r="I287" s="2">
        <f t="shared" si="74"/>
        <v>558915.55050607282</v>
      </c>
      <c r="J287" s="2">
        <f t="shared" si="74"/>
        <v>10729374.256821863</v>
      </c>
      <c r="K287" s="2">
        <f t="shared" si="74"/>
        <v>15933637.196107285</v>
      </c>
      <c r="L287" s="2">
        <f t="shared" si="74"/>
        <v>20460470.456933197</v>
      </c>
      <c r="M287" s="2">
        <f t="shared" si="74"/>
        <v>19483846.11633097</v>
      </c>
      <c r="N287" s="2">
        <f t="shared" si="74"/>
        <v>19359251.764524292</v>
      </c>
      <c r="O287" s="2">
        <f t="shared" si="74"/>
        <v>198879.77004048583</v>
      </c>
      <c r="P287" s="2">
        <f t="shared" si="74"/>
        <v>204862.31198380567</v>
      </c>
      <c r="Q287" s="2">
        <f t="shared" si="74"/>
        <v>217049.89144736843</v>
      </c>
      <c r="R287" s="2">
        <f t="shared" si="74"/>
        <v>208382.89554655869</v>
      </c>
      <c r="S287" s="2">
        <f t="shared" si="74"/>
        <v>297797.3344129555</v>
      </c>
      <c r="T287" s="2">
        <f t="shared" si="74"/>
        <v>858690.27546558704</v>
      </c>
      <c r="U287" s="2">
        <f t="shared" si="74"/>
        <v>1244618.0976315788</v>
      </c>
      <c r="V287" s="2">
        <f t="shared" si="74"/>
        <v>721357.18870445353</v>
      </c>
      <c r="W287" s="2">
        <f t="shared" si="74"/>
        <v>625261.5783400808</v>
      </c>
      <c r="X287" s="2">
        <f t="shared" si="74"/>
        <v>642210.80811740889</v>
      </c>
      <c r="Y287" s="2">
        <f t="shared" si="74"/>
        <v>537969.44559716596</v>
      </c>
      <c r="Z287" s="2">
        <f t="shared" si="74"/>
        <v>436259.83053643728</v>
      </c>
      <c r="AA287" s="2">
        <f t="shared" si="74"/>
        <v>2453.3282186234815</v>
      </c>
      <c r="AB287" s="2">
        <f t="shared" si="74"/>
        <v>2619.4470850202429</v>
      </c>
      <c r="AC287" s="2">
        <f t="shared" si="74"/>
        <v>2791.3786032388666</v>
      </c>
      <c r="AD287" s="2">
        <f t="shared" si="74"/>
        <v>2705.4128441295547</v>
      </c>
      <c r="AE287" s="2">
        <f t="shared" si="74"/>
        <v>2748.3957236842107</v>
      </c>
      <c r="AF287" s="2">
        <f t="shared" si="74"/>
        <v>2726.9042839068825</v>
      </c>
      <c r="AG287" s="2">
        <f t="shared" si="74"/>
        <v>2737.650003795547</v>
      </c>
    </row>
    <row r="288" spans="1:33" x14ac:dyDescent="0.25">
      <c r="A288" t="s">
        <v>101</v>
      </c>
      <c r="B288" s="2">
        <v>0.27472527472527469</v>
      </c>
      <c r="C288" s="2">
        <f>C286*$B$288</f>
        <v>220950.49161364947</v>
      </c>
      <c r="D288" s="2">
        <f t="shared" ref="D288:AG288" si="75">D286*$B$288</f>
        <v>223738.89213418157</v>
      </c>
      <c r="E288" s="2">
        <f t="shared" si="75"/>
        <v>217385.09008097165</v>
      </c>
      <c r="F288" s="2">
        <f t="shared" si="75"/>
        <v>204857.10605841529</v>
      </c>
      <c r="G288" s="2">
        <f t="shared" si="75"/>
        <v>219123.15323163677</v>
      </c>
      <c r="H288" s="2">
        <f t="shared" si="75"/>
        <v>217995.97805812611</v>
      </c>
      <c r="I288" s="2">
        <f t="shared" si="75"/>
        <v>221791.88512145745</v>
      </c>
      <c r="J288" s="2">
        <f t="shared" si="75"/>
        <v>4257688.1971515324</v>
      </c>
      <c r="K288" s="2">
        <f t="shared" si="75"/>
        <v>6322871.903217176</v>
      </c>
      <c r="L288" s="2">
        <f t="shared" si="75"/>
        <v>8119234.3083068235</v>
      </c>
      <c r="M288" s="2">
        <f t="shared" si="75"/>
        <v>7731684.9667980028</v>
      </c>
      <c r="N288" s="2">
        <f t="shared" si="75"/>
        <v>7682242.7637001155</v>
      </c>
      <c r="O288" s="2">
        <f t="shared" si="75"/>
        <v>78920.543666859448</v>
      </c>
      <c r="P288" s="2">
        <f t="shared" si="75"/>
        <v>81294.568247541916</v>
      </c>
      <c r="Q288" s="2">
        <f t="shared" si="75"/>
        <v>86130.909304511268</v>
      </c>
      <c r="R288" s="2">
        <f t="shared" si="75"/>
        <v>82691.625216888366</v>
      </c>
      <c r="S288" s="2">
        <f t="shared" si="75"/>
        <v>118173.54540196646</v>
      </c>
      <c r="T288" s="2">
        <f t="shared" si="75"/>
        <v>340750.10931174085</v>
      </c>
      <c r="U288" s="2">
        <f t="shared" si="75"/>
        <v>493896.07048872177</v>
      </c>
      <c r="V288" s="2">
        <f t="shared" si="75"/>
        <v>286252.85266049736</v>
      </c>
      <c r="W288" s="2">
        <f t="shared" si="75"/>
        <v>248119.6739444765</v>
      </c>
      <c r="X288" s="2">
        <f t="shared" si="75"/>
        <v>254845.55877674953</v>
      </c>
      <c r="Y288" s="2">
        <f t="shared" si="75"/>
        <v>213479.9387290341</v>
      </c>
      <c r="Z288" s="2">
        <f t="shared" si="75"/>
        <v>173118.98037160208</v>
      </c>
      <c r="AA288" s="2">
        <f t="shared" si="75"/>
        <v>973.54294389820689</v>
      </c>
      <c r="AB288" s="2">
        <f t="shared" si="75"/>
        <v>1039.4631289762867</v>
      </c>
      <c r="AC288" s="2">
        <f t="shared" si="75"/>
        <v>1107.689921920185</v>
      </c>
      <c r="AD288" s="2">
        <f t="shared" si="75"/>
        <v>1073.576525448236</v>
      </c>
      <c r="AE288" s="2">
        <f t="shared" si="75"/>
        <v>1090.6332236842106</v>
      </c>
      <c r="AF288" s="2">
        <f t="shared" si="75"/>
        <v>1082.1048745662231</v>
      </c>
      <c r="AG288" s="2">
        <f t="shared" si="75"/>
        <v>1086.3690491252169</v>
      </c>
    </row>
    <row r="289" spans="1:33" ht="15.75" thickBot="1" x14ac:dyDescent="0.3">
      <c r="A289" s="2" t="s">
        <v>112</v>
      </c>
      <c r="B289" s="2">
        <v>3.2967032967032961E-2</v>
      </c>
      <c r="C289" s="2">
        <f>C286*$B$289</f>
        <v>26514.058993637933</v>
      </c>
      <c r="D289" s="2">
        <f t="shared" ref="D289:AG289" si="76">D286*$B$289</f>
        <v>26848.667056101785</v>
      </c>
      <c r="E289" s="2">
        <f t="shared" si="76"/>
        <v>26086.210809716598</v>
      </c>
      <c r="F289" s="2">
        <f t="shared" si="76"/>
        <v>24582.852727009835</v>
      </c>
      <c r="G289" s="2">
        <f t="shared" si="76"/>
        <v>26294.77838779641</v>
      </c>
      <c r="H289" s="2">
        <f t="shared" si="76"/>
        <v>26159.517366975131</v>
      </c>
      <c r="I289" s="2">
        <f t="shared" si="76"/>
        <v>26615.026214574893</v>
      </c>
      <c r="J289" s="2">
        <f t="shared" si="76"/>
        <v>510922.58365818387</v>
      </c>
      <c r="K289" s="2">
        <f t="shared" si="76"/>
        <v>758744.62838606106</v>
      </c>
      <c r="L289" s="2">
        <f t="shared" si="76"/>
        <v>974308.1169968188</v>
      </c>
      <c r="M289" s="2">
        <f t="shared" si="76"/>
        <v>927802.1960157603</v>
      </c>
      <c r="N289" s="2">
        <f t="shared" si="76"/>
        <v>921869.1316440138</v>
      </c>
      <c r="O289" s="2">
        <f t="shared" si="76"/>
        <v>9470.4652400231334</v>
      </c>
      <c r="P289" s="2">
        <f t="shared" si="76"/>
        <v>9755.3481897050297</v>
      </c>
      <c r="Q289" s="2">
        <f t="shared" si="76"/>
        <v>10335.709116541351</v>
      </c>
      <c r="R289" s="2">
        <f t="shared" si="76"/>
        <v>9922.9950260266032</v>
      </c>
      <c r="S289" s="2">
        <f t="shared" si="76"/>
        <v>14180.825448235973</v>
      </c>
      <c r="T289" s="2">
        <f t="shared" si="76"/>
        <v>40890.013117408897</v>
      </c>
      <c r="U289" s="2">
        <f t="shared" si="76"/>
        <v>59267.528458646608</v>
      </c>
      <c r="V289" s="2">
        <f t="shared" si="76"/>
        <v>34350.342319259682</v>
      </c>
      <c r="W289" s="2">
        <f t="shared" si="76"/>
        <v>29774.360873337177</v>
      </c>
      <c r="X289" s="2">
        <f t="shared" si="76"/>
        <v>30581.467053209944</v>
      </c>
      <c r="Y289" s="2">
        <f t="shared" si="76"/>
        <v>25617.592647484089</v>
      </c>
      <c r="Z289" s="2">
        <f t="shared" si="76"/>
        <v>20774.27764459225</v>
      </c>
      <c r="AA289" s="2">
        <f t="shared" si="76"/>
        <v>116.82515326778481</v>
      </c>
      <c r="AB289" s="2">
        <f t="shared" si="76"/>
        <v>124.7355754771544</v>
      </c>
      <c r="AC289" s="2">
        <f t="shared" si="76"/>
        <v>132.92279063042221</v>
      </c>
      <c r="AD289" s="2">
        <f t="shared" si="76"/>
        <v>128.82918305378831</v>
      </c>
      <c r="AE289" s="2">
        <f t="shared" si="76"/>
        <v>130.87598684210525</v>
      </c>
      <c r="AF289" s="2">
        <f t="shared" si="76"/>
        <v>129.85258494794678</v>
      </c>
      <c r="AG289" s="2">
        <f t="shared" si="76"/>
        <v>130.36428589502603</v>
      </c>
    </row>
    <row r="290" spans="1:33" s="26" customFormat="1" ht="15.75" thickBot="1" x14ac:dyDescent="0.3">
      <c r="A290" s="25" t="s">
        <v>83</v>
      </c>
      <c r="C290" s="27">
        <f t="shared" ref="C290:AG290" si="77">C222*$B$226</f>
        <v>0</v>
      </c>
      <c r="D290" s="27">
        <f t="shared" si="77"/>
        <v>0</v>
      </c>
      <c r="E290" s="27">
        <f t="shared" si="77"/>
        <v>0</v>
      </c>
      <c r="F290" s="27">
        <f t="shared" si="77"/>
        <v>0</v>
      </c>
      <c r="G290" s="27">
        <f t="shared" si="77"/>
        <v>0</v>
      </c>
      <c r="H290" s="27">
        <f t="shared" si="77"/>
        <v>0</v>
      </c>
      <c r="I290" s="27">
        <f t="shared" si="77"/>
        <v>2726906.2863157899</v>
      </c>
      <c r="J290" s="27">
        <f t="shared" si="77"/>
        <v>6982736.0920578958</v>
      </c>
      <c r="K290" s="27">
        <f t="shared" si="77"/>
        <v>1391270.7722605264</v>
      </c>
      <c r="L290" s="27">
        <f t="shared" si="77"/>
        <v>3906719.7085421062</v>
      </c>
      <c r="M290" s="27">
        <f t="shared" si="77"/>
        <v>3158218.1567605264</v>
      </c>
      <c r="N290" s="27">
        <f t="shared" si="77"/>
        <v>5340618.692857895</v>
      </c>
      <c r="O290" s="27">
        <f t="shared" si="77"/>
        <v>10594160.103236843</v>
      </c>
      <c r="P290" s="27">
        <f t="shared" si="77"/>
        <v>19111559.236497637</v>
      </c>
      <c r="Q290" s="27">
        <f t="shared" si="77"/>
        <v>31627006.773100667</v>
      </c>
      <c r="R290" s="27">
        <f t="shared" si="77"/>
        <v>40047992.528240137</v>
      </c>
      <c r="S290" s="27">
        <f t="shared" si="77"/>
        <v>49807731.391002625</v>
      </c>
      <c r="T290" s="27">
        <f t="shared" si="77"/>
        <v>59998083.181180671</v>
      </c>
      <c r="U290" s="27">
        <f t="shared" si="77"/>
        <v>83783618.322586983</v>
      </c>
      <c r="V290" s="27">
        <f t="shared" si="77"/>
        <v>113873099.70590834</v>
      </c>
      <c r="W290" s="27">
        <f t="shared" si="77"/>
        <v>128035181.23244892</v>
      </c>
      <c r="X290" s="27">
        <f t="shared" si="77"/>
        <v>128231103.03100766</v>
      </c>
      <c r="Y290" s="27">
        <f t="shared" si="77"/>
        <v>149779874.46255931</v>
      </c>
      <c r="Z290" s="27">
        <f t="shared" si="77"/>
        <v>156376255.86047167</v>
      </c>
      <c r="AA290" s="27">
        <f t="shared" si="77"/>
        <v>167695532.9248164</v>
      </c>
      <c r="AB290" s="27">
        <f t="shared" si="77"/>
        <v>177901458.8585726</v>
      </c>
      <c r="AC290" s="27">
        <f t="shared" si="77"/>
        <v>185087093.96972051</v>
      </c>
      <c r="AD290" s="27">
        <f t="shared" si="77"/>
        <v>188597559.99176079</v>
      </c>
      <c r="AE290" s="27">
        <f t="shared" si="77"/>
        <v>186619995.0985921</v>
      </c>
      <c r="AF290" s="27">
        <f t="shared" si="77"/>
        <v>188645659.03682899</v>
      </c>
      <c r="AG290" s="27">
        <f t="shared" si="77"/>
        <v>190622554.0397763</v>
      </c>
    </row>
    <row r="291" spans="1:33" x14ac:dyDescent="0.25">
      <c r="A291" s="2" t="s">
        <v>96</v>
      </c>
      <c r="B291" s="2">
        <v>0.63636363636363646</v>
      </c>
      <c r="C291" s="8">
        <f>C290*$B$291</f>
        <v>0</v>
      </c>
      <c r="D291" s="8">
        <f t="shared" ref="D291:AG291" si="78">D290*$B$291</f>
        <v>0</v>
      </c>
      <c r="E291" s="8">
        <f t="shared" si="78"/>
        <v>0</v>
      </c>
      <c r="F291" s="8">
        <f t="shared" si="78"/>
        <v>0</v>
      </c>
      <c r="G291" s="8">
        <f t="shared" si="78"/>
        <v>0</v>
      </c>
      <c r="H291" s="8">
        <f t="shared" si="78"/>
        <v>0</v>
      </c>
      <c r="I291" s="8">
        <f t="shared" si="78"/>
        <v>1735304.0003827757</v>
      </c>
      <c r="J291" s="8">
        <f t="shared" si="78"/>
        <v>4443559.3313095709</v>
      </c>
      <c r="K291" s="8">
        <f t="shared" si="78"/>
        <v>885354.12780215335</v>
      </c>
      <c r="L291" s="8">
        <f t="shared" si="78"/>
        <v>2486094.3599813408</v>
      </c>
      <c r="M291" s="8">
        <f t="shared" si="78"/>
        <v>2009775.1906657899</v>
      </c>
      <c r="N291" s="8">
        <f t="shared" si="78"/>
        <v>3398575.5318186609</v>
      </c>
      <c r="O291" s="8">
        <f t="shared" si="78"/>
        <v>6741738.2475143559</v>
      </c>
      <c r="P291" s="8">
        <f t="shared" si="78"/>
        <v>12161901.33231668</v>
      </c>
      <c r="Q291" s="8">
        <f t="shared" si="78"/>
        <v>20126277.037427701</v>
      </c>
      <c r="R291" s="8">
        <f t="shared" si="78"/>
        <v>25485086.154334638</v>
      </c>
      <c r="S291" s="8">
        <f t="shared" si="78"/>
        <v>31695829.067001674</v>
      </c>
      <c r="T291" s="8">
        <f t="shared" si="78"/>
        <v>38180598.388024069</v>
      </c>
      <c r="U291" s="8">
        <f t="shared" si="78"/>
        <v>53316848.023464449</v>
      </c>
      <c r="V291" s="8">
        <f t="shared" si="78"/>
        <v>72464699.812850773</v>
      </c>
      <c r="W291" s="8">
        <f t="shared" si="78"/>
        <v>81476933.511558414</v>
      </c>
      <c r="X291" s="8">
        <f t="shared" si="78"/>
        <v>81601611.019732162</v>
      </c>
      <c r="Y291" s="8">
        <f t="shared" si="78"/>
        <v>95314465.56708321</v>
      </c>
      <c r="Z291" s="8">
        <f t="shared" si="78"/>
        <v>99512162.820300162</v>
      </c>
      <c r="AA291" s="8">
        <f t="shared" si="78"/>
        <v>106715339.13397409</v>
      </c>
      <c r="AB291" s="8">
        <f t="shared" si="78"/>
        <v>113210019.27363713</v>
      </c>
      <c r="AC291" s="8">
        <f t="shared" si="78"/>
        <v>117782696.16254944</v>
      </c>
      <c r="AD291" s="8">
        <f t="shared" si="78"/>
        <v>120016629.08566597</v>
      </c>
      <c r="AE291" s="8">
        <f t="shared" si="78"/>
        <v>118758178.69910409</v>
      </c>
      <c r="AF291" s="8">
        <f t="shared" si="78"/>
        <v>120047237.5688912</v>
      </c>
      <c r="AG291" s="8">
        <f t="shared" si="78"/>
        <v>121305261.66167584</v>
      </c>
    </row>
    <row r="292" spans="1:33" x14ac:dyDescent="0.25">
      <c r="A292" s="2" t="s">
        <v>109</v>
      </c>
      <c r="B292" s="2">
        <v>7.3089700996677734E-2</v>
      </c>
      <c r="C292" s="8">
        <f>C290*$B$292</f>
        <v>0</v>
      </c>
      <c r="D292" s="8">
        <f t="shared" ref="D292:AG292" si="79">D290*$B$292</f>
        <v>0</v>
      </c>
      <c r="E292" s="8">
        <f t="shared" si="79"/>
        <v>0</v>
      </c>
      <c r="F292" s="8">
        <f t="shared" si="79"/>
        <v>0</v>
      </c>
      <c r="G292" s="8">
        <f t="shared" si="79"/>
        <v>0</v>
      </c>
      <c r="H292" s="8">
        <f t="shared" si="79"/>
        <v>0</v>
      </c>
      <c r="I292" s="8">
        <f t="shared" si="79"/>
        <v>199308.76511278196</v>
      </c>
      <c r="J292" s="8">
        <f t="shared" si="79"/>
        <v>510366.09310722159</v>
      </c>
      <c r="K292" s="8">
        <f t="shared" si="79"/>
        <v>101687.5647499388</v>
      </c>
      <c r="L292" s="8">
        <f t="shared" si="79"/>
        <v>285540.97537517053</v>
      </c>
      <c r="M292" s="8">
        <f t="shared" si="79"/>
        <v>230833.22075990555</v>
      </c>
      <c r="N292" s="8">
        <f t="shared" si="79"/>
        <v>390344.2233982514</v>
      </c>
      <c r="O292" s="8">
        <f t="shared" si="79"/>
        <v>774323.99425651331</v>
      </c>
      <c r="P292" s="8">
        <f t="shared" si="79"/>
        <v>1396858.150175907</v>
      </c>
      <c r="Q292" s="8">
        <f t="shared" si="79"/>
        <v>2311608.4684658293</v>
      </c>
      <c r="R292" s="8">
        <f t="shared" si="79"/>
        <v>2927095.7994062556</v>
      </c>
      <c r="S292" s="8">
        <f t="shared" si="79"/>
        <v>3640432.1946912212</v>
      </c>
      <c r="T292" s="8">
        <f t="shared" si="79"/>
        <v>4385241.9600862944</v>
      </c>
      <c r="U292" s="8">
        <f t="shared" si="79"/>
        <v>6123719.6116176527</v>
      </c>
      <c r="V292" s="8">
        <f t="shared" si="79"/>
        <v>8322950.8090697117</v>
      </c>
      <c r="W292" s="8">
        <f t="shared" si="79"/>
        <v>9358053.1133351363</v>
      </c>
      <c r="X292" s="8">
        <f t="shared" si="79"/>
        <v>9372372.9790105261</v>
      </c>
      <c r="Y292" s="8">
        <f t="shared" si="79"/>
        <v>10947366.239788387</v>
      </c>
      <c r="Z292" s="8">
        <f t="shared" si="79"/>
        <v>11429493.783821849</v>
      </c>
      <c r="AA292" s="8">
        <f t="shared" si="79"/>
        <v>12256816.359953357</v>
      </c>
      <c r="AB292" s="8">
        <f t="shared" si="79"/>
        <v>13002764.434845837</v>
      </c>
      <c r="AC292" s="8">
        <f t="shared" si="79"/>
        <v>13527960.356590867</v>
      </c>
      <c r="AD292" s="8">
        <f t="shared" si="79"/>
        <v>13784539.268500788</v>
      </c>
      <c r="AE292" s="8">
        <f t="shared" si="79"/>
        <v>13639999.641757561</v>
      </c>
      <c r="AF292" s="8">
        <f t="shared" si="79"/>
        <v>13788054.813323049</v>
      </c>
      <c r="AG292" s="8">
        <f t="shared" si="79"/>
        <v>13932545.477990292</v>
      </c>
    </row>
    <row r="293" spans="1:33" ht="15.75" thickBot="1" x14ac:dyDescent="0.3">
      <c r="A293" s="2" t="s">
        <v>98</v>
      </c>
      <c r="B293" s="2">
        <v>0.26262626262626265</v>
      </c>
      <c r="C293" s="8">
        <f>C290*$B$293</f>
        <v>0</v>
      </c>
      <c r="D293" s="8">
        <f t="shared" ref="D293:AG293" si="80">D290*$B$293</f>
        <v>0</v>
      </c>
      <c r="E293" s="8">
        <f t="shared" si="80"/>
        <v>0</v>
      </c>
      <c r="F293" s="8">
        <f t="shared" si="80"/>
        <v>0</v>
      </c>
      <c r="G293" s="8">
        <f t="shared" si="80"/>
        <v>0</v>
      </c>
      <c r="H293" s="8">
        <f t="shared" si="80"/>
        <v>0</v>
      </c>
      <c r="I293" s="8">
        <f t="shared" si="80"/>
        <v>716157.20650717721</v>
      </c>
      <c r="J293" s="8">
        <f t="shared" si="80"/>
        <v>1833849.8827626798</v>
      </c>
      <c r="K293" s="8">
        <f t="shared" si="80"/>
        <v>365384.24321993627</v>
      </c>
      <c r="L293" s="8">
        <f t="shared" si="80"/>
        <v>1026007.1961827754</v>
      </c>
      <c r="M293" s="8">
        <f t="shared" si="80"/>
        <v>829431.0310684212</v>
      </c>
      <c r="N293" s="8">
        <f t="shared" si="80"/>
        <v>1402586.727417225</v>
      </c>
      <c r="O293" s="8">
        <f t="shared" si="80"/>
        <v>2782304.6735773529</v>
      </c>
      <c r="P293" s="8">
        <f t="shared" si="80"/>
        <v>5019197.3752418039</v>
      </c>
      <c r="Q293" s="8">
        <f t="shared" si="80"/>
        <v>8306082.5868749237</v>
      </c>
      <c r="R293" s="8">
        <f t="shared" si="80"/>
        <v>10517654.603376199</v>
      </c>
      <c r="S293" s="8">
        <f t="shared" si="80"/>
        <v>13080818.345111802</v>
      </c>
      <c r="T293" s="8">
        <f t="shared" si="80"/>
        <v>15757072.350613108</v>
      </c>
      <c r="U293" s="8">
        <f t="shared" si="80"/>
        <v>22003778.54936628</v>
      </c>
      <c r="V293" s="8">
        <f t="shared" si="80"/>
        <v>29906066.589430477</v>
      </c>
      <c r="W293" s="8">
        <f t="shared" si="80"/>
        <v>33625401.131754264</v>
      </c>
      <c r="X293" s="8">
        <f t="shared" si="80"/>
        <v>33676855.341476761</v>
      </c>
      <c r="Y293" s="8">
        <f t="shared" si="80"/>
        <v>39336128.646732755</v>
      </c>
      <c r="Z293" s="8">
        <f t="shared" si="80"/>
        <v>41068511.640123874</v>
      </c>
      <c r="AA293" s="8">
        <f t="shared" si="80"/>
        <v>44041251.071163908</v>
      </c>
      <c r="AB293" s="8">
        <f t="shared" si="80"/>
        <v>46721595.255786747</v>
      </c>
      <c r="AC293" s="8">
        <f t="shared" si="80"/>
        <v>48608731.749623574</v>
      </c>
      <c r="AD293" s="8">
        <f t="shared" si="80"/>
        <v>49530672.321068496</v>
      </c>
      <c r="AE293" s="8">
        <f t="shared" si="80"/>
        <v>49011311.844074696</v>
      </c>
      <c r="AF293" s="8">
        <f t="shared" si="80"/>
        <v>49543304.393510647</v>
      </c>
      <c r="AG293" s="8">
        <f t="shared" si="80"/>
        <v>50062488.939739235</v>
      </c>
    </row>
    <row r="294" spans="1:33" s="26" customFormat="1" ht="15.75" thickBot="1" x14ac:dyDescent="0.3">
      <c r="A294" s="25" t="s">
        <v>141</v>
      </c>
      <c r="C294" s="27">
        <f t="shared" ref="C294:AG294" si="81">C223*$B$225</f>
        <v>0</v>
      </c>
      <c r="D294" s="27">
        <f t="shared" si="81"/>
        <v>0</v>
      </c>
      <c r="E294" s="27">
        <f t="shared" si="81"/>
        <v>0</v>
      </c>
      <c r="F294" s="27">
        <f t="shared" si="81"/>
        <v>0</v>
      </c>
      <c r="G294" s="27">
        <f t="shared" si="81"/>
        <v>0</v>
      </c>
      <c r="H294" s="27">
        <f t="shared" si="81"/>
        <v>0</v>
      </c>
      <c r="I294" s="27">
        <f t="shared" si="81"/>
        <v>0</v>
      </c>
      <c r="J294" s="27">
        <f t="shared" si="81"/>
        <v>0</v>
      </c>
      <c r="K294" s="27">
        <f t="shared" si="81"/>
        <v>6930.694736842107</v>
      </c>
      <c r="L294" s="27">
        <f t="shared" si="81"/>
        <v>1888576.667915222</v>
      </c>
      <c r="M294" s="27">
        <f t="shared" si="81"/>
        <v>1737490.0510733631</v>
      </c>
      <c r="N294" s="27">
        <f t="shared" si="81"/>
        <v>10260276.193137994</v>
      </c>
      <c r="O294" s="27">
        <f t="shared" si="81"/>
        <v>25462369.960992083</v>
      </c>
      <c r="P294" s="27">
        <f t="shared" si="81"/>
        <v>45287016.999522917</v>
      </c>
      <c r="Q294" s="27">
        <f t="shared" si="81"/>
        <v>72844350.00487785</v>
      </c>
      <c r="R294" s="27">
        <f t="shared" si="81"/>
        <v>98732022.3340431</v>
      </c>
      <c r="S294" s="27">
        <f t="shared" si="81"/>
        <v>118364379.48980543</v>
      </c>
      <c r="T294" s="27">
        <f t="shared" si="81"/>
        <v>140059942.83472636</v>
      </c>
      <c r="U294" s="27">
        <f t="shared" si="81"/>
        <v>150181753.04222625</v>
      </c>
      <c r="V294" s="27">
        <f t="shared" si="81"/>
        <v>160118755.327104</v>
      </c>
      <c r="W294" s="27">
        <f t="shared" si="81"/>
        <v>155993015.96107277</v>
      </c>
      <c r="X294" s="27">
        <f t="shared" si="81"/>
        <v>176880256.33290988</v>
      </c>
      <c r="Y294" s="27">
        <f t="shared" si="81"/>
        <v>205695706.20549178</v>
      </c>
      <c r="Z294" s="27">
        <f t="shared" si="81"/>
        <v>230082012.48636305</v>
      </c>
      <c r="AA294" s="27">
        <f t="shared" si="81"/>
        <v>226532296.39728108</v>
      </c>
      <c r="AB294" s="27">
        <f t="shared" si="81"/>
        <v>243098535.28306717</v>
      </c>
      <c r="AC294" s="27">
        <f t="shared" si="81"/>
        <v>241017239.88728777</v>
      </c>
      <c r="AD294" s="27">
        <f t="shared" si="81"/>
        <v>244498228.04704562</v>
      </c>
      <c r="AE294" s="27">
        <f t="shared" si="81"/>
        <v>239069128.65535399</v>
      </c>
      <c r="AF294" s="27">
        <f t="shared" si="81"/>
        <v>240641027.85264641</v>
      </c>
      <c r="AG294" s="27">
        <f t="shared" si="81"/>
        <v>242257676.2505697</v>
      </c>
    </row>
    <row r="295" spans="1:33" x14ac:dyDescent="0.25">
      <c r="A295" s="2" t="s">
        <v>96</v>
      </c>
      <c r="B295" s="2">
        <v>0.68478260869565211</v>
      </c>
      <c r="C295" s="8">
        <f>C294*$B$295</f>
        <v>0</v>
      </c>
      <c r="D295" s="8">
        <f t="shared" ref="D295:AG295" si="82">D294*$B$295</f>
        <v>0</v>
      </c>
      <c r="E295" s="8">
        <f t="shared" si="82"/>
        <v>0</v>
      </c>
      <c r="F295" s="8">
        <f t="shared" si="82"/>
        <v>0</v>
      </c>
      <c r="G295" s="8">
        <f t="shared" si="82"/>
        <v>0</v>
      </c>
      <c r="H295" s="8">
        <f t="shared" si="82"/>
        <v>0</v>
      </c>
      <c r="I295" s="8">
        <f t="shared" si="82"/>
        <v>0</v>
      </c>
      <c r="J295" s="8">
        <f t="shared" si="82"/>
        <v>0</v>
      </c>
      <c r="K295" s="8">
        <f t="shared" si="82"/>
        <v>4746.0192219679639</v>
      </c>
      <c r="L295" s="8">
        <f t="shared" si="82"/>
        <v>1293264.4573767281</v>
      </c>
      <c r="M295" s="8">
        <f t="shared" si="82"/>
        <v>1189802.9697567595</v>
      </c>
      <c r="N295" s="8">
        <f t="shared" si="82"/>
        <v>7026058.6974749304</v>
      </c>
      <c r="O295" s="8">
        <f t="shared" si="82"/>
        <v>17436188.12546197</v>
      </c>
      <c r="P295" s="8">
        <f t="shared" si="82"/>
        <v>31011761.640977647</v>
      </c>
      <c r="Q295" s="8">
        <f t="shared" si="82"/>
        <v>49882544.025079392</v>
      </c>
      <c r="R295" s="8">
        <f t="shared" si="82"/>
        <v>67609971.815703422</v>
      </c>
      <c r="S295" s="8">
        <f t="shared" si="82"/>
        <v>81053868.563671097</v>
      </c>
      <c r="T295" s="8">
        <f t="shared" si="82"/>
        <v>95910613.028127819</v>
      </c>
      <c r="U295" s="8">
        <f t="shared" si="82"/>
        <v>102841852.62674189</v>
      </c>
      <c r="V295" s="8">
        <f t="shared" si="82"/>
        <v>109646538.97399512</v>
      </c>
      <c r="W295" s="8">
        <f t="shared" si="82"/>
        <v>106821304.40812591</v>
      </c>
      <c r="X295" s="8">
        <f t="shared" si="82"/>
        <v>121124523.35840566</v>
      </c>
      <c r="Y295" s="8">
        <f t="shared" si="82"/>
        <v>140856842.29289109</v>
      </c>
      <c r="Z295" s="8">
        <f t="shared" si="82"/>
        <v>157556160.72435731</v>
      </c>
      <c r="AA295" s="8">
        <f t="shared" si="82"/>
        <v>155125376.88074681</v>
      </c>
      <c r="AB295" s="8">
        <f t="shared" si="82"/>
        <v>166469649.16123077</v>
      </c>
      <c r="AC295" s="8">
        <f t="shared" si="82"/>
        <v>165044414.2706427</v>
      </c>
      <c r="AD295" s="8">
        <f t="shared" si="82"/>
        <v>167428134.42352036</v>
      </c>
      <c r="AE295" s="8">
        <f t="shared" si="82"/>
        <v>163710381.57920977</v>
      </c>
      <c r="AF295" s="8">
        <f t="shared" si="82"/>
        <v>164786790.81213829</v>
      </c>
      <c r="AG295" s="8">
        <f t="shared" si="82"/>
        <v>165893843.51941183</v>
      </c>
    </row>
    <row r="296" spans="1:33" x14ac:dyDescent="0.25">
      <c r="A296" s="2" t="s">
        <v>142</v>
      </c>
      <c r="B296" s="2">
        <v>3.2608695652173912E-2</v>
      </c>
      <c r="C296" s="8">
        <f>C294*$B$296</f>
        <v>0</v>
      </c>
      <c r="D296" s="8">
        <f t="shared" ref="D296:AG296" si="83">D294*$B$296</f>
        <v>0</v>
      </c>
      <c r="E296" s="8">
        <f t="shared" si="83"/>
        <v>0</v>
      </c>
      <c r="F296" s="8">
        <f t="shared" si="83"/>
        <v>0</v>
      </c>
      <c r="G296" s="8">
        <f t="shared" si="83"/>
        <v>0</v>
      </c>
      <c r="H296" s="8">
        <f t="shared" si="83"/>
        <v>0</v>
      </c>
      <c r="I296" s="8">
        <f t="shared" si="83"/>
        <v>0</v>
      </c>
      <c r="J296" s="8">
        <f t="shared" si="83"/>
        <v>0</v>
      </c>
      <c r="K296" s="8">
        <f t="shared" si="83"/>
        <v>226.00091533180782</v>
      </c>
      <c r="L296" s="8">
        <f t="shared" si="83"/>
        <v>61584.021779844195</v>
      </c>
      <c r="M296" s="8">
        <f t="shared" si="83"/>
        <v>56657.284274131402</v>
      </c>
      <c r="N296" s="8">
        <f t="shared" si="83"/>
        <v>334574.22368928243</v>
      </c>
      <c r="O296" s="8">
        <f t="shared" si="83"/>
        <v>830294.67264104611</v>
      </c>
      <c r="P296" s="8">
        <f t="shared" si="83"/>
        <v>1476750.5543322689</v>
      </c>
      <c r="Q296" s="8">
        <f t="shared" si="83"/>
        <v>2375359.2392894952</v>
      </c>
      <c r="R296" s="8">
        <f t="shared" si="83"/>
        <v>3219522.467414449</v>
      </c>
      <c r="S296" s="8">
        <f t="shared" si="83"/>
        <v>3859708.0268414812</v>
      </c>
      <c r="T296" s="8">
        <f t="shared" si="83"/>
        <v>4567172.0489584683</v>
      </c>
      <c r="U296" s="8">
        <f t="shared" si="83"/>
        <v>4897231.0774638997</v>
      </c>
      <c r="V296" s="8">
        <f t="shared" si="83"/>
        <v>5221263.7606664347</v>
      </c>
      <c r="W296" s="8">
        <f t="shared" si="83"/>
        <v>5086728.7813393297</v>
      </c>
      <c r="X296" s="8">
        <f t="shared" si="83"/>
        <v>5767834.4456383651</v>
      </c>
      <c r="Y296" s="8">
        <f t="shared" si="83"/>
        <v>6707468.6806138624</v>
      </c>
      <c r="Z296" s="8">
        <f t="shared" si="83"/>
        <v>7502674.3202074906</v>
      </c>
      <c r="AA296" s="8">
        <f t="shared" si="83"/>
        <v>7386922.7086069919</v>
      </c>
      <c r="AB296" s="8">
        <f t="shared" si="83"/>
        <v>7927126.1505347984</v>
      </c>
      <c r="AC296" s="8">
        <f t="shared" si="83"/>
        <v>7859257.8224115577</v>
      </c>
      <c r="AD296" s="8">
        <f t="shared" si="83"/>
        <v>7972768.3058819221</v>
      </c>
      <c r="AE296" s="8">
        <f t="shared" si="83"/>
        <v>7795732.456152847</v>
      </c>
      <c r="AF296" s="8">
        <f t="shared" si="83"/>
        <v>7846990.0386732519</v>
      </c>
      <c r="AG296" s="8">
        <f t="shared" si="83"/>
        <v>7899706.834257707</v>
      </c>
    </row>
    <row r="297" spans="1:33" x14ac:dyDescent="0.25">
      <c r="A297" s="2" t="s">
        <v>98</v>
      </c>
      <c r="B297" s="2">
        <v>0.28260869565217389</v>
      </c>
      <c r="C297" s="8">
        <f>C294*$B$297</f>
        <v>0</v>
      </c>
      <c r="D297" s="8">
        <f t="shared" ref="D297:AG297" si="84">D294*$B$297</f>
        <v>0</v>
      </c>
      <c r="E297" s="8">
        <f t="shared" si="84"/>
        <v>0</v>
      </c>
      <c r="F297" s="8">
        <f t="shared" si="84"/>
        <v>0</v>
      </c>
      <c r="G297" s="8">
        <f t="shared" si="84"/>
        <v>0</v>
      </c>
      <c r="H297" s="8">
        <f t="shared" si="84"/>
        <v>0</v>
      </c>
      <c r="I297" s="8">
        <f t="shared" si="84"/>
        <v>0</v>
      </c>
      <c r="J297" s="8">
        <f t="shared" si="84"/>
        <v>0</v>
      </c>
      <c r="K297" s="8">
        <f t="shared" si="84"/>
        <v>1958.6745995423344</v>
      </c>
      <c r="L297" s="8">
        <f t="shared" si="84"/>
        <v>533728.18875864963</v>
      </c>
      <c r="M297" s="8">
        <f t="shared" si="84"/>
        <v>491029.79704247211</v>
      </c>
      <c r="N297" s="8">
        <f t="shared" si="84"/>
        <v>2899643.2719737808</v>
      </c>
      <c r="O297" s="8">
        <f t="shared" si="84"/>
        <v>7195887.1628890662</v>
      </c>
      <c r="P297" s="8">
        <f t="shared" si="84"/>
        <v>12798504.804212997</v>
      </c>
      <c r="Q297" s="8">
        <f t="shared" si="84"/>
        <v>20586446.740508955</v>
      </c>
      <c r="R297" s="8">
        <f t="shared" si="84"/>
        <v>27902528.050925221</v>
      </c>
      <c r="S297" s="8">
        <f t="shared" si="84"/>
        <v>33450802.899292838</v>
      </c>
      <c r="T297" s="8">
        <f t="shared" si="84"/>
        <v>39582157.757640056</v>
      </c>
      <c r="U297" s="8">
        <f t="shared" si="84"/>
        <v>42442669.338020459</v>
      </c>
      <c r="V297" s="8">
        <f t="shared" si="84"/>
        <v>45250952.592442431</v>
      </c>
      <c r="W297" s="8">
        <f t="shared" si="84"/>
        <v>44084982.771607518</v>
      </c>
      <c r="X297" s="8">
        <f t="shared" si="84"/>
        <v>49987898.528865829</v>
      </c>
      <c r="Y297" s="8">
        <f t="shared" si="84"/>
        <v>58131395.231986806</v>
      </c>
      <c r="Z297" s="8">
        <f t="shared" si="84"/>
        <v>65023177.441798247</v>
      </c>
      <c r="AA297" s="8">
        <f t="shared" si="84"/>
        <v>64019996.807927258</v>
      </c>
      <c r="AB297" s="8">
        <f t="shared" si="84"/>
        <v>68701759.971301585</v>
      </c>
      <c r="AC297" s="8">
        <f t="shared" si="84"/>
        <v>68113567.794233501</v>
      </c>
      <c r="AD297" s="8">
        <f t="shared" si="84"/>
        <v>69097325.317643315</v>
      </c>
      <c r="AE297" s="8">
        <f t="shared" si="84"/>
        <v>67563014.619991347</v>
      </c>
      <c r="AF297" s="8">
        <f t="shared" si="84"/>
        <v>68007247.001834854</v>
      </c>
      <c r="AG297" s="8">
        <f t="shared" si="84"/>
        <v>68464125.896900132</v>
      </c>
    </row>
    <row r="299" spans="1:33" x14ac:dyDescent="0.25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2" spans="1:33" x14ac:dyDescent="0.25">
      <c r="AC302" s="16"/>
      <c r="AD302" s="16"/>
      <c r="AE302" s="16"/>
      <c r="AF302" s="16"/>
      <c r="AG302" s="16"/>
    </row>
  </sheetData>
  <autoFilter ref="A230:AG297" xr:uid="{841F0678-BEF7-492B-B3BC-0B5A1DC56992}"/>
  <mergeCells count="52">
    <mergeCell ref="A187:A191"/>
    <mergeCell ref="A192:A195"/>
    <mergeCell ref="A196:A198"/>
    <mergeCell ref="A199:A203"/>
    <mergeCell ref="A164:A167"/>
    <mergeCell ref="A168:A172"/>
    <mergeCell ref="A173:A175"/>
    <mergeCell ref="A176:A178"/>
    <mergeCell ref="A179:A181"/>
    <mergeCell ref="A182:A186"/>
    <mergeCell ref="A161:A163"/>
    <mergeCell ref="A120:A122"/>
    <mergeCell ref="A123:A125"/>
    <mergeCell ref="A126:A129"/>
    <mergeCell ref="A130:A134"/>
    <mergeCell ref="A135:A136"/>
    <mergeCell ref="A137:A140"/>
    <mergeCell ref="A142:A145"/>
    <mergeCell ref="A146:A149"/>
    <mergeCell ref="A150:A152"/>
    <mergeCell ref="A153:A156"/>
    <mergeCell ref="A157:A160"/>
    <mergeCell ref="A114:A118"/>
    <mergeCell ref="A75:A76"/>
    <mergeCell ref="A78:A81"/>
    <mergeCell ref="A82:A85"/>
    <mergeCell ref="A86:A89"/>
    <mergeCell ref="A90:A94"/>
    <mergeCell ref="A95:A97"/>
    <mergeCell ref="A98:A100"/>
    <mergeCell ref="A101:A103"/>
    <mergeCell ref="A104:A106"/>
    <mergeCell ref="A107:A109"/>
    <mergeCell ref="A110:A113"/>
    <mergeCell ref="A70:A74"/>
    <mergeCell ref="A31:A33"/>
    <mergeCell ref="A34:A36"/>
    <mergeCell ref="A37:A38"/>
    <mergeCell ref="A39:A41"/>
    <mergeCell ref="A42:A44"/>
    <mergeCell ref="A45:A49"/>
    <mergeCell ref="A50:A53"/>
    <mergeCell ref="A54:A57"/>
    <mergeCell ref="A58:A61"/>
    <mergeCell ref="A62:A64"/>
    <mergeCell ref="A65:A69"/>
    <mergeCell ref="A28:A30"/>
    <mergeCell ref="A2:A6"/>
    <mergeCell ref="A7:A10"/>
    <mergeCell ref="A11:A14"/>
    <mergeCell ref="A17:A21"/>
    <mergeCell ref="A22:A2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8BC5-6A35-4882-B384-0380E394018A}">
  <dimension ref="A1:T54"/>
  <sheetViews>
    <sheetView tabSelected="1" topLeftCell="F1" zoomScale="79" zoomScaleNormal="100" workbookViewId="0">
      <selection activeCell="T1" sqref="T1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9" t="s">
        <v>0</v>
      </c>
      <c r="B1" s="10" t="s">
        <v>96</v>
      </c>
      <c r="C1" s="10" t="s">
        <v>97</v>
      </c>
      <c r="D1" s="10" t="s">
        <v>98</v>
      </c>
      <c r="E1" s="10" t="s">
        <v>99</v>
      </c>
      <c r="F1" s="10" t="s">
        <v>100</v>
      </c>
      <c r="G1" s="10" t="s">
        <v>101</v>
      </c>
      <c r="H1" s="10" t="s">
        <v>102</v>
      </c>
      <c r="I1" s="10" t="s">
        <v>103</v>
      </c>
      <c r="J1" s="10" t="s">
        <v>104</v>
      </c>
      <c r="K1" s="10" t="s">
        <v>105</v>
      </c>
      <c r="L1" s="10" t="s">
        <v>106</v>
      </c>
      <c r="M1" s="10" t="s">
        <v>107</v>
      </c>
      <c r="N1" s="10" t="s">
        <v>108</v>
      </c>
      <c r="O1" s="10" t="s">
        <v>109</v>
      </c>
      <c r="P1" s="10" t="s">
        <v>110</v>
      </c>
      <c r="Q1" s="10" t="s">
        <v>111</v>
      </c>
      <c r="R1" s="10" t="s">
        <v>112</v>
      </c>
      <c r="S1" s="28" t="s">
        <v>142</v>
      </c>
      <c r="T1" s="30" t="s">
        <v>145</v>
      </c>
    </row>
    <row r="2" spans="1:20" x14ac:dyDescent="0.25">
      <c r="A2" s="11" t="s">
        <v>64</v>
      </c>
      <c r="B2" s="10">
        <v>1</v>
      </c>
      <c r="C2" s="10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29"/>
      <c r="T2" s="29"/>
    </row>
    <row r="3" spans="1:20" x14ac:dyDescent="0.25">
      <c r="A3" s="11" t="s">
        <v>113</v>
      </c>
      <c r="B3" s="10">
        <v>1</v>
      </c>
      <c r="C3" s="10"/>
      <c r="D3" s="10"/>
      <c r="E3" s="10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29"/>
      <c r="T3" s="29"/>
    </row>
    <row r="4" spans="1:20" x14ac:dyDescent="0.25">
      <c r="A4" s="11" t="s">
        <v>114</v>
      </c>
      <c r="B4" s="10">
        <v>1</v>
      </c>
      <c r="C4" s="10"/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29"/>
      <c r="T4" s="29"/>
    </row>
    <row r="5" spans="1:20" x14ac:dyDescent="0.25">
      <c r="A5" s="11" t="s">
        <v>115</v>
      </c>
      <c r="B5" s="10">
        <v>1</v>
      </c>
      <c r="C5" s="10">
        <v>1</v>
      </c>
      <c r="D5" s="10"/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29"/>
      <c r="T5" s="29"/>
    </row>
    <row r="6" spans="1:20" x14ac:dyDescent="0.25">
      <c r="A6" s="11" t="s">
        <v>116</v>
      </c>
      <c r="B6" s="10">
        <v>1</v>
      </c>
      <c r="C6" s="10">
        <v>1</v>
      </c>
      <c r="D6" s="10"/>
      <c r="E6" s="10"/>
      <c r="F6" s="10"/>
      <c r="G6" s="10"/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29"/>
      <c r="T6" s="29"/>
    </row>
    <row r="7" spans="1:20" x14ac:dyDescent="0.25">
      <c r="A7" s="11" t="s">
        <v>117</v>
      </c>
      <c r="B7" s="10">
        <v>1</v>
      </c>
      <c r="C7" s="10">
        <v>1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29"/>
      <c r="T7" s="29"/>
    </row>
    <row r="8" spans="1:20" x14ac:dyDescent="0.25">
      <c r="A8" s="11" t="s">
        <v>143</v>
      </c>
      <c r="B8" s="10">
        <v>1</v>
      </c>
      <c r="C8" s="10">
        <v>1</v>
      </c>
      <c r="D8" s="10"/>
      <c r="E8" s="10">
        <v>1</v>
      </c>
      <c r="F8" s="10"/>
      <c r="G8" s="10">
        <v>1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29"/>
      <c r="T8" s="29"/>
    </row>
    <row r="9" spans="1:20" x14ac:dyDescent="0.25">
      <c r="A9" s="11" t="s">
        <v>144</v>
      </c>
      <c r="B9" s="10">
        <v>1</v>
      </c>
      <c r="C9" s="10"/>
      <c r="D9" s="10"/>
      <c r="E9" s="10">
        <v>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29"/>
      <c r="T9" s="29"/>
    </row>
    <row r="10" spans="1:20" x14ac:dyDescent="0.25">
      <c r="A10" s="11" t="s">
        <v>118</v>
      </c>
      <c r="B10" s="10">
        <v>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29"/>
      <c r="T10" s="29"/>
    </row>
    <row r="11" spans="1:20" x14ac:dyDescent="0.25">
      <c r="A11" s="11" t="s">
        <v>119</v>
      </c>
      <c r="B11" s="10">
        <v>1</v>
      </c>
      <c r="C11" s="10">
        <v>1</v>
      </c>
      <c r="D11" s="10"/>
      <c r="E11" s="10">
        <v>1</v>
      </c>
      <c r="F11" s="10"/>
      <c r="G11" s="10"/>
      <c r="H11" s="10"/>
      <c r="I11" s="10">
        <v>1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29"/>
      <c r="T11" s="29"/>
    </row>
    <row r="12" spans="1:20" x14ac:dyDescent="0.25">
      <c r="A12" s="12" t="s">
        <v>120</v>
      </c>
      <c r="B12" s="10"/>
      <c r="C12" s="10"/>
      <c r="D12" s="10"/>
      <c r="E12" s="10"/>
      <c r="F12" s="10"/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9"/>
      <c r="T12" s="29"/>
    </row>
    <row r="13" spans="1:20" x14ac:dyDescent="0.25">
      <c r="A13" s="11" t="s">
        <v>121</v>
      </c>
      <c r="B13" s="10"/>
      <c r="C13" s="10"/>
      <c r="D13" s="10"/>
      <c r="E13" s="10"/>
      <c r="F13" s="10"/>
      <c r="G13" s="10"/>
      <c r="H13" s="10"/>
      <c r="I13" s="10">
        <v>1</v>
      </c>
      <c r="J13" s="10"/>
      <c r="K13" s="10">
        <v>1</v>
      </c>
      <c r="L13" s="10">
        <v>1</v>
      </c>
      <c r="M13" s="10">
        <v>1</v>
      </c>
      <c r="N13" s="10"/>
      <c r="O13" s="10"/>
      <c r="P13" s="10"/>
      <c r="Q13" s="10"/>
      <c r="R13" s="10"/>
      <c r="S13" s="29"/>
      <c r="T13" s="29"/>
    </row>
    <row r="14" spans="1:20" x14ac:dyDescent="0.25">
      <c r="A14" s="11" t="s">
        <v>122</v>
      </c>
      <c r="B14" s="10">
        <v>1</v>
      </c>
      <c r="C14" s="10">
        <v>1</v>
      </c>
      <c r="D14" s="10">
        <v>1</v>
      </c>
      <c r="E14" s="10"/>
      <c r="F14" s="10"/>
      <c r="G14" s="10">
        <v>1</v>
      </c>
      <c r="H14" s="10"/>
      <c r="I14" s="10"/>
      <c r="J14" s="10">
        <v>1</v>
      </c>
      <c r="K14" s="10"/>
      <c r="L14" s="10"/>
      <c r="M14" s="10"/>
      <c r="N14" s="10">
        <v>1</v>
      </c>
      <c r="O14" s="10">
        <v>1</v>
      </c>
      <c r="P14" s="10">
        <v>1</v>
      </c>
      <c r="Q14" s="10"/>
      <c r="R14" s="10"/>
      <c r="S14" s="29"/>
      <c r="T14" s="29"/>
    </row>
    <row r="15" spans="1:20" x14ac:dyDescent="0.25">
      <c r="A15" s="11" t="s">
        <v>123</v>
      </c>
      <c r="B15" s="10"/>
      <c r="C15" s="10"/>
      <c r="D15" s="10">
        <v>1</v>
      </c>
      <c r="E15" s="10"/>
      <c r="F15" s="10">
        <v>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29"/>
      <c r="T15" s="31">
        <v>1</v>
      </c>
    </row>
    <row r="16" spans="1:20" x14ac:dyDescent="0.25">
      <c r="A16" s="11" t="s">
        <v>124</v>
      </c>
      <c r="B16" s="10">
        <v>1</v>
      </c>
      <c r="C16" s="10"/>
      <c r="D16" s="10"/>
      <c r="E16" s="10"/>
      <c r="F16" s="10"/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29"/>
      <c r="T16" s="29"/>
    </row>
    <row r="17" spans="1:20" x14ac:dyDescent="0.25">
      <c r="A17" s="11" t="s">
        <v>125</v>
      </c>
      <c r="B17" s="10">
        <v>1</v>
      </c>
      <c r="C17" s="10"/>
      <c r="D17" s="10"/>
      <c r="E17" s="10"/>
      <c r="F17" s="10"/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1</v>
      </c>
      <c r="S17" s="29"/>
      <c r="T17" s="29"/>
    </row>
    <row r="18" spans="1:20" x14ac:dyDescent="0.25">
      <c r="A18" s="12" t="s">
        <v>140</v>
      </c>
      <c r="B18" s="10">
        <v>1</v>
      </c>
      <c r="C18" s="10"/>
      <c r="D18" s="10">
        <v>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</row>
    <row r="19" spans="1:20" x14ac:dyDescent="0.25">
      <c r="A19" s="11" t="s">
        <v>141</v>
      </c>
      <c r="B19" s="10">
        <v>1</v>
      </c>
      <c r="C19" s="10"/>
      <c r="D19" s="10">
        <v>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1</v>
      </c>
      <c r="T19" s="10"/>
    </row>
    <row r="20" spans="1:20" x14ac:dyDescent="0.25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20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20" x14ac:dyDescent="0.2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20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20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20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20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20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0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20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20" x14ac:dyDescent="0.2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20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20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2:18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2:18" x14ac:dyDescent="0.2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2:18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2:18" x14ac:dyDescent="0.25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2:18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2:18" x14ac:dyDescent="0.25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2:18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 x14ac:dyDescent="0.2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2:18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2:18" x14ac:dyDescent="0.2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2:18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2:18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8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2:18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2:18" x14ac:dyDescent="0.2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2:18" x14ac:dyDescent="0.2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2:18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2:18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2:18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2:18" x14ac:dyDescent="0.2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2:18" x14ac:dyDescent="0.2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2:18" x14ac:dyDescent="0.25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</sheetData>
  <autoFilter ref="A1:R54" xr:uid="{33B467EF-9A95-4D5D-8C3D-345AC2CF8301}"/>
  <conditionalFormatting sqref="B18:S19">
    <cfRule type="notContainsBlanks" dxfId="3" priority="3">
      <formula>LEN(TRIM(B18))&gt;0</formula>
    </cfRule>
  </conditionalFormatting>
  <conditionalFormatting sqref="S1 B1:R17 B20:R20">
    <cfRule type="notContainsBlanks" dxfId="2" priority="4">
      <formula>LEN(TRIM(B1))&gt;0</formula>
    </cfRule>
  </conditionalFormatting>
  <conditionalFormatting sqref="T1">
    <cfRule type="notContainsBlanks" dxfId="1" priority="2" stopIfTrue="1">
      <formula>LEN(TRIM(T1))&gt;0</formula>
    </cfRule>
  </conditionalFormatting>
  <conditionalFormatting sqref="T2:T19">
    <cfRule type="notContainsBlanks" dxfId="0" priority="1">
      <formula>LEN(TRIM(T2))&gt;0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total_capacity_calcs</vt:lpstr>
      <vt:lpstr>vaccine-producer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2023-10-25T00:05:43Z</dcterms:created>
  <dcterms:modified xsi:type="dcterms:W3CDTF">2023-11-28T16:18:26Z</dcterms:modified>
</cp:coreProperties>
</file>